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defaultThemeVersion="166925"/>
  <mc:AlternateContent xmlns:mc="http://schemas.openxmlformats.org/markup-compatibility/2006">
    <mc:Choice Requires="x15">
      <x15ac:absPath xmlns:x15ac="http://schemas.microsoft.com/office/spreadsheetml/2010/11/ac" url="D:\Dev\work\zeitwert\src\main\resources\db\"/>
    </mc:Choice>
  </mc:AlternateContent>
  <xr:revisionPtr revIDLastSave="0" documentId="13_ncr:1_{32116C39-7EB4-49FE-87D3-C6DD343D7329}" xr6:coauthVersionLast="47" xr6:coauthVersionMax="47" xr10:uidLastSave="{00000000-0000-0000-0000-000000000000}"/>
  <bookViews>
    <workbookView xWindow="-120" yWindow="-120" windowWidth="51840" windowHeight="21240" tabRatio="607" xr2:uid="{00000000-000D-0000-FFFF-FFFF00000000}"/>
  </bookViews>
  <sheets>
    <sheet name="Tenant" sheetId="1" r:id="rId1"/>
    <sheet name="User" sheetId="2" r:id="rId2"/>
    <sheet name="Account" sheetId="3" r:id="rId3"/>
    <sheet name="Contact" sheetId="4" r:id="rId4"/>
    <sheet name="Document" sheetId="5" r:id="rId5"/>
    <sheet name="Lead" sheetId="6" r:id="rId6"/>
    <sheet name="Task" sheetId="11" r:id="rId7"/>
    <sheet name="Building" sheetId="14" r:id="rId8"/>
    <sheet name="BuildingElement" sheetId="15" r:id="rId9"/>
    <sheet name="buildingNr" sheetId="17" r:id="rId10"/>
    <sheet name="Building Price Index" sheetId="16" r:id="rId11"/>
  </sheets>
  <definedNames>
    <definedName name="_xlnm._FilterDatabase" localSheetId="7">Building!$A$1:$T$2</definedName>
    <definedName name="_xlnm._FilterDatabase" localSheetId="9" hidden="1">buildingNr!$A$1:$C$300</definedName>
    <definedName name="ExterneDaten_1" localSheetId="7">Building!$A$4:$T$302</definedName>
    <definedName name="ExterneDaten_1" localSheetId="8">BuildingElement!$A$4:$F$4841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 i="3" l="1"/>
  <c r="K6" i="3"/>
  <c r="D6" i="1"/>
  <c r="D5" i="1"/>
  <c r="C2" i="17"/>
  <c r="C3" i="17"/>
  <c r="C4"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5" i="17"/>
  <c r="C6" i="17"/>
  <c r="C7" i="17"/>
  <c r="C8" i="17"/>
  <c r="C9" i="17"/>
  <c r="C10" i="17"/>
  <c r="C11"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51" i="17"/>
  <c r="C252" i="17"/>
  <c r="C253" i="17"/>
  <c r="C254" i="17"/>
  <c r="C255" i="17"/>
  <c r="C256" i="17"/>
  <c r="C257" i="17"/>
  <c r="C258" i="17"/>
  <c r="C259" i="17"/>
  <c r="C260" i="17"/>
  <c r="C261" i="17"/>
  <c r="C262" i="17"/>
  <c r="C263" i="17"/>
  <c r="C264" i="17"/>
  <c r="C265" i="17"/>
  <c r="C266" i="17"/>
  <c r="C267" i="17"/>
  <c r="C268" i="17"/>
  <c r="C269" i="17"/>
  <c r="C270" i="17"/>
  <c r="C271" i="17"/>
  <c r="C272" i="17"/>
  <c r="C273" i="17"/>
  <c r="C274" i="17"/>
  <c r="C275" i="17"/>
  <c r="C276" i="17"/>
  <c r="C277" i="17"/>
  <c r="C278" i="17"/>
  <c r="C279" i="17"/>
  <c r="C280" i="17"/>
  <c r="C281" i="17"/>
  <c r="C282" i="17"/>
  <c r="C283" i="17"/>
  <c r="C284" i="17"/>
  <c r="C285" i="17"/>
  <c r="C286" i="17"/>
  <c r="C287" i="17"/>
  <c r="C288" i="17"/>
  <c r="C289" i="17"/>
  <c r="C290" i="17"/>
  <c r="C291" i="17"/>
  <c r="C292" i="17"/>
  <c r="C293" i="17"/>
  <c r="C294" i="17"/>
  <c r="C295" i="17"/>
  <c r="C296" i="17"/>
  <c r="C297" i="17"/>
  <c r="C298" i="17"/>
  <c r="C299" i="17"/>
  <c r="V303" i="14" l="1"/>
  <c r="K4" i="3" l="1"/>
  <c r="K3" i="3"/>
  <c r="K5" i="3"/>
  <c r="K15" i="3"/>
  <c r="K12" i="3"/>
  <c r="I7" i="2"/>
  <c r="D4" i="1"/>
  <c r="I6" i="2"/>
  <c r="I5" i="2"/>
  <c r="I4" i="2"/>
  <c r="I3" i="2"/>
  <c r="I2" i="2"/>
  <c r="D3" i="1"/>
  <c r="D2" i="1"/>
  <c r="Y5" i="6"/>
  <c r="Y4" i="6"/>
  <c r="Y3" i="6"/>
  <c r="Y2" i="6"/>
  <c r="V302" i="14"/>
  <c r="V301" i="14"/>
  <c r="V300" i="14"/>
  <c r="V299" i="14"/>
  <c r="V298" i="14"/>
  <c r="V297" i="14"/>
  <c r="V296" i="14"/>
  <c r="V295" i="14"/>
  <c r="V294" i="14"/>
  <c r="V293" i="14"/>
  <c r="V292" i="14"/>
  <c r="V291" i="14"/>
  <c r="V290" i="14"/>
  <c r="V289" i="14"/>
  <c r="V288" i="14"/>
  <c r="V287" i="14"/>
  <c r="V286" i="14"/>
  <c r="V285" i="14"/>
  <c r="V284" i="14"/>
  <c r="V283" i="14"/>
  <c r="V282" i="14"/>
  <c r="V281" i="14"/>
  <c r="V280" i="14"/>
  <c r="V279" i="14"/>
  <c r="V278" i="14"/>
  <c r="V277" i="14"/>
  <c r="V276" i="14"/>
  <c r="V275" i="14"/>
  <c r="V274" i="14"/>
  <c r="V273" i="14"/>
  <c r="V272" i="14"/>
  <c r="V271" i="14"/>
  <c r="V270" i="14"/>
  <c r="V269" i="14"/>
  <c r="V268" i="14"/>
  <c r="V267" i="14"/>
  <c r="V266" i="14"/>
  <c r="V265" i="14"/>
  <c r="V264" i="14"/>
  <c r="V263" i="14"/>
  <c r="V262" i="14"/>
  <c r="V261" i="14"/>
  <c r="V260" i="14"/>
  <c r="V259" i="14"/>
  <c r="V258" i="14"/>
  <c r="V257" i="14"/>
  <c r="V256" i="14"/>
  <c r="V255" i="14"/>
  <c r="V254" i="14"/>
  <c r="V253" i="14"/>
  <c r="V252" i="14"/>
  <c r="V251" i="14"/>
  <c r="V250" i="14"/>
  <c r="V249" i="14"/>
  <c r="V248" i="14"/>
  <c r="V247" i="14"/>
  <c r="V246" i="14"/>
  <c r="V245" i="14"/>
  <c r="V244" i="14"/>
  <c r="V243" i="14"/>
  <c r="V242" i="14"/>
  <c r="V241" i="14"/>
  <c r="V240" i="14"/>
  <c r="V239" i="14"/>
  <c r="V238" i="14"/>
  <c r="V237" i="14"/>
  <c r="V236" i="14"/>
  <c r="V235" i="14"/>
  <c r="V234" i="14"/>
  <c r="V233" i="14"/>
  <c r="V232" i="14"/>
  <c r="V231" i="14"/>
  <c r="V230" i="14"/>
  <c r="V229" i="14"/>
  <c r="V228" i="14"/>
  <c r="V227" i="14"/>
  <c r="V226" i="14"/>
  <c r="V225" i="14"/>
  <c r="V224" i="14"/>
  <c r="V223" i="14"/>
  <c r="V222" i="14"/>
  <c r="V221" i="14"/>
  <c r="V220" i="14"/>
  <c r="V219" i="14"/>
  <c r="V218" i="14"/>
  <c r="V217" i="14"/>
  <c r="V216" i="14"/>
  <c r="V215" i="14"/>
  <c r="V214" i="14"/>
  <c r="V213" i="14"/>
  <c r="V212" i="14"/>
  <c r="V211" i="14"/>
  <c r="V210" i="14"/>
  <c r="V209" i="14"/>
  <c r="V208" i="14"/>
  <c r="V207" i="14"/>
  <c r="V206" i="14"/>
  <c r="V205" i="14"/>
  <c r="V204" i="14"/>
  <c r="V203" i="14"/>
  <c r="V202" i="14"/>
  <c r="V201" i="14"/>
  <c r="V200" i="14"/>
  <c r="V199" i="14"/>
  <c r="V198" i="14"/>
  <c r="V197" i="14"/>
  <c r="V196" i="14"/>
  <c r="V195" i="14"/>
  <c r="V194" i="14"/>
  <c r="V193" i="14"/>
  <c r="V192" i="14"/>
  <c r="V191" i="14"/>
  <c r="V190" i="14"/>
  <c r="V189" i="14"/>
  <c r="V188" i="14"/>
  <c r="V187" i="14"/>
  <c r="V186" i="14"/>
  <c r="V185" i="14"/>
  <c r="V184" i="14"/>
  <c r="V183" i="14"/>
  <c r="V182" i="14"/>
  <c r="V181" i="14"/>
  <c r="V180" i="14"/>
  <c r="V179" i="14"/>
  <c r="V178" i="14"/>
  <c r="V177" i="14"/>
  <c r="V176" i="14"/>
  <c r="V175" i="14"/>
  <c r="V174" i="14"/>
  <c r="V173" i="14"/>
  <c r="V172" i="14"/>
  <c r="V171" i="14"/>
  <c r="V170" i="14"/>
  <c r="V169" i="14"/>
  <c r="V168" i="14"/>
  <c r="V167" i="14"/>
  <c r="V166" i="14"/>
  <c r="V165" i="14"/>
  <c r="V164" i="14"/>
  <c r="V163" i="14"/>
  <c r="V162" i="14"/>
  <c r="V161" i="14"/>
  <c r="V160" i="14"/>
  <c r="V159" i="14"/>
  <c r="V158" i="14"/>
  <c r="V157" i="14"/>
  <c r="V156" i="14"/>
  <c r="V155" i="14"/>
  <c r="V154" i="14"/>
  <c r="V153" i="14"/>
  <c r="V152" i="14"/>
  <c r="V151" i="14"/>
  <c r="V150" i="14"/>
  <c r="V149" i="14"/>
  <c r="V148" i="14"/>
  <c r="V147" i="14"/>
  <c r="V146" i="14"/>
  <c r="V145" i="14"/>
  <c r="V144" i="14"/>
  <c r="V143" i="14"/>
  <c r="V142" i="14"/>
  <c r="V141" i="14"/>
  <c r="V140" i="14"/>
  <c r="V139" i="14"/>
  <c r="V138" i="14"/>
  <c r="V137" i="14"/>
  <c r="V136" i="14"/>
  <c r="V135" i="14"/>
  <c r="V134" i="14"/>
  <c r="V133" i="14"/>
  <c r="V132" i="14"/>
  <c r="V131" i="14"/>
  <c r="V130" i="14"/>
  <c r="V129" i="14"/>
  <c r="V128" i="14"/>
  <c r="V127" i="14"/>
  <c r="V126" i="14"/>
  <c r="V125" i="14"/>
  <c r="V124" i="14"/>
  <c r="V123" i="14"/>
  <c r="V122" i="14"/>
  <c r="V121" i="14"/>
  <c r="V120" i="14"/>
  <c r="V119" i="14"/>
  <c r="V118" i="14"/>
  <c r="V117" i="14"/>
  <c r="V116" i="14"/>
  <c r="V115" i="14"/>
  <c r="V114" i="14"/>
  <c r="V113" i="14"/>
  <c r="V112" i="14"/>
  <c r="V111" i="14"/>
  <c r="V110" i="14"/>
  <c r="V109" i="14"/>
  <c r="V108" i="14"/>
  <c r="V107" i="14"/>
  <c r="V106" i="14"/>
  <c r="V105" i="14"/>
  <c r="V104" i="14"/>
  <c r="V103" i="14"/>
  <c r="V102" i="14"/>
  <c r="V101" i="14"/>
  <c r="V100" i="14"/>
  <c r="V99" i="14"/>
  <c r="V98" i="14"/>
  <c r="V97" i="14"/>
  <c r="V96" i="14"/>
  <c r="V95" i="14"/>
  <c r="V94" i="14"/>
  <c r="V93" i="14"/>
  <c r="V92" i="14"/>
  <c r="V91" i="14"/>
  <c r="V90" i="14"/>
  <c r="V89" i="14"/>
  <c r="V88" i="14"/>
  <c r="V87" i="14"/>
  <c r="V86" i="14"/>
  <c r="V85" i="14"/>
  <c r="V84" i="14"/>
  <c r="V83" i="14"/>
  <c r="V82" i="14"/>
  <c r="V81" i="14"/>
  <c r="V80" i="14"/>
  <c r="V79" i="14"/>
  <c r="V78" i="14"/>
  <c r="V77" i="14"/>
  <c r="V76" i="14"/>
  <c r="V75" i="14"/>
  <c r="V74" i="14"/>
  <c r="V73" i="14"/>
  <c r="V72" i="14"/>
  <c r="V71" i="14"/>
  <c r="V70" i="14"/>
  <c r="V69" i="14"/>
  <c r="V68" i="14"/>
  <c r="V67" i="14"/>
  <c r="V66" i="14"/>
  <c r="V65" i="14"/>
  <c r="V64" i="14"/>
  <c r="V63" i="14"/>
  <c r="V62" i="14"/>
  <c r="V61" i="14"/>
  <c r="V60" i="14"/>
  <c r="V59" i="14"/>
  <c r="V58" i="14"/>
  <c r="V57" i="14"/>
  <c r="V56" i="14"/>
  <c r="V55" i="14"/>
  <c r="V54" i="14"/>
  <c r="V53" i="14"/>
  <c r="V52" i="14"/>
  <c r="V51" i="14"/>
  <c r="V50" i="14"/>
  <c r="V49" i="14"/>
  <c r="V48" i="14"/>
  <c r="V47" i="14"/>
  <c r="V46" i="14"/>
  <c r="V45" i="14"/>
  <c r="V44" i="14"/>
  <c r="V43" i="14"/>
  <c r="V42" i="14"/>
  <c r="V41" i="14"/>
  <c r="V40" i="14"/>
  <c r="V39" i="14"/>
  <c r="V38" i="14"/>
  <c r="V37" i="14"/>
  <c r="V36" i="14"/>
  <c r="V35" i="14"/>
  <c r="V34" i="14"/>
  <c r="V33" i="14"/>
  <c r="V32" i="14"/>
  <c r="V31" i="14"/>
  <c r="V30" i="14"/>
  <c r="V29" i="14"/>
  <c r="V28" i="14"/>
  <c r="V27" i="14"/>
  <c r="V26" i="14"/>
  <c r="V25" i="14"/>
  <c r="V24" i="14"/>
  <c r="V23" i="14"/>
  <c r="V22" i="14"/>
  <c r="V21" i="14"/>
  <c r="V20" i="14"/>
  <c r="V19" i="14"/>
  <c r="V18" i="14"/>
  <c r="V17" i="14"/>
  <c r="V16" i="14"/>
  <c r="V15" i="14"/>
  <c r="V14" i="14"/>
  <c r="V13" i="14"/>
  <c r="V12" i="14"/>
  <c r="V11" i="14"/>
  <c r="V10" i="14"/>
  <c r="V9" i="14"/>
  <c r="V8" i="14"/>
  <c r="V7" i="14"/>
  <c r="V6" i="14"/>
  <c r="V5" i="14"/>
  <c r="V2" i="14"/>
  <c r="E86" i="16"/>
  <c r="E85" i="16"/>
  <c r="E84" i="16"/>
  <c r="E83" i="16"/>
  <c r="E82" i="16"/>
  <c r="E81" i="16"/>
  <c r="E80" i="16"/>
  <c r="E79" i="16"/>
  <c r="E78" i="16"/>
  <c r="E77" i="16"/>
  <c r="E76" i="16"/>
  <c r="E75" i="16"/>
  <c r="E74" i="16"/>
  <c r="E73" i="16"/>
  <c r="E72" i="16"/>
  <c r="E71" i="16"/>
  <c r="E70" i="16"/>
  <c r="E69" i="16"/>
  <c r="E68" i="16"/>
  <c r="E67" i="16"/>
  <c r="E66" i="16"/>
  <c r="E65" i="16"/>
  <c r="E64" i="16"/>
  <c r="E63" i="16"/>
  <c r="E62" i="16"/>
  <c r="E61" i="16"/>
  <c r="E60" i="16"/>
  <c r="E59" i="16"/>
  <c r="E58" i="16"/>
  <c r="E57" i="16"/>
  <c r="E56" i="16"/>
  <c r="E55" i="16"/>
  <c r="E54" i="16"/>
  <c r="E53" i="16"/>
  <c r="E52" i="16"/>
  <c r="E51" i="16"/>
  <c r="E50" i="16"/>
  <c r="E49" i="16"/>
  <c r="E48" i="16"/>
  <c r="E47" i="16"/>
  <c r="E46" i="16"/>
  <c r="E45" i="16"/>
  <c r="E44" i="16"/>
  <c r="E43" i="16"/>
  <c r="E42" i="16"/>
  <c r="E41" i="16"/>
  <c r="E40" i="16"/>
  <c r="E39" i="16"/>
  <c r="E38"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2" i="16"/>
  <c r="H4841" i="15"/>
  <c r="H4840" i="15"/>
  <c r="H4839" i="15"/>
  <c r="H4838" i="15"/>
  <c r="H4837" i="15"/>
  <c r="H4836" i="15"/>
  <c r="H4835" i="15"/>
  <c r="H4834" i="15"/>
  <c r="H4833" i="15"/>
  <c r="H4832" i="15"/>
  <c r="H4831" i="15"/>
  <c r="H4830" i="15"/>
  <c r="H4829" i="15"/>
  <c r="H4828" i="15"/>
  <c r="H4827" i="15"/>
  <c r="H4826" i="15"/>
  <c r="H4825" i="15"/>
  <c r="H4824" i="15"/>
  <c r="H4823" i="15"/>
  <c r="H4822" i="15"/>
  <c r="H4821" i="15"/>
  <c r="H4820" i="15"/>
  <c r="H4819" i="15"/>
  <c r="H4818" i="15"/>
  <c r="H4817" i="15"/>
  <c r="H4816" i="15"/>
  <c r="H4815" i="15"/>
  <c r="H4814" i="15"/>
  <c r="H4813" i="15"/>
  <c r="H4812" i="15"/>
  <c r="H4811" i="15"/>
  <c r="H4810" i="15"/>
  <c r="H4809" i="15"/>
  <c r="H4808" i="15"/>
  <c r="H4807" i="15"/>
  <c r="H4806" i="15"/>
  <c r="H4805" i="15"/>
  <c r="H4804" i="15"/>
  <c r="H4803" i="15"/>
  <c r="H4802" i="15"/>
  <c r="H4801" i="15"/>
  <c r="H4800" i="15"/>
  <c r="H4799" i="15"/>
  <c r="H4798" i="15"/>
  <c r="H4797" i="15"/>
  <c r="H4796" i="15"/>
  <c r="H4795" i="15"/>
  <c r="H4794" i="15"/>
  <c r="H4793" i="15"/>
  <c r="H4792" i="15"/>
  <c r="H4791" i="15"/>
  <c r="H4790" i="15"/>
  <c r="H4789" i="15"/>
  <c r="H4788" i="15"/>
  <c r="H4787" i="15"/>
  <c r="H4786" i="15"/>
  <c r="H4785" i="15"/>
  <c r="H4784" i="15"/>
  <c r="H4783" i="15"/>
  <c r="H4782" i="15"/>
  <c r="H4781" i="15"/>
  <c r="H4780" i="15"/>
  <c r="H4779" i="15"/>
  <c r="H4778" i="15"/>
  <c r="H4777" i="15"/>
  <c r="H4776" i="15"/>
  <c r="H4775" i="15"/>
  <c r="H4774" i="15"/>
  <c r="H4773" i="15"/>
  <c r="H4772" i="15"/>
  <c r="H4771" i="15"/>
  <c r="H4770" i="15"/>
  <c r="H4769" i="15"/>
  <c r="H4768" i="15"/>
  <c r="H4767" i="15"/>
  <c r="H4766" i="15"/>
  <c r="H4765" i="15"/>
  <c r="H4764" i="15"/>
  <c r="H4763" i="15"/>
  <c r="H4762" i="15"/>
  <c r="H4761" i="15"/>
  <c r="H4760" i="15"/>
  <c r="H4759" i="15"/>
  <c r="H4758" i="15"/>
  <c r="H4757" i="15"/>
  <c r="H4756" i="15"/>
  <c r="H4755" i="15"/>
  <c r="H4754" i="15"/>
  <c r="H4753" i="15"/>
  <c r="H4752" i="15"/>
  <c r="H4751" i="15"/>
  <c r="H4750" i="15"/>
  <c r="H4749" i="15"/>
  <c r="H4748" i="15"/>
  <c r="H4747" i="15"/>
  <c r="H4746" i="15"/>
  <c r="H4745" i="15"/>
  <c r="H4744" i="15"/>
  <c r="H4743" i="15"/>
  <c r="H4742" i="15"/>
  <c r="H4741" i="15"/>
  <c r="H4740" i="15"/>
  <c r="H4739" i="15"/>
  <c r="H4738" i="15"/>
  <c r="H4737" i="15"/>
  <c r="H4736" i="15"/>
  <c r="H4735" i="15"/>
  <c r="H4734" i="15"/>
  <c r="H4733" i="15"/>
  <c r="H4732" i="15"/>
  <c r="H4731" i="15"/>
  <c r="H4730" i="15"/>
  <c r="H4729" i="15"/>
  <c r="H4728" i="15"/>
  <c r="H4727" i="15"/>
  <c r="H4726" i="15"/>
  <c r="H4725" i="15"/>
  <c r="H4724" i="15"/>
  <c r="H4723" i="15"/>
  <c r="H4722" i="15"/>
  <c r="H4721" i="15"/>
  <c r="H4720" i="15"/>
  <c r="H4719" i="15"/>
  <c r="H4718" i="15"/>
  <c r="H4717" i="15"/>
  <c r="H4716" i="15"/>
  <c r="H4715" i="15"/>
  <c r="H4714" i="15"/>
  <c r="H4713" i="15"/>
  <c r="H4712" i="15"/>
  <c r="H4711" i="15"/>
  <c r="H4710" i="15"/>
  <c r="H4709" i="15"/>
  <c r="H4708" i="15"/>
  <c r="H4707" i="15"/>
  <c r="H4706" i="15"/>
  <c r="H4705" i="15"/>
  <c r="H4704" i="15"/>
  <c r="H4703" i="15"/>
  <c r="H4702" i="15"/>
  <c r="H4701" i="15"/>
  <c r="H4700" i="15"/>
  <c r="H4699" i="15"/>
  <c r="H4698" i="15"/>
  <c r="H4697" i="15"/>
  <c r="H4696" i="15"/>
  <c r="H4695" i="15"/>
  <c r="H4694" i="15"/>
  <c r="H4693" i="15"/>
  <c r="H4692" i="15"/>
  <c r="H4691" i="15"/>
  <c r="H4690" i="15"/>
  <c r="H4689" i="15"/>
  <c r="H4688" i="15"/>
  <c r="H4687" i="15"/>
  <c r="H4686" i="15"/>
  <c r="H4685" i="15"/>
  <c r="H4684" i="15"/>
  <c r="H4683" i="15"/>
  <c r="H4682" i="15"/>
  <c r="H4681" i="15"/>
  <c r="H4680" i="15"/>
  <c r="H4679" i="15"/>
  <c r="H4678" i="15"/>
  <c r="H4677" i="15"/>
  <c r="H4676" i="15"/>
  <c r="H4675" i="15"/>
  <c r="H4674" i="15"/>
  <c r="H4673" i="15"/>
  <c r="H4672" i="15"/>
  <c r="H4671" i="15"/>
  <c r="H4670" i="15"/>
  <c r="H4669" i="15"/>
  <c r="H4668" i="15"/>
  <c r="H4667" i="15"/>
  <c r="H4666" i="15"/>
  <c r="H4665" i="15"/>
  <c r="H4664" i="15"/>
  <c r="H4663" i="15"/>
  <c r="H4662" i="15"/>
  <c r="H4661" i="15"/>
  <c r="H4660" i="15"/>
  <c r="H4659" i="15"/>
  <c r="H4658" i="15"/>
  <c r="H4657" i="15"/>
  <c r="H4656" i="15"/>
  <c r="H4655" i="15"/>
  <c r="H4654" i="15"/>
  <c r="H4653" i="15"/>
  <c r="H4652" i="15"/>
  <c r="H4651" i="15"/>
  <c r="H4650" i="15"/>
  <c r="H4649" i="15"/>
  <c r="H4648" i="15"/>
  <c r="H4647" i="15"/>
  <c r="H4646" i="15"/>
  <c r="H4645" i="15"/>
  <c r="H4644" i="15"/>
  <c r="H4643" i="15"/>
  <c r="H4642" i="15"/>
  <c r="H4641" i="15"/>
  <c r="H4640" i="15"/>
  <c r="H4639" i="15"/>
  <c r="H4638" i="15"/>
  <c r="H4637" i="15"/>
  <c r="H4636" i="15"/>
  <c r="H4635" i="15"/>
  <c r="H4634" i="15"/>
  <c r="H4633" i="15"/>
  <c r="H4632" i="15"/>
  <c r="H4631" i="15"/>
  <c r="H4630" i="15"/>
  <c r="H4629" i="15"/>
  <c r="H4628" i="15"/>
  <c r="H4627" i="15"/>
  <c r="H4626" i="15"/>
  <c r="H4625" i="15"/>
  <c r="H4624" i="15"/>
  <c r="H4623" i="15"/>
  <c r="H4622" i="15"/>
  <c r="H4621" i="15"/>
  <c r="H4620" i="15"/>
  <c r="H4619" i="15"/>
  <c r="H4618" i="15"/>
  <c r="H4617" i="15"/>
  <c r="H4616" i="15"/>
  <c r="H4615" i="15"/>
  <c r="H4614" i="15"/>
  <c r="H4613" i="15"/>
  <c r="H4612" i="15"/>
  <c r="H4611" i="15"/>
  <c r="H4610" i="15"/>
  <c r="H4609" i="15"/>
  <c r="H4608" i="15"/>
  <c r="H4607" i="15"/>
  <c r="H4606" i="15"/>
  <c r="H4605" i="15"/>
  <c r="H4604" i="15"/>
  <c r="H4603" i="15"/>
  <c r="H4602" i="15"/>
  <c r="H4601" i="15"/>
  <c r="H4600" i="15"/>
  <c r="H4599" i="15"/>
  <c r="H4598" i="15"/>
  <c r="H4597" i="15"/>
  <c r="H4596" i="15"/>
  <c r="H4595" i="15"/>
  <c r="H4594" i="15"/>
  <c r="H4593" i="15"/>
  <c r="H4592" i="15"/>
  <c r="H4591" i="15"/>
  <c r="H4590" i="15"/>
  <c r="H4589" i="15"/>
  <c r="H4588" i="15"/>
  <c r="H4587" i="15"/>
  <c r="H4586" i="15"/>
  <c r="H4585" i="15"/>
  <c r="H4584" i="15"/>
  <c r="H4583" i="15"/>
  <c r="H4582" i="15"/>
  <c r="H4581" i="15"/>
  <c r="H4580" i="15"/>
  <c r="H4579" i="15"/>
  <c r="H4578" i="15"/>
  <c r="H4577" i="15"/>
  <c r="H4576" i="15"/>
  <c r="H4575" i="15"/>
  <c r="H4574" i="15"/>
  <c r="H4573" i="15"/>
  <c r="H4572" i="15"/>
  <c r="H4571" i="15"/>
  <c r="H4570" i="15"/>
  <c r="H4569" i="15"/>
  <c r="H4568" i="15"/>
  <c r="H4567" i="15"/>
  <c r="H4566" i="15"/>
  <c r="H4565" i="15"/>
  <c r="H4564" i="15"/>
  <c r="H4563" i="15"/>
  <c r="H4562" i="15"/>
  <c r="H4561" i="15"/>
  <c r="H4560" i="15"/>
  <c r="H4559" i="15"/>
  <c r="H4558" i="15"/>
  <c r="H4557" i="15"/>
  <c r="H4556" i="15"/>
  <c r="H4555" i="15"/>
  <c r="H4554" i="15"/>
  <c r="H4553" i="15"/>
  <c r="H4552" i="15"/>
  <c r="H4551" i="15"/>
  <c r="H4550" i="15"/>
  <c r="H4549" i="15"/>
  <c r="H4548" i="15"/>
  <c r="H4547" i="15"/>
  <c r="H4546" i="15"/>
  <c r="H4545" i="15"/>
  <c r="H4544" i="15"/>
  <c r="H4543" i="15"/>
  <c r="H4542" i="15"/>
  <c r="H4541" i="15"/>
  <c r="H4540" i="15"/>
  <c r="H4539" i="15"/>
  <c r="H4538" i="15"/>
  <c r="H4537" i="15"/>
  <c r="H4536" i="15"/>
  <c r="H4535" i="15"/>
  <c r="H4534" i="15"/>
  <c r="H4533" i="15"/>
  <c r="H4532" i="15"/>
  <c r="H4531" i="15"/>
  <c r="H4530" i="15"/>
  <c r="H4529" i="15"/>
  <c r="H4528" i="15"/>
  <c r="H4527" i="15"/>
  <c r="H4526" i="15"/>
  <c r="H4525" i="15"/>
  <c r="H4524" i="15"/>
  <c r="H4523" i="15"/>
  <c r="H4522" i="15"/>
  <c r="H4521" i="15"/>
  <c r="H4520" i="15"/>
  <c r="H4519" i="15"/>
  <c r="H4518" i="15"/>
  <c r="H4517" i="15"/>
  <c r="H4516" i="15"/>
  <c r="H4515" i="15"/>
  <c r="H4514" i="15"/>
  <c r="H4513" i="15"/>
  <c r="H4512" i="15"/>
  <c r="H4511" i="15"/>
  <c r="H4510" i="15"/>
  <c r="H4509" i="15"/>
  <c r="H4508" i="15"/>
  <c r="H4507" i="15"/>
  <c r="H4506" i="15"/>
  <c r="H4505" i="15"/>
  <c r="H4504" i="15"/>
  <c r="H4503" i="15"/>
  <c r="H4502" i="15"/>
  <c r="H4501" i="15"/>
  <c r="H4500" i="15"/>
  <c r="H4499" i="15"/>
  <c r="H4498" i="15"/>
  <c r="H4497" i="15"/>
  <c r="H4496" i="15"/>
  <c r="H4495" i="15"/>
  <c r="H4494" i="15"/>
  <c r="H4493" i="15"/>
  <c r="H4492" i="15"/>
  <c r="H4491" i="15"/>
  <c r="H4490" i="15"/>
  <c r="H4489" i="15"/>
  <c r="H4488" i="15"/>
  <c r="H4487" i="15"/>
  <c r="H4486" i="15"/>
  <c r="H4485" i="15"/>
  <c r="H4484" i="15"/>
  <c r="H4483" i="15"/>
  <c r="H4482" i="15"/>
  <c r="H4481" i="15"/>
  <c r="H4480" i="15"/>
  <c r="H4479" i="15"/>
  <c r="H4478" i="15"/>
  <c r="H4477" i="15"/>
  <c r="H4476" i="15"/>
  <c r="H4475" i="15"/>
  <c r="H4474" i="15"/>
  <c r="H4473" i="15"/>
  <c r="H4472" i="15"/>
  <c r="H4471" i="15"/>
  <c r="H4470" i="15"/>
  <c r="H4469" i="15"/>
  <c r="H4468" i="15"/>
  <c r="H4467" i="15"/>
  <c r="H4466" i="15"/>
  <c r="H4465" i="15"/>
  <c r="H4464" i="15"/>
  <c r="H4463" i="15"/>
  <c r="H4462" i="15"/>
  <c r="H4461" i="15"/>
  <c r="H4460" i="15"/>
  <c r="H4459" i="15"/>
  <c r="H4458" i="15"/>
  <c r="H4457" i="15"/>
  <c r="H4456" i="15"/>
  <c r="H4455" i="15"/>
  <c r="H4454" i="15"/>
  <c r="H4453" i="15"/>
  <c r="H4452" i="15"/>
  <c r="H4451" i="15"/>
  <c r="H4450" i="15"/>
  <c r="H4449" i="15"/>
  <c r="H4448" i="15"/>
  <c r="H4447" i="15"/>
  <c r="H4446" i="15"/>
  <c r="H4445" i="15"/>
  <c r="H4444" i="15"/>
  <c r="H4443" i="15"/>
  <c r="H4442" i="15"/>
  <c r="H4441" i="15"/>
  <c r="H4440" i="15"/>
  <c r="H4439" i="15"/>
  <c r="H4438" i="15"/>
  <c r="H4437" i="15"/>
  <c r="H4436" i="15"/>
  <c r="H4435" i="15"/>
  <c r="H4434" i="15"/>
  <c r="H4433" i="15"/>
  <c r="H4432" i="15"/>
  <c r="H4431" i="15"/>
  <c r="H4430" i="15"/>
  <c r="H4429" i="15"/>
  <c r="H4428" i="15"/>
  <c r="H4427" i="15"/>
  <c r="H4426" i="15"/>
  <c r="H4425" i="15"/>
  <c r="H4424" i="15"/>
  <c r="H4423" i="15"/>
  <c r="H4422" i="15"/>
  <c r="H4421" i="15"/>
  <c r="H4420" i="15"/>
  <c r="H4419" i="15"/>
  <c r="H4418" i="15"/>
  <c r="H4417" i="15"/>
  <c r="H4416" i="15"/>
  <c r="H4415" i="15"/>
  <c r="H4414" i="15"/>
  <c r="H4413" i="15"/>
  <c r="H4412" i="15"/>
  <c r="H4411" i="15"/>
  <c r="H4410" i="15"/>
  <c r="H4409" i="15"/>
  <c r="H4408" i="15"/>
  <c r="H4407" i="15"/>
  <c r="H4406" i="15"/>
  <c r="H4405" i="15"/>
  <c r="H4404" i="15"/>
  <c r="H4403" i="15"/>
  <c r="H4402" i="15"/>
  <c r="H4401" i="15"/>
  <c r="H4400" i="15"/>
  <c r="H4399" i="15"/>
  <c r="H4398" i="15"/>
  <c r="H4397" i="15"/>
  <c r="H4396" i="15"/>
  <c r="H4395" i="15"/>
  <c r="H4394" i="15"/>
  <c r="H4393" i="15"/>
  <c r="H4392" i="15"/>
  <c r="H4391" i="15"/>
  <c r="H4390" i="15"/>
  <c r="H4389" i="15"/>
  <c r="H4388" i="15"/>
  <c r="H4387" i="15"/>
  <c r="H4386" i="15"/>
  <c r="H4385" i="15"/>
  <c r="H4384" i="15"/>
  <c r="H4383" i="15"/>
  <c r="H4382" i="15"/>
  <c r="H4381" i="15"/>
  <c r="H4380" i="15"/>
  <c r="H4379" i="15"/>
  <c r="H4378" i="15"/>
  <c r="H4377" i="15"/>
  <c r="H4376" i="15"/>
  <c r="H4375" i="15"/>
  <c r="H4374" i="15"/>
  <c r="H4373" i="15"/>
  <c r="H4372" i="15"/>
  <c r="H4371" i="15"/>
  <c r="H4370" i="15"/>
  <c r="H4369" i="15"/>
  <c r="H4368" i="15"/>
  <c r="H4367" i="15"/>
  <c r="H4366" i="15"/>
  <c r="H4365" i="15"/>
  <c r="H4364" i="15"/>
  <c r="H4363" i="15"/>
  <c r="H4362" i="15"/>
  <c r="H4361" i="15"/>
  <c r="H4360" i="15"/>
  <c r="H4359" i="15"/>
  <c r="H4358" i="15"/>
  <c r="H4357" i="15"/>
  <c r="H4356" i="15"/>
  <c r="H4355" i="15"/>
  <c r="H4354" i="15"/>
  <c r="H4353" i="15"/>
  <c r="H4352" i="15"/>
  <c r="H4351" i="15"/>
  <c r="H4350" i="15"/>
  <c r="H4349" i="15"/>
  <c r="H4348" i="15"/>
  <c r="H4347" i="15"/>
  <c r="H4346" i="15"/>
  <c r="H4345" i="15"/>
  <c r="H4344" i="15"/>
  <c r="H4343" i="15"/>
  <c r="H4342" i="15"/>
  <c r="H4341" i="15"/>
  <c r="H4340" i="15"/>
  <c r="H4339" i="15"/>
  <c r="H4338" i="15"/>
  <c r="H4337" i="15"/>
  <c r="H4336" i="15"/>
  <c r="H4335" i="15"/>
  <c r="H4334" i="15"/>
  <c r="H4333" i="15"/>
  <c r="H4332" i="15"/>
  <c r="H4331" i="15"/>
  <c r="H4330" i="15"/>
  <c r="H4329" i="15"/>
  <c r="H4328" i="15"/>
  <c r="H4327" i="15"/>
  <c r="H4326" i="15"/>
  <c r="H4325" i="15"/>
  <c r="H4324" i="15"/>
  <c r="H4323" i="15"/>
  <c r="H4322" i="15"/>
  <c r="H4321" i="15"/>
  <c r="H4320" i="15"/>
  <c r="H4319" i="15"/>
  <c r="H4318" i="15"/>
  <c r="H4317" i="15"/>
  <c r="H4316" i="15"/>
  <c r="H4315" i="15"/>
  <c r="H4314" i="15"/>
  <c r="H4313" i="15"/>
  <c r="H4312" i="15"/>
  <c r="H4311" i="15"/>
  <c r="H4310" i="15"/>
  <c r="H4309" i="15"/>
  <c r="H4308" i="15"/>
  <c r="H4307" i="15"/>
  <c r="H4306" i="15"/>
  <c r="H4305" i="15"/>
  <c r="H4304" i="15"/>
  <c r="H4303" i="15"/>
  <c r="H4302" i="15"/>
  <c r="H4301" i="15"/>
  <c r="H4300" i="15"/>
  <c r="H4299" i="15"/>
  <c r="H4298" i="15"/>
  <c r="H4297" i="15"/>
  <c r="H4296" i="15"/>
  <c r="H4295" i="15"/>
  <c r="H4294" i="15"/>
  <c r="H4293" i="15"/>
  <c r="H4292" i="15"/>
  <c r="H4291" i="15"/>
  <c r="H4290" i="15"/>
  <c r="H4289" i="15"/>
  <c r="H4288" i="15"/>
  <c r="H4287" i="15"/>
  <c r="H4286" i="15"/>
  <c r="H4285" i="15"/>
  <c r="H4284" i="15"/>
  <c r="H4283" i="15"/>
  <c r="H4282" i="15"/>
  <c r="H4281" i="15"/>
  <c r="H4280" i="15"/>
  <c r="H4279" i="15"/>
  <c r="H4278" i="15"/>
  <c r="H4277" i="15"/>
  <c r="H4276" i="15"/>
  <c r="H4275" i="15"/>
  <c r="H4274" i="15"/>
  <c r="H4273" i="15"/>
  <c r="H4272" i="15"/>
  <c r="H4271" i="15"/>
  <c r="H4270" i="15"/>
  <c r="H4269" i="15"/>
  <c r="H4268" i="15"/>
  <c r="H4267" i="15"/>
  <c r="H4266" i="15"/>
  <c r="H4265" i="15"/>
  <c r="H4264" i="15"/>
  <c r="H4263" i="15"/>
  <c r="H4262" i="15"/>
  <c r="H4261" i="15"/>
  <c r="H4260" i="15"/>
  <c r="H4259" i="15"/>
  <c r="H4258" i="15"/>
  <c r="H4257" i="15"/>
  <c r="H4256" i="15"/>
  <c r="H4255" i="15"/>
  <c r="H4254" i="15"/>
  <c r="H4253" i="15"/>
  <c r="H4252" i="15"/>
  <c r="H4251" i="15"/>
  <c r="H4250" i="15"/>
  <c r="H4249" i="15"/>
  <c r="H4248" i="15"/>
  <c r="H4247" i="15"/>
  <c r="H4246" i="15"/>
  <c r="H4245" i="15"/>
  <c r="H4244" i="15"/>
  <c r="H4243" i="15"/>
  <c r="H4242" i="15"/>
  <c r="H4241" i="15"/>
  <c r="H4240" i="15"/>
  <c r="H4239" i="15"/>
  <c r="H4238" i="15"/>
  <c r="H4237" i="15"/>
  <c r="H4236" i="15"/>
  <c r="H4235" i="15"/>
  <c r="H4234" i="15"/>
  <c r="H4233" i="15"/>
  <c r="H4232" i="15"/>
  <c r="H4231" i="15"/>
  <c r="H4230" i="15"/>
  <c r="H4229" i="15"/>
  <c r="H4228" i="15"/>
  <c r="H4227" i="15"/>
  <c r="H4226" i="15"/>
  <c r="H4225" i="15"/>
  <c r="H4224" i="15"/>
  <c r="H4223" i="15"/>
  <c r="H4222" i="15"/>
  <c r="H4221" i="15"/>
  <c r="H4220" i="15"/>
  <c r="H4219" i="15"/>
  <c r="H4218" i="15"/>
  <c r="H4217" i="15"/>
  <c r="H4216" i="15"/>
  <c r="H4215" i="15"/>
  <c r="H4214" i="15"/>
  <c r="H4213" i="15"/>
  <c r="H4212" i="15"/>
  <c r="H4211" i="15"/>
  <c r="H4210" i="15"/>
  <c r="H4209" i="15"/>
  <c r="H4208" i="15"/>
  <c r="H4207" i="15"/>
  <c r="H4206" i="15"/>
  <c r="H4205" i="15"/>
  <c r="H4204" i="15"/>
  <c r="H4203" i="15"/>
  <c r="H4202" i="15"/>
  <c r="H4201" i="15"/>
  <c r="H4200" i="15"/>
  <c r="H4199" i="15"/>
  <c r="H4198" i="15"/>
  <c r="H4197" i="15"/>
  <c r="H4196" i="15"/>
  <c r="H4195" i="15"/>
  <c r="H4194" i="15"/>
  <c r="H4193" i="15"/>
  <c r="H4192" i="15"/>
  <c r="H4191" i="15"/>
  <c r="H4190" i="15"/>
  <c r="H4189" i="15"/>
  <c r="H4188" i="15"/>
  <c r="H4187" i="15"/>
  <c r="H4186" i="15"/>
  <c r="H4185" i="15"/>
  <c r="H4184" i="15"/>
  <c r="H4183" i="15"/>
  <c r="H4182" i="15"/>
  <c r="H4181" i="15"/>
  <c r="H4180" i="15"/>
  <c r="H4179" i="15"/>
  <c r="H4178" i="15"/>
  <c r="H4177" i="15"/>
  <c r="H4176" i="15"/>
  <c r="H4175" i="15"/>
  <c r="H4174" i="15"/>
  <c r="H4173" i="15"/>
  <c r="H4172" i="15"/>
  <c r="H4171" i="15"/>
  <c r="H4170" i="15"/>
  <c r="H4169" i="15"/>
  <c r="H4168" i="15"/>
  <c r="H4167" i="15"/>
  <c r="H4166" i="15"/>
  <c r="H4165" i="15"/>
  <c r="H4164" i="15"/>
  <c r="H4163" i="15"/>
  <c r="H4162" i="15"/>
  <c r="H4161" i="15"/>
  <c r="H4160" i="15"/>
  <c r="H4159" i="15"/>
  <c r="H4158" i="15"/>
  <c r="H4157" i="15"/>
  <c r="H4156" i="15"/>
  <c r="H4155" i="15"/>
  <c r="H4154" i="15"/>
  <c r="H4153" i="15"/>
  <c r="H4152" i="15"/>
  <c r="H4151" i="15"/>
  <c r="H4150" i="15"/>
  <c r="H4149" i="15"/>
  <c r="H4148" i="15"/>
  <c r="H4147" i="15"/>
  <c r="H4146" i="15"/>
  <c r="H4145" i="15"/>
  <c r="H4144" i="15"/>
  <c r="H4143" i="15"/>
  <c r="H4142" i="15"/>
  <c r="H4141" i="15"/>
  <c r="H4140" i="15"/>
  <c r="H4139" i="15"/>
  <c r="H4138" i="15"/>
  <c r="H4137" i="15"/>
  <c r="H4136" i="15"/>
  <c r="H4135" i="15"/>
  <c r="H4134" i="15"/>
  <c r="H4133" i="15"/>
  <c r="H4132" i="15"/>
  <c r="H4131" i="15"/>
  <c r="H4130" i="15"/>
  <c r="H4129" i="15"/>
  <c r="H4128" i="15"/>
  <c r="H4127" i="15"/>
  <c r="H4126" i="15"/>
  <c r="H4125" i="15"/>
  <c r="H4124" i="15"/>
  <c r="H4123" i="15"/>
  <c r="H4122" i="15"/>
  <c r="H4121" i="15"/>
  <c r="H4120" i="15"/>
  <c r="H4119" i="15"/>
  <c r="H4118" i="15"/>
  <c r="H4117" i="15"/>
  <c r="H4116" i="15"/>
  <c r="H4115" i="15"/>
  <c r="H4114" i="15"/>
  <c r="H4113" i="15"/>
  <c r="H4112" i="15"/>
  <c r="H4111" i="15"/>
  <c r="H4110" i="15"/>
  <c r="H4109" i="15"/>
  <c r="H4108" i="15"/>
  <c r="H4107" i="15"/>
  <c r="H4106" i="15"/>
  <c r="H4105" i="15"/>
  <c r="H4104" i="15"/>
  <c r="H4103" i="15"/>
  <c r="H4102" i="15"/>
  <c r="H4101" i="15"/>
  <c r="H4100" i="15"/>
  <c r="H4099" i="15"/>
  <c r="H4098" i="15"/>
  <c r="H4097" i="15"/>
  <c r="H4096" i="15"/>
  <c r="H4095" i="15"/>
  <c r="H4094" i="15"/>
  <c r="H4093" i="15"/>
  <c r="H4092" i="15"/>
  <c r="H4091" i="15"/>
  <c r="H4090" i="15"/>
  <c r="H4089" i="15"/>
  <c r="H4088" i="15"/>
  <c r="H4087" i="15"/>
  <c r="H4086" i="15"/>
  <c r="H4085" i="15"/>
  <c r="H4084" i="15"/>
  <c r="H4083" i="15"/>
  <c r="H4082" i="15"/>
  <c r="H4081" i="15"/>
  <c r="H4080" i="15"/>
  <c r="H4079" i="15"/>
  <c r="H4078" i="15"/>
  <c r="H4077" i="15"/>
  <c r="H4076" i="15"/>
  <c r="H4075" i="15"/>
  <c r="H4074" i="15"/>
  <c r="H4073" i="15"/>
  <c r="H4072" i="15"/>
  <c r="H4071" i="15"/>
  <c r="H4070" i="15"/>
  <c r="H4069" i="15"/>
  <c r="H4068" i="15"/>
  <c r="H4067" i="15"/>
  <c r="H4066" i="15"/>
  <c r="H4065" i="15"/>
  <c r="H4064" i="15"/>
  <c r="H4063" i="15"/>
  <c r="H4062" i="15"/>
  <c r="H4061" i="15"/>
  <c r="H4060" i="15"/>
  <c r="H4059" i="15"/>
  <c r="H4058" i="15"/>
  <c r="H4057" i="15"/>
  <c r="H4056" i="15"/>
  <c r="H4055" i="15"/>
  <c r="H4054" i="15"/>
  <c r="H4053" i="15"/>
  <c r="H4052" i="15"/>
  <c r="H4051" i="15"/>
  <c r="H4050" i="15"/>
  <c r="H4049" i="15"/>
  <c r="H4048" i="15"/>
  <c r="H4047" i="15"/>
  <c r="H4046" i="15"/>
  <c r="H4045" i="15"/>
  <c r="H4044" i="15"/>
  <c r="H4043" i="15"/>
  <c r="H4042" i="15"/>
  <c r="H4041" i="15"/>
  <c r="H4040" i="15"/>
  <c r="H4039" i="15"/>
  <c r="H4038" i="15"/>
  <c r="H4037" i="15"/>
  <c r="H4036" i="15"/>
  <c r="H4035" i="15"/>
  <c r="H4034" i="15"/>
  <c r="H4033" i="15"/>
  <c r="H4032" i="15"/>
  <c r="H4031" i="15"/>
  <c r="H4030" i="15"/>
  <c r="H4029" i="15"/>
  <c r="H4028" i="15"/>
  <c r="H4027" i="15"/>
  <c r="H4026" i="15"/>
  <c r="H4025" i="15"/>
  <c r="H4024" i="15"/>
  <c r="H4023" i="15"/>
  <c r="H4022" i="15"/>
  <c r="H4021" i="15"/>
  <c r="H4020" i="15"/>
  <c r="H4019" i="15"/>
  <c r="H4018" i="15"/>
  <c r="H4017" i="15"/>
  <c r="H4016" i="15"/>
  <c r="H4015" i="15"/>
  <c r="H4014" i="15"/>
  <c r="H4013" i="15"/>
  <c r="H4012" i="15"/>
  <c r="H4011" i="15"/>
  <c r="H4010" i="15"/>
  <c r="H4009" i="15"/>
  <c r="H4008" i="15"/>
  <c r="H4007" i="15"/>
  <c r="H4006" i="15"/>
  <c r="H4005" i="15"/>
  <c r="H4004" i="15"/>
  <c r="H4003" i="15"/>
  <c r="H4002" i="15"/>
  <c r="H4001" i="15"/>
  <c r="H4000" i="15"/>
  <c r="H3999" i="15"/>
  <c r="H3998" i="15"/>
  <c r="H3997" i="15"/>
  <c r="H3996" i="15"/>
  <c r="H3995" i="15"/>
  <c r="H3994" i="15"/>
  <c r="H3993" i="15"/>
  <c r="H3992" i="15"/>
  <c r="H3991" i="15"/>
  <c r="H3990" i="15"/>
  <c r="H3989" i="15"/>
  <c r="H3988" i="15"/>
  <c r="H3987" i="15"/>
  <c r="H3986" i="15"/>
  <c r="H3985" i="15"/>
  <c r="H3984" i="15"/>
  <c r="H3983" i="15"/>
  <c r="H3982" i="15"/>
  <c r="H3981" i="15"/>
  <c r="H3980" i="15"/>
  <c r="H3979" i="15"/>
  <c r="H3978" i="15"/>
  <c r="H3977" i="15"/>
  <c r="H3976" i="15"/>
  <c r="H3975" i="15"/>
  <c r="H3974" i="15"/>
  <c r="H3973" i="15"/>
  <c r="H3972" i="15"/>
  <c r="H3971" i="15"/>
  <c r="H3970" i="15"/>
  <c r="H3969" i="15"/>
  <c r="H3968" i="15"/>
  <c r="H3967" i="15"/>
  <c r="H3966" i="15"/>
  <c r="H3965" i="15"/>
  <c r="H3964" i="15"/>
  <c r="H3963" i="15"/>
  <c r="H3962" i="15"/>
  <c r="H3961" i="15"/>
  <c r="H3960" i="15"/>
  <c r="H3959" i="15"/>
  <c r="H3958" i="15"/>
  <c r="H3957" i="15"/>
  <c r="H3956" i="15"/>
  <c r="H3955" i="15"/>
  <c r="H3954" i="15"/>
  <c r="H3953" i="15"/>
  <c r="H3952" i="15"/>
  <c r="H3951" i="15"/>
  <c r="H3950" i="15"/>
  <c r="H3949" i="15"/>
  <c r="H3948" i="15"/>
  <c r="H3947" i="15"/>
  <c r="H3946" i="15"/>
  <c r="H3945" i="15"/>
  <c r="H3944" i="15"/>
  <c r="H3943" i="15"/>
  <c r="H3942" i="15"/>
  <c r="H3941" i="15"/>
  <c r="H3940" i="15"/>
  <c r="H3939" i="15"/>
  <c r="H3938" i="15"/>
  <c r="H3937" i="15"/>
  <c r="H3936" i="15"/>
  <c r="H3935" i="15"/>
  <c r="H3934" i="15"/>
  <c r="H3933" i="15"/>
  <c r="H3932" i="15"/>
  <c r="H3931" i="15"/>
  <c r="H3930" i="15"/>
  <c r="H3929" i="15"/>
  <c r="H3928" i="15"/>
  <c r="H3927" i="15"/>
  <c r="H3926" i="15"/>
  <c r="H3925" i="15"/>
  <c r="H3924" i="15"/>
  <c r="H3923" i="15"/>
  <c r="H3922" i="15"/>
  <c r="H3921" i="15"/>
  <c r="H3920" i="15"/>
  <c r="H3919" i="15"/>
  <c r="H3918" i="15"/>
  <c r="H3917" i="15"/>
  <c r="H3916" i="15"/>
  <c r="H3915" i="15"/>
  <c r="H3914" i="15"/>
  <c r="H3913" i="15"/>
  <c r="H3912" i="15"/>
  <c r="H3911" i="15"/>
  <c r="H3910" i="15"/>
  <c r="H3909" i="15"/>
  <c r="H3908" i="15"/>
  <c r="H3907" i="15"/>
  <c r="H3906" i="15"/>
  <c r="H3905" i="15"/>
  <c r="H3904" i="15"/>
  <c r="H3903" i="15"/>
  <c r="H3902" i="15"/>
  <c r="H3901" i="15"/>
  <c r="H3900" i="15"/>
  <c r="H3899" i="15"/>
  <c r="H3898" i="15"/>
  <c r="H3897" i="15"/>
  <c r="H3896" i="15"/>
  <c r="H3895" i="15"/>
  <c r="H3894" i="15"/>
  <c r="H3893" i="15"/>
  <c r="H3892" i="15"/>
  <c r="H3891" i="15"/>
  <c r="H3890" i="15"/>
  <c r="H3889" i="15"/>
  <c r="H3888" i="15"/>
  <c r="H3887" i="15"/>
  <c r="H3886" i="15"/>
  <c r="H3885" i="15"/>
  <c r="H3884" i="15"/>
  <c r="H3883" i="15"/>
  <c r="H3882" i="15"/>
  <c r="H3881" i="15"/>
  <c r="H3880" i="15"/>
  <c r="H3879" i="15"/>
  <c r="H3878" i="15"/>
  <c r="H3877" i="15"/>
  <c r="H3876" i="15"/>
  <c r="H3875" i="15"/>
  <c r="H3874" i="15"/>
  <c r="H3873" i="15"/>
  <c r="H3872" i="15"/>
  <c r="H3871" i="15"/>
  <c r="H3870" i="15"/>
  <c r="H3869" i="15"/>
  <c r="H3868" i="15"/>
  <c r="H3867" i="15"/>
  <c r="H3866" i="15"/>
  <c r="H3865" i="15"/>
  <c r="H3864" i="15"/>
  <c r="H3863" i="15"/>
  <c r="H3862" i="15"/>
  <c r="H3861" i="15"/>
  <c r="H3860" i="15"/>
  <c r="H3859" i="15"/>
  <c r="H3858" i="15"/>
  <c r="H3857" i="15"/>
  <c r="H3856" i="15"/>
  <c r="H3855" i="15"/>
  <c r="H3854" i="15"/>
  <c r="H3853" i="15"/>
  <c r="H3852" i="15"/>
  <c r="H3851" i="15"/>
  <c r="H3850" i="15"/>
  <c r="H3849" i="15"/>
  <c r="H3848" i="15"/>
  <c r="H3847" i="15"/>
  <c r="H3846" i="15"/>
  <c r="H3845" i="15"/>
  <c r="H3844" i="15"/>
  <c r="H3843" i="15"/>
  <c r="H3842" i="15"/>
  <c r="H3841" i="15"/>
  <c r="H3840" i="15"/>
  <c r="H3839" i="15"/>
  <c r="H3838" i="15"/>
  <c r="H3837" i="15"/>
  <c r="H3836" i="15"/>
  <c r="H3835" i="15"/>
  <c r="H3834" i="15"/>
  <c r="H3833" i="15"/>
  <c r="H3832" i="15"/>
  <c r="H3831" i="15"/>
  <c r="H3830" i="15"/>
  <c r="H3829" i="15"/>
  <c r="H3828" i="15"/>
  <c r="H3827" i="15"/>
  <c r="H3826" i="15"/>
  <c r="H3825" i="15"/>
  <c r="H3824" i="15"/>
  <c r="H3823" i="15"/>
  <c r="H3822" i="15"/>
  <c r="H3821" i="15"/>
  <c r="H3820" i="15"/>
  <c r="H3819" i="15"/>
  <c r="H3818" i="15"/>
  <c r="H3817" i="15"/>
  <c r="H3816" i="15"/>
  <c r="H3815" i="15"/>
  <c r="H3814" i="15"/>
  <c r="H3813" i="15"/>
  <c r="H3812" i="15"/>
  <c r="H3811" i="15"/>
  <c r="H3810" i="15"/>
  <c r="H3809" i="15"/>
  <c r="H3808" i="15"/>
  <c r="H3807" i="15"/>
  <c r="H3806" i="15"/>
  <c r="H3805" i="15"/>
  <c r="H3804" i="15"/>
  <c r="H3803" i="15"/>
  <c r="H3802" i="15"/>
  <c r="H3801" i="15"/>
  <c r="H3800" i="15"/>
  <c r="H3799" i="15"/>
  <c r="H3798" i="15"/>
  <c r="H3797" i="15"/>
  <c r="H3796" i="15"/>
  <c r="H3795" i="15"/>
  <c r="H3794" i="15"/>
  <c r="H3793" i="15"/>
  <c r="H3792" i="15"/>
  <c r="H3791" i="15"/>
  <c r="H3790" i="15"/>
  <c r="H3789" i="15"/>
  <c r="H3788" i="15"/>
  <c r="H3787" i="15"/>
  <c r="H3786" i="15"/>
  <c r="H3785" i="15"/>
  <c r="H3784" i="15"/>
  <c r="H3783" i="15"/>
  <c r="H3782" i="15"/>
  <c r="H3781" i="15"/>
  <c r="H3780" i="15"/>
  <c r="H3779" i="15"/>
  <c r="H3778" i="15"/>
  <c r="H3777" i="15"/>
  <c r="H3776" i="15"/>
  <c r="H3775" i="15"/>
  <c r="H3774" i="15"/>
  <c r="H3773" i="15"/>
  <c r="H3772" i="15"/>
  <c r="H3771" i="15"/>
  <c r="H3770" i="15"/>
  <c r="H3769" i="15"/>
  <c r="H3768" i="15"/>
  <c r="H3767" i="15"/>
  <c r="H3766" i="15"/>
  <c r="H3765" i="15"/>
  <c r="H3764" i="15"/>
  <c r="H3763" i="15"/>
  <c r="H3762" i="15"/>
  <c r="H3761" i="15"/>
  <c r="H3760" i="15"/>
  <c r="H3759" i="15"/>
  <c r="H3758" i="15"/>
  <c r="H3757" i="15"/>
  <c r="H3756" i="15"/>
  <c r="H3755" i="15"/>
  <c r="H3754" i="15"/>
  <c r="H3753" i="15"/>
  <c r="H3752" i="15"/>
  <c r="H3751" i="15"/>
  <c r="H3750" i="15"/>
  <c r="H3749" i="15"/>
  <c r="H3748" i="15"/>
  <c r="H3747" i="15"/>
  <c r="H3746" i="15"/>
  <c r="H3745" i="15"/>
  <c r="H3744" i="15"/>
  <c r="H3743" i="15"/>
  <c r="H3742" i="15"/>
  <c r="H3741" i="15"/>
  <c r="H3740" i="15"/>
  <c r="H3739" i="15"/>
  <c r="H3738" i="15"/>
  <c r="H3737" i="15"/>
  <c r="H3736" i="15"/>
  <c r="H3735" i="15"/>
  <c r="H3734" i="15"/>
  <c r="H3733" i="15"/>
  <c r="H3732" i="15"/>
  <c r="H3731" i="15"/>
  <c r="H3730" i="15"/>
  <c r="H3729" i="15"/>
  <c r="H3728" i="15"/>
  <c r="H3727" i="15"/>
  <c r="H3726" i="15"/>
  <c r="H3725" i="15"/>
  <c r="H3724" i="15"/>
  <c r="H3723" i="15"/>
  <c r="H3722" i="15"/>
  <c r="H3721" i="15"/>
  <c r="H3720" i="15"/>
  <c r="H3719" i="15"/>
  <c r="H3718" i="15"/>
  <c r="H3717" i="15"/>
  <c r="H3716" i="15"/>
  <c r="H3715" i="15"/>
  <c r="H3714" i="15"/>
  <c r="H3713" i="15"/>
  <c r="H3712" i="15"/>
  <c r="H3711" i="15"/>
  <c r="H3710" i="15"/>
  <c r="H3709" i="15"/>
  <c r="H3708" i="15"/>
  <c r="H3707" i="15"/>
  <c r="H3706" i="15"/>
  <c r="H3705" i="15"/>
  <c r="H3704" i="15"/>
  <c r="H3703" i="15"/>
  <c r="H3702" i="15"/>
  <c r="H3701" i="15"/>
  <c r="H3700" i="15"/>
  <c r="H3699" i="15"/>
  <c r="H3698" i="15"/>
  <c r="H3697" i="15"/>
  <c r="H3696" i="15"/>
  <c r="H3695" i="15"/>
  <c r="H3694" i="15"/>
  <c r="H3693" i="15"/>
  <c r="H3692" i="15"/>
  <c r="H3691" i="15"/>
  <c r="H3690" i="15"/>
  <c r="H3689" i="15"/>
  <c r="H3688" i="15"/>
  <c r="H3687" i="15"/>
  <c r="H3686" i="15"/>
  <c r="H3685" i="15"/>
  <c r="H3684" i="15"/>
  <c r="H3683" i="15"/>
  <c r="H3682" i="15"/>
  <c r="H3681" i="15"/>
  <c r="H3680" i="15"/>
  <c r="H3679" i="15"/>
  <c r="H3678" i="15"/>
  <c r="H3677" i="15"/>
  <c r="H3676" i="15"/>
  <c r="H3675" i="15"/>
  <c r="H3674" i="15"/>
  <c r="H3673" i="15"/>
  <c r="H3672" i="15"/>
  <c r="H3671" i="15"/>
  <c r="H3670" i="15"/>
  <c r="H3669" i="15"/>
  <c r="H3668" i="15"/>
  <c r="H3667" i="15"/>
  <c r="H3666" i="15"/>
  <c r="H3665" i="15"/>
  <c r="H3664" i="15"/>
  <c r="H3663" i="15"/>
  <c r="H3662" i="15"/>
  <c r="H3661" i="15"/>
  <c r="H3660" i="15"/>
  <c r="H3659" i="15"/>
  <c r="H3658" i="15"/>
  <c r="H3657" i="15"/>
  <c r="H3656" i="15"/>
  <c r="H3655" i="15"/>
  <c r="H3654" i="15"/>
  <c r="H3653" i="15"/>
  <c r="H3652" i="15"/>
  <c r="H3651" i="15"/>
  <c r="H3650" i="15"/>
  <c r="H3649" i="15"/>
  <c r="H3648" i="15"/>
  <c r="H3647" i="15"/>
  <c r="H3646" i="15"/>
  <c r="H3645" i="15"/>
  <c r="H3644" i="15"/>
  <c r="H3643" i="15"/>
  <c r="H3642" i="15"/>
  <c r="H3641" i="15"/>
  <c r="H3640" i="15"/>
  <c r="H3639" i="15"/>
  <c r="H3638" i="15"/>
  <c r="H3637" i="15"/>
  <c r="H3636" i="15"/>
  <c r="H3635" i="15"/>
  <c r="H3634" i="15"/>
  <c r="H3633" i="15"/>
  <c r="H3632" i="15"/>
  <c r="H3631" i="15"/>
  <c r="H3630" i="15"/>
  <c r="H3629" i="15"/>
  <c r="H3628" i="15"/>
  <c r="H3627" i="15"/>
  <c r="H3626" i="15"/>
  <c r="H3625" i="15"/>
  <c r="H3624" i="15"/>
  <c r="H3623" i="15"/>
  <c r="H3622" i="15"/>
  <c r="H3621" i="15"/>
  <c r="H3620" i="15"/>
  <c r="H3619" i="15"/>
  <c r="H3618" i="15"/>
  <c r="H3617" i="15"/>
  <c r="H3616" i="15"/>
  <c r="H3615" i="15"/>
  <c r="H3614" i="15"/>
  <c r="H3613" i="15"/>
  <c r="H3612" i="15"/>
  <c r="H3611" i="15"/>
  <c r="H3610" i="15"/>
  <c r="H3609" i="15"/>
  <c r="H3608" i="15"/>
  <c r="H3607" i="15"/>
  <c r="H3606" i="15"/>
  <c r="H3605" i="15"/>
  <c r="H3604" i="15"/>
  <c r="H3603" i="15"/>
  <c r="H3602" i="15"/>
  <c r="H3601" i="15"/>
  <c r="H3600" i="15"/>
  <c r="H3599" i="15"/>
  <c r="H3598" i="15"/>
  <c r="H3597" i="15"/>
  <c r="H3596" i="15"/>
  <c r="H3595" i="15"/>
  <c r="H3594" i="15"/>
  <c r="H3593" i="15"/>
  <c r="H3592" i="15"/>
  <c r="H3591" i="15"/>
  <c r="H3590" i="15"/>
  <c r="H3589" i="15"/>
  <c r="H3588" i="15"/>
  <c r="H3587" i="15"/>
  <c r="H3586" i="15"/>
  <c r="H3585" i="15"/>
  <c r="H3584" i="15"/>
  <c r="H3583" i="15"/>
  <c r="H3582" i="15"/>
  <c r="H3581" i="15"/>
  <c r="H3580" i="15"/>
  <c r="H3579" i="15"/>
  <c r="H3578" i="15"/>
  <c r="H3577" i="15"/>
  <c r="H3576" i="15"/>
  <c r="H3575" i="15"/>
  <c r="H3574" i="15"/>
  <c r="H3573" i="15"/>
  <c r="H3572" i="15"/>
  <c r="H3571" i="15"/>
  <c r="H3570" i="15"/>
  <c r="H3569" i="15"/>
  <c r="H3568" i="15"/>
  <c r="H3567" i="15"/>
  <c r="H3566" i="15"/>
  <c r="H3565" i="15"/>
  <c r="H3564" i="15"/>
  <c r="H3563" i="15"/>
  <c r="H3562" i="15"/>
  <c r="H3561" i="15"/>
  <c r="H3560" i="15"/>
  <c r="H3559" i="15"/>
  <c r="H3558" i="15"/>
  <c r="H3557" i="15"/>
  <c r="H3556" i="15"/>
  <c r="H3555" i="15"/>
  <c r="H3554" i="15"/>
  <c r="H3553" i="15"/>
  <c r="H3552" i="15"/>
  <c r="H3551" i="15"/>
  <c r="H3550" i="15"/>
  <c r="H3549" i="15"/>
  <c r="H3548" i="15"/>
  <c r="H3547" i="15"/>
  <c r="H3546" i="15"/>
  <c r="H3545" i="15"/>
  <c r="H3544" i="15"/>
  <c r="H3543" i="15"/>
  <c r="H3542" i="15"/>
  <c r="H3541" i="15"/>
  <c r="H3540" i="15"/>
  <c r="H3539" i="15"/>
  <c r="H3538" i="15"/>
  <c r="H3537" i="15"/>
  <c r="H3536" i="15"/>
  <c r="H3535" i="15"/>
  <c r="H3534" i="15"/>
  <c r="H3533" i="15"/>
  <c r="H3532" i="15"/>
  <c r="H3531" i="15"/>
  <c r="H3530" i="15"/>
  <c r="H3529" i="15"/>
  <c r="H3528" i="15"/>
  <c r="H3527" i="15"/>
  <c r="H3526" i="15"/>
  <c r="H3525" i="15"/>
  <c r="H3524" i="15"/>
  <c r="H3523" i="15"/>
  <c r="H3522" i="15"/>
  <c r="H3521" i="15"/>
  <c r="H3520" i="15"/>
  <c r="H3519" i="15"/>
  <c r="H3518" i="15"/>
  <c r="H3517" i="15"/>
  <c r="H3516" i="15"/>
  <c r="H3515" i="15"/>
  <c r="H3514" i="15"/>
  <c r="H3513" i="15"/>
  <c r="H3512" i="15"/>
  <c r="H3511" i="15"/>
  <c r="H3510" i="15"/>
  <c r="H3509" i="15"/>
  <c r="H3508" i="15"/>
  <c r="H3507" i="15"/>
  <c r="H3506" i="15"/>
  <c r="H3505" i="15"/>
  <c r="H3504" i="15"/>
  <c r="H3503" i="15"/>
  <c r="H3502" i="15"/>
  <c r="H3501" i="15"/>
  <c r="H3500" i="15"/>
  <c r="H3499" i="15"/>
  <c r="H3498" i="15"/>
  <c r="H3497" i="15"/>
  <c r="H3496" i="15"/>
  <c r="H3495" i="15"/>
  <c r="H3494" i="15"/>
  <c r="H3493" i="15"/>
  <c r="H3492" i="15"/>
  <c r="H3491" i="15"/>
  <c r="H3490" i="15"/>
  <c r="H3489" i="15"/>
  <c r="H3488" i="15"/>
  <c r="H3487" i="15"/>
  <c r="H3486" i="15"/>
  <c r="H3485" i="15"/>
  <c r="H3484" i="15"/>
  <c r="H3483" i="15"/>
  <c r="H3482" i="15"/>
  <c r="H3481" i="15"/>
  <c r="H3480" i="15"/>
  <c r="H3479" i="15"/>
  <c r="H3478" i="15"/>
  <c r="H3477" i="15"/>
  <c r="H3476" i="15"/>
  <c r="H3475" i="15"/>
  <c r="H3474" i="15"/>
  <c r="H3473" i="15"/>
  <c r="H3472" i="15"/>
  <c r="H3471" i="15"/>
  <c r="H3470" i="15"/>
  <c r="H3469" i="15"/>
  <c r="H3468" i="15"/>
  <c r="H3467" i="15"/>
  <c r="H3466" i="15"/>
  <c r="H3465" i="15"/>
  <c r="H3464" i="15"/>
  <c r="H3463" i="15"/>
  <c r="H3462" i="15"/>
  <c r="H3461" i="15"/>
  <c r="H3460" i="15"/>
  <c r="H3459" i="15"/>
  <c r="H3458" i="15"/>
  <c r="H3457" i="15"/>
  <c r="H3456" i="15"/>
  <c r="H3455" i="15"/>
  <c r="H3454" i="15"/>
  <c r="H3453" i="15"/>
  <c r="H3452" i="15"/>
  <c r="H3451" i="15"/>
  <c r="H3450" i="15"/>
  <c r="H3449" i="15"/>
  <c r="H3448" i="15"/>
  <c r="H3447" i="15"/>
  <c r="H3446" i="15"/>
  <c r="H3445" i="15"/>
  <c r="H3444" i="15"/>
  <c r="H3443" i="15"/>
  <c r="H3442" i="15"/>
  <c r="H3441" i="15"/>
  <c r="H3440" i="15"/>
  <c r="H3439" i="15"/>
  <c r="H3438" i="15"/>
  <c r="H3437" i="15"/>
  <c r="H3436" i="15"/>
  <c r="H3435" i="15"/>
  <c r="H3434" i="15"/>
  <c r="H3433" i="15"/>
  <c r="H3432" i="15"/>
  <c r="H3431" i="15"/>
  <c r="H3430" i="15"/>
  <c r="H3429" i="15"/>
  <c r="H3428" i="15"/>
  <c r="H3427" i="15"/>
  <c r="H3426" i="15"/>
  <c r="H3425" i="15"/>
  <c r="H3424" i="15"/>
  <c r="H3423" i="15"/>
  <c r="H3422" i="15"/>
  <c r="H3421" i="15"/>
  <c r="H3420" i="15"/>
  <c r="H3419" i="15"/>
  <c r="H3418" i="15"/>
  <c r="H3417" i="15"/>
  <c r="H3416" i="15"/>
  <c r="H3415" i="15"/>
  <c r="H3414" i="15"/>
  <c r="H3413" i="15"/>
  <c r="H3412" i="15"/>
  <c r="H3411" i="15"/>
  <c r="H3410" i="15"/>
  <c r="H3409" i="15"/>
  <c r="H3408" i="15"/>
  <c r="H3407" i="15"/>
  <c r="H3406" i="15"/>
  <c r="H3405" i="15"/>
  <c r="H3404" i="15"/>
  <c r="H3403" i="15"/>
  <c r="H3402" i="15"/>
  <c r="H3401" i="15"/>
  <c r="H3400" i="15"/>
  <c r="H3399" i="15"/>
  <c r="H3398" i="15"/>
  <c r="H3397" i="15"/>
  <c r="H3396" i="15"/>
  <c r="H3395" i="15"/>
  <c r="H3394" i="15"/>
  <c r="H3393" i="15"/>
  <c r="H3392" i="15"/>
  <c r="H3391" i="15"/>
  <c r="H3390" i="15"/>
  <c r="H3389" i="15"/>
  <c r="H3388" i="15"/>
  <c r="H3387" i="15"/>
  <c r="H3386" i="15"/>
  <c r="H3385" i="15"/>
  <c r="H3384" i="15"/>
  <c r="H3383" i="15"/>
  <c r="H3382" i="15"/>
  <c r="H3381" i="15"/>
  <c r="H3380" i="15"/>
  <c r="H3379" i="15"/>
  <c r="H3378" i="15"/>
  <c r="H3377" i="15"/>
  <c r="H3376" i="15"/>
  <c r="H3375" i="15"/>
  <c r="H3374" i="15"/>
  <c r="H3373" i="15"/>
  <c r="H3372" i="15"/>
  <c r="H3371" i="15"/>
  <c r="H3370" i="15"/>
  <c r="H3369" i="15"/>
  <c r="H3368" i="15"/>
  <c r="H3367" i="15"/>
  <c r="H3366" i="15"/>
  <c r="H3365" i="15"/>
  <c r="H3364" i="15"/>
  <c r="H3363" i="15"/>
  <c r="H3362" i="15"/>
  <c r="H3361" i="15"/>
  <c r="H3360" i="15"/>
  <c r="H3359" i="15"/>
  <c r="H3358" i="15"/>
  <c r="H3357" i="15"/>
  <c r="H3356" i="15"/>
  <c r="H3355" i="15"/>
  <c r="H3354" i="15"/>
  <c r="H3353" i="15"/>
  <c r="H3352" i="15"/>
  <c r="H3351" i="15"/>
  <c r="H3350" i="15"/>
  <c r="H3349" i="15"/>
  <c r="H3348" i="15"/>
  <c r="H3347" i="15"/>
  <c r="H3346" i="15"/>
  <c r="H3345" i="15"/>
  <c r="H3344" i="15"/>
  <c r="H3343" i="15"/>
  <c r="H3342" i="15"/>
  <c r="H3341" i="15"/>
  <c r="H3340" i="15"/>
  <c r="H3339" i="15"/>
  <c r="H3338" i="15"/>
  <c r="H3337" i="15"/>
  <c r="H3336" i="15"/>
  <c r="H3335" i="15"/>
  <c r="H3334" i="15"/>
  <c r="H3333" i="15"/>
  <c r="H3332" i="15"/>
  <c r="H3331" i="15"/>
  <c r="H3330" i="15"/>
  <c r="H3329" i="15"/>
  <c r="H3328" i="15"/>
  <c r="H3327" i="15"/>
  <c r="H3326" i="15"/>
  <c r="H3325" i="15"/>
  <c r="H3324" i="15"/>
  <c r="H3323" i="15"/>
  <c r="H3322" i="15"/>
  <c r="H3321" i="15"/>
  <c r="H3320" i="15"/>
  <c r="H3319" i="15"/>
  <c r="H3318" i="15"/>
  <c r="H3317" i="15"/>
  <c r="H3316" i="15"/>
  <c r="H3315" i="15"/>
  <c r="H3314" i="15"/>
  <c r="H3313" i="15"/>
  <c r="H3312" i="15"/>
  <c r="H3311" i="15"/>
  <c r="H3310" i="15"/>
  <c r="H3309" i="15"/>
  <c r="H3308" i="15"/>
  <c r="H3307" i="15"/>
  <c r="H3306" i="15"/>
  <c r="H3305" i="15"/>
  <c r="H3304" i="15"/>
  <c r="H3303" i="15"/>
  <c r="H3302" i="15"/>
  <c r="H3301" i="15"/>
  <c r="H3300" i="15"/>
  <c r="H3299" i="15"/>
  <c r="H3298" i="15"/>
  <c r="H3297" i="15"/>
  <c r="H3296" i="15"/>
  <c r="H3295" i="15"/>
  <c r="H3294" i="15"/>
  <c r="H3293" i="15"/>
  <c r="H3292" i="15"/>
  <c r="H3291" i="15"/>
  <c r="H3290" i="15"/>
  <c r="H3289" i="15"/>
  <c r="H3288" i="15"/>
  <c r="H3287" i="15"/>
  <c r="H3286" i="15"/>
  <c r="H3285" i="15"/>
  <c r="H3284" i="15"/>
  <c r="H3283" i="15"/>
  <c r="H3282" i="15"/>
  <c r="H3281" i="15"/>
  <c r="H3280" i="15"/>
  <c r="H3279" i="15"/>
  <c r="H3278" i="15"/>
  <c r="H3277" i="15"/>
  <c r="H3276" i="15"/>
  <c r="H3275" i="15"/>
  <c r="H3274" i="15"/>
  <c r="H3273" i="15"/>
  <c r="H3272" i="15"/>
  <c r="H3271" i="15"/>
  <c r="H3270" i="15"/>
  <c r="H3269" i="15"/>
  <c r="H3268" i="15"/>
  <c r="H3267" i="15"/>
  <c r="H3266" i="15"/>
  <c r="H3265" i="15"/>
  <c r="H3264" i="15"/>
  <c r="H3263" i="15"/>
  <c r="H3262" i="15"/>
  <c r="H3261" i="15"/>
  <c r="H3260" i="15"/>
  <c r="H3259" i="15"/>
  <c r="H3258" i="15"/>
  <c r="H3257" i="15"/>
  <c r="H3256" i="15"/>
  <c r="H3255" i="15"/>
  <c r="H3254" i="15"/>
  <c r="H3253" i="15"/>
  <c r="H3252" i="15"/>
  <c r="H3251" i="15"/>
  <c r="H3250" i="15"/>
  <c r="H3249" i="15"/>
  <c r="H3248" i="15"/>
  <c r="H3247" i="15"/>
  <c r="H3246" i="15"/>
  <c r="H3245" i="15"/>
  <c r="H3244" i="15"/>
  <c r="H3243" i="15"/>
  <c r="H3242" i="15"/>
  <c r="H3241" i="15"/>
  <c r="H3240" i="15"/>
  <c r="H3239" i="15"/>
  <c r="H3238" i="15"/>
  <c r="H3237" i="15"/>
  <c r="H3236" i="15"/>
  <c r="H3235" i="15"/>
  <c r="H3234" i="15"/>
  <c r="H3233" i="15"/>
  <c r="H3232" i="15"/>
  <c r="H3231" i="15"/>
  <c r="H3230" i="15"/>
  <c r="H3229" i="15"/>
  <c r="H3228" i="15"/>
  <c r="H3227" i="15"/>
  <c r="H3226" i="15"/>
  <c r="H3225" i="15"/>
  <c r="H3224" i="15"/>
  <c r="H3223" i="15"/>
  <c r="H3222" i="15"/>
  <c r="H3221" i="15"/>
  <c r="H3220" i="15"/>
  <c r="H3219" i="15"/>
  <c r="H3218" i="15"/>
  <c r="H3217" i="15"/>
  <c r="H3216" i="15"/>
  <c r="H3215" i="15"/>
  <c r="H3214" i="15"/>
  <c r="H3213" i="15"/>
  <c r="H3212" i="15"/>
  <c r="H3211" i="15"/>
  <c r="H3210" i="15"/>
  <c r="H3209" i="15"/>
  <c r="H3208" i="15"/>
  <c r="H3207" i="15"/>
  <c r="H3206" i="15"/>
  <c r="H3205" i="15"/>
  <c r="H3204" i="15"/>
  <c r="H3203" i="15"/>
  <c r="H3202" i="15"/>
  <c r="H3201" i="15"/>
  <c r="H3200" i="15"/>
  <c r="H3199" i="15"/>
  <c r="H3198" i="15"/>
  <c r="H3197" i="15"/>
  <c r="H3196" i="15"/>
  <c r="H3195" i="15"/>
  <c r="H3194" i="15"/>
  <c r="H3193" i="15"/>
  <c r="H3192" i="15"/>
  <c r="H3191" i="15"/>
  <c r="H3190" i="15"/>
  <c r="H3189" i="15"/>
  <c r="H3188" i="15"/>
  <c r="H3187" i="15"/>
  <c r="H3186" i="15"/>
  <c r="H3185" i="15"/>
  <c r="H3184" i="15"/>
  <c r="H3183" i="15"/>
  <c r="H3182" i="15"/>
  <c r="H3181" i="15"/>
  <c r="H3180" i="15"/>
  <c r="H3179" i="15"/>
  <c r="H3178" i="15"/>
  <c r="H3177" i="15"/>
  <c r="H3176" i="15"/>
  <c r="H3175" i="15"/>
  <c r="H3174" i="15"/>
  <c r="H3173" i="15"/>
  <c r="H3172" i="15"/>
  <c r="H3171" i="15"/>
  <c r="H3170" i="15"/>
  <c r="H3169" i="15"/>
  <c r="H3168" i="15"/>
  <c r="H3167" i="15"/>
  <c r="H3166" i="15"/>
  <c r="H3165" i="15"/>
  <c r="H3164" i="15"/>
  <c r="H3163" i="15"/>
  <c r="H3162" i="15"/>
  <c r="H3161" i="15"/>
  <c r="H3160" i="15"/>
  <c r="H3159" i="15"/>
  <c r="H3158" i="15"/>
  <c r="H3157" i="15"/>
  <c r="H3156" i="15"/>
  <c r="H3155" i="15"/>
  <c r="H3154" i="15"/>
  <c r="H3153" i="15"/>
  <c r="H3152" i="15"/>
  <c r="H3151" i="15"/>
  <c r="H3150" i="15"/>
  <c r="H3149" i="15"/>
  <c r="H3148" i="15"/>
  <c r="H3147" i="15"/>
  <c r="H3146" i="15"/>
  <c r="H3145" i="15"/>
  <c r="H3144" i="15"/>
  <c r="H3143" i="15"/>
  <c r="H3142" i="15"/>
  <c r="H3141" i="15"/>
  <c r="H3140" i="15"/>
  <c r="H3139" i="15"/>
  <c r="H3138" i="15"/>
  <c r="H3137" i="15"/>
  <c r="H3136" i="15"/>
  <c r="H3135" i="15"/>
  <c r="H3134" i="15"/>
  <c r="H3133" i="15"/>
  <c r="H3132" i="15"/>
  <c r="H3131" i="15"/>
  <c r="H3130" i="15"/>
  <c r="H3129" i="15"/>
  <c r="H3128" i="15"/>
  <c r="H3127" i="15"/>
  <c r="H3126" i="15"/>
  <c r="H3125" i="15"/>
  <c r="H3124" i="15"/>
  <c r="H3123" i="15"/>
  <c r="H3122" i="15"/>
  <c r="H3121" i="15"/>
  <c r="H3120" i="15"/>
  <c r="H3119" i="15"/>
  <c r="H3118" i="15"/>
  <c r="H3117" i="15"/>
  <c r="H3116" i="15"/>
  <c r="H3115" i="15"/>
  <c r="H3114" i="15"/>
  <c r="H3113" i="15"/>
  <c r="H3112" i="15"/>
  <c r="H3111" i="15"/>
  <c r="H3110" i="15"/>
  <c r="H3109" i="15"/>
  <c r="H3108" i="15"/>
  <c r="H3107" i="15"/>
  <c r="H3106" i="15"/>
  <c r="H3105" i="15"/>
  <c r="H3104" i="15"/>
  <c r="H3103" i="15"/>
  <c r="H3102" i="15"/>
  <c r="H3101" i="15"/>
  <c r="H3100" i="15"/>
  <c r="H3099" i="15"/>
  <c r="H3098" i="15"/>
  <c r="H3097" i="15"/>
  <c r="H3096" i="15"/>
  <c r="H3095" i="15"/>
  <c r="H3094" i="15"/>
  <c r="H3093" i="15"/>
  <c r="H3092" i="15"/>
  <c r="H3091" i="15"/>
  <c r="H3090" i="15"/>
  <c r="H3089" i="15"/>
  <c r="H3088" i="15"/>
  <c r="H3087" i="15"/>
  <c r="H3086" i="15"/>
  <c r="H3085" i="15"/>
  <c r="H3084" i="15"/>
  <c r="H3083" i="15"/>
  <c r="H3082" i="15"/>
  <c r="H3081" i="15"/>
  <c r="H3080" i="15"/>
  <c r="H3079" i="15"/>
  <c r="H3078" i="15"/>
  <c r="H3077" i="15"/>
  <c r="H3076" i="15"/>
  <c r="H3075" i="15"/>
  <c r="H3074" i="15"/>
  <c r="H3073" i="15"/>
  <c r="H3072" i="15"/>
  <c r="H3071" i="15"/>
  <c r="H3070" i="15"/>
  <c r="H3069" i="15"/>
  <c r="H3068" i="15"/>
  <c r="H3067" i="15"/>
  <c r="H3066" i="15"/>
  <c r="H3065" i="15"/>
  <c r="H3064" i="15"/>
  <c r="H3063" i="15"/>
  <c r="H3062" i="15"/>
  <c r="H3061" i="15"/>
  <c r="H3060" i="15"/>
  <c r="H3059" i="15"/>
  <c r="H3058" i="15"/>
  <c r="H3057" i="15"/>
  <c r="H3056" i="15"/>
  <c r="H3055" i="15"/>
  <c r="H3054" i="15"/>
  <c r="H3053" i="15"/>
  <c r="H3052" i="15"/>
  <c r="H3051" i="15"/>
  <c r="H3050" i="15"/>
  <c r="H3049" i="15"/>
  <c r="H3048" i="15"/>
  <c r="H3047" i="15"/>
  <c r="H3046" i="15"/>
  <c r="H3045" i="15"/>
  <c r="H3044" i="15"/>
  <c r="H3043" i="15"/>
  <c r="H3042" i="15"/>
  <c r="H3041" i="15"/>
  <c r="H3040" i="15"/>
  <c r="H3039" i="15"/>
  <c r="H3038" i="15"/>
  <c r="H3037" i="15"/>
  <c r="H3036" i="15"/>
  <c r="H3035" i="15"/>
  <c r="H3034" i="15"/>
  <c r="H3033" i="15"/>
  <c r="H3032" i="15"/>
  <c r="H3031" i="15"/>
  <c r="H3030" i="15"/>
  <c r="H3029" i="15"/>
  <c r="H3028" i="15"/>
  <c r="H3027" i="15"/>
  <c r="H3026" i="15"/>
  <c r="H3025" i="15"/>
  <c r="H3024" i="15"/>
  <c r="H3023" i="15"/>
  <c r="H3022" i="15"/>
  <c r="H3021" i="15"/>
  <c r="H3020" i="15"/>
  <c r="H3019" i="15"/>
  <c r="H3018" i="15"/>
  <c r="H3017" i="15"/>
  <c r="H3016" i="15"/>
  <c r="H3015" i="15"/>
  <c r="H3014" i="15"/>
  <c r="H3013" i="15"/>
  <c r="H3012" i="15"/>
  <c r="H3011" i="15"/>
  <c r="H3010" i="15"/>
  <c r="H3009" i="15"/>
  <c r="H3008" i="15"/>
  <c r="H3007" i="15"/>
  <c r="H3006" i="15"/>
  <c r="H3005" i="15"/>
  <c r="H3004" i="15"/>
  <c r="H3003" i="15"/>
  <c r="H3002" i="15"/>
  <c r="H3001" i="15"/>
  <c r="H3000" i="15"/>
  <c r="H2999" i="15"/>
  <c r="H2998" i="15"/>
  <c r="H2997" i="15"/>
  <c r="H2996" i="15"/>
  <c r="H2995" i="15"/>
  <c r="H2994" i="15"/>
  <c r="H2993" i="15"/>
  <c r="H2992" i="15"/>
  <c r="H2991" i="15"/>
  <c r="H2990" i="15"/>
  <c r="H2989" i="15"/>
  <c r="H2988" i="15"/>
  <c r="H2987" i="15"/>
  <c r="H2986" i="15"/>
  <c r="H2985" i="15"/>
  <c r="H2984" i="15"/>
  <c r="H2983" i="15"/>
  <c r="H2982" i="15"/>
  <c r="H2981" i="15"/>
  <c r="H2980" i="15"/>
  <c r="H2979" i="15"/>
  <c r="H2978" i="15"/>
  <c r="H2977" i="15"/>
  <c r="H2976" i="15"/>
  <c r="H2975" i="15"/>
  <c r="H2974" i="15"/>
  <c r="H2973" i="15"/>
  <c r="H2972" i="15"/>
  <c r="H2971" i="15"/>
  <c r="H2970" i="15"/>
  <c r="H2969" i="15"/>
  <c r="H2968" i="15"/>
  <c r="H2967" i="15"/>
  <c r="H2966" i="15"/>
  <c r="H2965" i="15"/>
  <c r="H2964" i="15"/>
  <c r="H2963" i="15"/>
  <c r="H2962" i="15"/>
  <c r="H2961" i="15"/>
  <c r="H2960" i="15"/>
  <c r="H2959" i="15"/>
  <c r="H2958" i="15"/>
  <c r="H2957" i="15"/>
  <c r="H2956" i="15"/>
  <c r="H2955" i="15"/>
  <c r="H2954" i="15"/>
  <c r="H2953" i="15"/>
  <c r="H2952" i="15"/>
  <c r="H2951" i="15"/>
  <c r="H2950" i="15"/>
  <c r="H2949" i="15"/>
  <c r="H2948" i="15"/>
  <c r="H2947" i="15"/>
  <c r="H2946" i="15"/>
  <c r="H2945" i="15"/>
  <c r="H2944" i="15"/>
  <c r="H2943" i="15"/>
  <c r="H2942" i="15"/>
  <c r="H2941" i="15"/>
  <c r="H2940" i="15"/>
  <c r="H2939" i="15"/>
  <c r="H2938" i="15"/>
  <c r="H2937" i="15"/>
  <c r="H2936" i="15"/>
  <c r="H2935" i="15"/>
  <c r="H2934" i="15"/>
  <c r="H2933" i="15"/>
  <c r="H2932" i="15"/>
  <c r="H2931" i="15"/>
  <c r="H2930" i="15"/>
  <c r="H2929" i="15"/>
  <c r="H2928" i="15"/>
  <c r="H2927" i="15"/>
  <c r="H2926" i="15"/>
  <c r="H2925" i="15"/>
  <c r="H2924" i="15"/>
  <c r="H2923" i="15"/>
  <c r="H2922" i="15"/>
  <c r="H2921" i="15"/>
  <c r="H2920" i="15"/>
  <c r="H2919" i="15"/>
  <c r="H2918" i="15"/>
  <c r="H2917" i="15"/>
  <c r="H2916" i="15"/>
  <c r="H2915" i="15"/>
  <c r="H2914" i="15"/>
  <c r="H2913" i="15"/>
  <c r="H2912" i="15"/>
  <c r="H2911" i="15"/>
  <c r="H2910" i="15"/>
  <c r="H2909" i="15"/>
  <c r="H2908" i="15"/>
  <c r="H2907" i="15"/>
  <c r="H2906" i="15"/>
  <c r="H2905" i="15"/>
  <c r="H2904" i="15"/>
  <c r="H2903" i="15"/>
  <c r="H2902" i="15"/>
  <c r="H2901" i="15"/>
  <c r="H2900" i="15"/>
  <c r="H2899" i="15"/>
  <c r="H2898" i="15"/>
  <c r="H2897" i="15"/>
  <c r="H2896" i="15"/>
  <c r="H2895" i="15"/>
  <c r="H2894" i="15"/>
  <c r="H2893" i="15"/>
  <c r="H2892" i="15"/>
  <c r="H2891" i="15"/>
  <c r="H2890" i="15"/>
  <c r="H2889" i="15"/>
  <c r="H2888" i="15"/>
  <c r="H2887" i="15"/>
  <c r="H2886" i="15"/>
  <c r="H2885" i="15"/>
  <c r="H2884" i="15"/>
  <c r="H2883" i="15"/>
  <c r="H2882" i="15"/>
  <c r="H2881" i="15"/>
  <c r="H2880" i="15"/>
  <c r="H2879" i="15"/>
  <c r="H2878" i="15"/>
  <c r="H2877" i="15"/>
  <c r="H2876" i="15"/>
  <c r="H2875" i="15"/>
  <c r="H2874" i="15"/>
  <c r="H2873" i="15"/>
  <c r="H2872" i="15"/>
  <c r="H2871" i="15"/>
  <c r="H2870" i="15"/>
  <c r="H2869" i="15"/>
  <c r="H2868" i="15"/>
  <c r="H2867" i="15"/>
  <c r="H2866" i="15"/>
  <c r="H2865" i="15"/>
  <c r="H2864" i="15"/>
  <c r="H2863" i="15"/>
  <c r="H2862" i="15"/>
  <c r="H2861" i="15"/>
  <c r="H2860" i="15"/>
  <c r="H2859" i="15"/>
  <c r="H2858" i="15"/>
  <c r="H2857" i="15"/>
  <c r="H2856" i="15"/>
  <c r="H2855" i="15"/>
  <c r="H2854" i="15"/>
  <c r="H2853" i="15"/>
  <c r="H2852" i="15"/>
  <c r="H2851" i="15"/>
  <c r="H2850" i="15"/>
  <c r="H2849" i="15"/>
  <c r="H2848" i="15"/>
  <c r="H2847" i="15"/>
  <c r="H2846" i="15"/>
  <c r="H2845" i="15"/>
  <c r="H2844" i="15"/>
  <c r="H2843" i="15"/>
  <c r="H2842" i="15"/>
  <c r="H2841" i="15"/>
  <c r="H2840" i="15"/>
  <c r="H2839" i="15"/>
  <c r="H2838" i="15"/>
  <c r="H2837" i="15"/>
  <c r="H2836" i="15"/>
  <c r="H2835" i="15"/>
  <c r="H2834" i="15"/>
  <c r="H2833" i="15"/>
  <c r="H2832" i="15"/>
  <c r="H2831" i="15"/>
  <c r="H2830" i="15"/>
  <c r="H2829" i="15"/>
  <c r="H2828" i="15"/>
  <c r="H2827" i="15"/>
  <c r="H2826" i="15"/>
  <c r="H2825" i="15"/>
  <c r="H2824" i="15"/>
  <c r="H2823" i="15"/>
  <c r="H2822" i="15"/>
  <c r="H2821" i="15"/>
  <c r="H2820" i="15"/>
  <c r="H2819" i="15"/>
  <c r="H2818" i="15"/>
  <c r="H2817" i="15"/>
  <c r="H2816" i="15"/>
  <c r="H2815" i="15"/>
  <c r="H2814" i="15"/>
  <c r="H2813" i="15"/>
  <c r="H2812" i="15"/>
  <c r="H2811" i="15"/>
  <c r="H2810" i="15"/>
  <c r="H2809" i="15"/>
  <c r="H2808" i="15"/>
  <c r="H2807" i="15"/>
  <c r="H2806" i="15"/>
  <c r="H2805" i="15"/>
  <c r="H2804" i="15"/>
  <c r="H2803" i="15"/>
  <c r="H2802" i="15"/>
  <c r="H2801" i="15"/>
  <c r="H2800" i="15"/>
  <c r="H2799" i="15"/>
  <c r="H2798" i="15"/>
  <c r="H2797" i="15"/>
  <c r="H2796" i="15"/>
  <c r="H2795" i="15"/>
  <c r="H2794" i="15"/>
  <c r="H2793" i="15"/>
  <c r="H2792" i="15"/>
  <c r="H2791" i="15"/>
  <c r="H2790" i="15"/>
  <c r="H2789" i="15"/>
  <c r="H2788" i="15"/>
  <c r="H2787" i="15"/>
  <c r="H2786" i="15"/>
  <c r="H2785" i="15"/>
  <c r="H2784" i="15"/>
  <c r="H2783" i="15"/>
  <c r="H2782" i="15"/>
  <c r="H2781" i="15"/>
  <c r="H2780" i="15"/>
  <c r="H2779" i="15"/>
  <c r="H2778" i="15"/>
  <c r="H2777" i="15"/>
  <c r="H2776" i="15"/>
  <c r="H2775" i="15"/>
  <c r="H2774" i="15"/>
  <c r="H2773" i="15"/>
  <c r="H2772" i="15"/>
  <c r="H2771" i="15"/>
  <c r="H2770" i="15"/>
  <c r="H2769" i="15"/>
  <c r="H2768" i="15"/>
  <c r="H2767" i="15"/>
  <c r="H2766" i="15"/>
  <c r="H2765" i="15"/>
  <c r="H2764" i="15"/>
  <c r="H2763" i="15"/>
  <c r="H2762" i="15"/>
  <c r="H2761" i="15"/>
  <c r="H2760" i="15"/>
  <c r="H2759" i="15"/>
  <c r="H2758" i="15"/>
  <c r="H2757" i="15"/>
  <c r="H2756" i="15"/>
  <c r="H2755" i="15"/>
  <c r="H2754" i="15"/>
  <c r="H2753" i="15"/>
  <c r="H2752" i="15"/>
  <c r="H2751" i="15"/>
  <c r="H2750" i="15"/>
  <c r="H2749" i="15"/>
  <c r="H2748" i="15"/>
  <c r="H2747" i="15"/>
  <c r="H2746" i="15"/>
  <c r="H2745" i="15"/>
  <c r="H2744" i="15"/>
  <c r="H2743" i="15"/>
  <c r="H2742" i="15"/>
  <c r="H2741" i="15"/>
  <c r="H2740" i="15"/>
  <c r="H2739" i="15"/>
  <c r="H2738" i="15"/>
  <c r="H2737" i="15"/>
  <c r="H2736" i="15"/>
  <c r="H2735" i="15"/>
  <c r="H2734" i="15"/>
  <c r="H2733" i="15"/>
  <c r="H2732" i="15"/>
  <c r="H2731" i="15"/>
  <c r="H2730" i="15"/>
  <c r="H2729" i="15"/>
  <c r="H2728" i="15"/>
  <c r="H2727" i="15"/>
  <c r="H2726" i="15"/>
  <c r="H2725" i="15"/>
  <c r="H2724" i="15"/>
  <c r="H2723" i="15"/>
  <c r="H2722" i="15"/>
  <c r="H2721" i="15"/>
  <c r="H2720" i="15"/>
  <c r="H2719" i="15"/>
  <c r="H2718" i="15"/>
  <c r="H2717" i="15"/>
  <c r="H2716" i="15"/>
  <c r="H2715" i="15"/>
  <c r="H2714" i="15"/>
  <c r="H2713" i="15"/>
  <c r="H2712" i="15"/>
  <c r="H2711" i="15"/>
  <c r="H2710" i="15"/>
  <c r="H2709" i="15"/>
  <c r="H2708" i="15"/>
  <c r="H2707" i="15"/>
  <c r="H2706" i="15"/>
  <c r="H2705" i="15"/>
  <c r="H2704" i="15"/>
  <c r="H2703" i="15"/>
  <c r="H2702" i="15"/>
  <c r="H2701" i="15"/>
  <c r="H2700" i="15"/>
  <c r="H2699" i="15"/>
  <c r="H2698" i="15"/>
  <c r="H2697" i="15"/>
  <c r="H2696" i="15"/>
  <c r="H2695" i="15"/>
  <c r="H2694" i="15"/>
  <c r="H2693" i="15"/>
  <c r="H2692" i="15"/>
  <c r="H2691" i="15"/>
  <c r="H2690" i="15"/>
  <c r="H2689" i="15"/>
  <c r="H2688" i="15"/>
  <c r="H2687" i="15"/>
  <c r="H2686" i="15"/>
  <c r="H2685" i="15"/>
  <c r="H2684" i="15"/>
  <c r="H2683" i="15"/>
  <c r="H2682" i="15"/>
  <c r="H2681" i="15"/>
  <c r="H2680" i="15"/>
  <c r="H2679" i="15"/>
  <c r="H2678" i="15"/>
  <c r="H2677" i="15"/>
  <c r="H2676" i="15"/>
  <c r="H2675" i="15"/>
  <c r="H2674" i="15"/>
  <c r="H2673" i="15"/>
  <c r="H2672" i="15"/>
  <c r="H2671" i="15"/>
  <c r="H2670" i="15"/>
  <c r="H2669" i="15"/>
  <c r="H2668" i="15"/>
  <c r="H2667" i="15"/>
  <c r="H2666" i="15"/>
  <c r="H2665" i="15"/>
  <c r="H2664" i="15"/>
  <c r="H2663" i="15"/>
  <c r="H2662" i="15"/>
  <c r="H2661" i="15"/>
  <c r="H2660" i="15"/>
  <c r="H2659" i="15"/>
  <c r="H2658" i="15"/>
  <c r="H2657" i="15"/>
  <c r="H2656" i="15"/>
  <c r="H2655" i="15"/>
  <c r="H2654" i="15"/>
  <c r="H2653" i="15"/>
  <c r="H2652" i="15"/>
  <c r="H2651" i="15"/>
  <c r="H2650" i="15"/>
  <c r="H2649" i="15"/>
  <c r="H2648" i="15"/>
  <c r="H2647" i="15"/>
  <c r="H2646" i="15"/>
  <c r="H2645" i="15"/>
  <c r="H2644" i="15"/>
  <c r="H2643" i="15"/>
  <c r="H2642" i="15"/>
  <c r="H2641" i="15"/>
  <c r="H2640" i="15"/>
  <c r="H2639" i="15"/>
  <c r="H2638" i="15"/>
  <c r="H2637" i="15"/>
  <c r="H2636" i="15"/>
  <c r="H2635" i="15"/>
  <c r="H2634" i="15"/>
  <c r="H2633" i="15"/>
  <c r="H2632" i="15"/>
  <c r="H2631" i="15"/>
  <c r="H2630" i="15"/>
  <c r="H2629" i="15"/>
  <c r="H2628" i="15"/>
  <c r="H2627" i="15"/>
  <c r="H2626" i="15"/>
  <c r="H2625" i="15"/>
  <c r="H2624" i="15"/>
  <c r="H2623" i="15"/>
  <c r="H2622" i="15"/>
  <c r="H2621" i="15"/>
  <c r="H2620" i="15"/>
  <c r="H2619" i="15"/>
  <c r="H2618" i="15"/>
  <c r="H2617" i="15"/>
  <c r="H2616" i="15"/>
  <c r="H2615" i="15"/>
  <c r="H2614" i="15"/>
  <c r="H2613" i="15"/>
  <c r="H2612" i="15"/>
  <c r="H2611" i="15"/>
  <c r="H2610" i="15"/>
  <c r="H2609" i="15"/>
  <c r="H2608" i="15"/>
  <c r="H2607" i="15"/>
  <c r="H2606" i="15"/>
  <c r="H2605" i="15"/>
  <c r="H2604" i="15"/>
  <c r="H2603" i="15"/>
  <c r="H2602" i="15"/>
  <c r="H2601" i="15"/>
  <c r="H2600" i="15"/>
  <c r="H2599" i="15"/>
  <c r="H2598" i="15"/>
  <c r="H2597" i="15"/>
  <c r="H2596" i="15"/>
  <c r="H2595" i="15"/>
  <c r="H2594" i="15"/>
  <c r="H2593" i="15"/>
  <c r="H2592" i="15"/>
  <c r="H2591" i="15"/>
  <c r="H2590" i="15"/>
  <c r="H2589" i="15"/>
  <c r="H2588" i="15"/>
  <c r="H2587" i="15"/>
  <c r="H2586" i="15"/>
  <c r="H2585" i="15"/>
  <c r="H2584" i="15"/>
  <c r="H2583" i="15"/>
  <c r="H2582" i="15"/>
  <c r="H2581" i="15"/>
  <c r="H2580" i="15"/>
  <c r="H2579" i="15"/>
  <c r="H2578" i="15"/>
  <c r="H2577" i="15"/>
  <c r="H2576" i="15"/>
  <c r="H2575" i="15"/>
  <c r="H2574" i="15"/>
  <c r="H2573" i="15"/>
  <c r="H2572" i="15"/>
  <c r="H2571" i="15"/>
  <c r="H2570" i="15"/>
  <c r="H2569" i="15"/>
  <c r="H2568" i="15"/>
  <c r="H2567" i="15"/>
  <c r="H2566" i="15"/>
  <c r="H2565" i="15"/>
  <c r="H2564" i="15"/>
  <c r="H2563" i="15"/>
  <c r="H2562" i="15"/>
  <c r="H2561" i="15"/>
  <c r="H2560" i="15"/>
  <c r="H2559" i="15"/>
  <c r="H2558" i="15"/>
  <c r="H2557" i="15"/>
  <c r="H2556" i="15"/>
  <c r="H2555" i="15"/>
  <c r="H2554" i="15"/>
  <c r="H2553" i="15"/>
  <c r="H2552" i="15"/>
  <c r="H2551" i="15"/>
  <c r="H2550" i="15"/>
  <c r="H2549" i="15"/>
  <c r="H2548" i="15"/>
  <c r="H2547" i="15"/>
  <c r="H2546" i="15"/>
  <c r="H2545" i="15"/>
  <c r="H2544" i="15"/>
  <c r="H2543" i="15"/>
  <c r="H2542" i="15"/>
  <c r="H2541" i="15"/>
  <c r="H2540" i="15"/>
  <c r="H2539" i="15"/>
  <c r="H2538" i="15"/>
  <c r="H2537" i="15"/>
  <c r="H2536" i="15"/>
  <c r="H2535" i="15"/>
  <c r="H2534" i="15"/>
  <c r="H2533" i="15"/>
  <c r="H2532" i="15"/>
  <c r="H2531" i="15"/>
  <c r="H2530" i="15"/>
  <c r="H2529" i="15"/>
  <c r="H2528" i="15"/>
  <c r="H2527" i="15"/>
  <c r="H2526" i="15"/>
  <c r="H2525" i="15"/>
  <c r="H2524" i="15"/>
  <c r="H2523" i="15"/>
  <c r="H2522" i="15"/>
  <c r="H2521" i="15"/>
  <c r="H2520" i="15"/>
  <c r="H2519" i="15"/>
  <c r="H2518" i="15"/>
  <c r="H2517" i="15"/>
  <c r="H2516" i="15"/>
  <c r="H2515" i="15"/>
  <c r="H2514" i="15"/>
  <c r="H2513" i="15"/>
  <c r="H2512" i="15"/>
  <c r="H2511" i="15"/>
  <c r="H2510" i="15"/>
  <c r="H2509" i="15"/>
  <c r="H2508" i="15"/>
  <c r="H2507" i="15"/>
  <c r="H2506" i="15"/>
  <c r="H2505" i="15"/>
  <c r="H2504" i="15"/>
  <c r="H2503" i="15"/>
  <c r="H2502" i="15"/>
  <c r="H2501" i="15"/>
  <c r="H2500" i="15"/>
  <c r="H2499" i="15"/>
  <c r="H2498" i="15"/>
  <c r="H2497" i="15"/>
  <c r="H2496" i="15"/>
  <c r="H2495" i="15"/>
  <c r="H2494" i="15"/>
  <c r="H2493" i="15"/>
  <c r="H2492" i="15"/>
  <c r="H2491" i="15"/>
  <c r="H2490" i="15"/>
  <c r="H2489" i="15"/>
  <c r="H2488" i="15"/>
  <c r="H2487" i="15"/>
  <c r="H2486" i="15"/>
  <c r="H2485" i="15"/>
  <c r="H2484" i="15"/>
  <c r="H2483" i="15"/>
  <c r="H2482" i="15"/>
  <c r="H2481" i="15"/>
  <c r="H2480" i="15"/>
  <c r="H2479" i="15"/>
  <c r="H2478" i="15"/>
  <c r="H2477" i="15"/>
  <c r="H2476" i="15"/>
  <c r="H2475" i="15"/>
  <c r="H2474" i="15"/>
  <c r="H2473" i="15"/>
  <c r="H2472" i="15"/>
  <c r="H2471" i="15"/>
  <c r="H2470" i="15"/>
  <c r="H2469" i="15"/>
  <c r="H2468" i="15"/>
  <c r="H2467" i="15"/>
  <c r="H2466" i="15"/>
  <c r="H2465" i="15"/>
  <c r="H2464" i="15"/>
  <c r="H2463" i="15"/>
  <c r="H2462" i="15"/>
  <c r="H2461" i="15"/>
  <c r="H2460" i="15"/>
  <c r="H2459" i="15"/>
  <c r="H2458" i="15"/>
  <c r="H2457" i="15"/>
  <c r="H2456" i="15"/>
  <c r="H2455" i="15"/>
  <c r="H2454" i="15"/>
  <c r="H2453" i="15"/>
  <c r="H2452" i="15"/>
  <c r="H2451" i="15"/>
  <c r="H2450" i="15"/>
  <c r="H2449" i="15"/>
  <c r="H2448" i="15"/>
  <c r="H2447" i="15"/>
  <c r="H2446" i="15"/>
  <c r="H2445" i="15"/>
  <c r="H2444" i="15"/>
  <c r="H2443" i="15"/>
  <c r="H2442" i="15"/>
  <c r="H2441" i="15"/>
  <c r="H2440" i="15"/>
  <c r="H2439" i="15"/>
  <c r="H2438" i="15"/>
  <c r="H2437" i="15"/>
  <c r="H2436" i="15"/>
  <c r="H2435" i="15"/>
  <c r="H2434" i="15"/>
  <c r="H2433" i="15"/>
  <c r="H2432" i="15"/>
  <c r="H2431" i="15"/>
  <c r="H2430" i="15"/>
  <c r="H2429" i="15"/>
  <c r="H2428" i="15"/>
  <c r="H2427" i="15"/>
  <c r="H2426" i="15"/>
  <c r="H2425" i="15"/>
  <c r="H2424" i="15"/>
  <c r="H2423" i="15"/>
  <c r="H2422" i="15"/>
  <c r="H2421" i="15"/>
  <c r="H2420" i="15"/>
  <c r="H2419" i="15"/>
  <c r="H2418" i="15"/>
  <c r="H2417" i="15"/>
  <c r="H2416" i="15"/>
  <c r="H2415" i="15"/>
  <c r="H2414" i="15"/>
  <c r="H2413" i="15"/>
  <c r="H2412" i="15"/>
  <c r="H2411" i="15"/>
  <c r="H2410" i="15"/>
  <c r="H2409" i="15"/>
  <c r="H2408" i="15"/>
  <c r="H2407" i="15"/>
  <c r="H2406" i="15"/>
  <c r="H2405" i="15"/>
  <c r="H2404" i="15"/>
  <c r="H2403" i="15"/>
  <c r="H2402" i="15"/>
  <c r="H2401" i="15"/>
  <c r="H2400" i="15"/>
  <c r="H2399" i="15"/>
  <c r="H2398" i="15"/>
  <c r="H2397" i="15"/>
  <c r="H2396" i="15"/>
  <c r="H2395" i="15"/>
  <c r="H2394" i="15"/>
  <c r="H2393" i="15"/>
  <c r="H2392" i="15"/>
  <c r="H2391" i="15"/>
  <c r="H2390" i="15"/>
  <c r="H2389" i="15"/>
  <c r="H2388" i="15"/>
  <c r="H2387" i="15"/>
  <c r="H2386" i="15"/>
  <c r="H2385" i="15"/>
  <c r="H2384" i="15"/>
  <c r="H2383" i="15"/>
  <c r="H2382" i="15"/>
  <c r="H2381" i="15"/>
  <c r="H2380" i="15"/>
  <c r="H2379" i="15"/>
  <c r="H2378" i="15"/>
  <c r="H2377" i="15"/>
  <c r="H2376" i="15"/>
  <c r="H2375" i="15"/>
  <c r="H2374" i="15"/>
  <c r="H2373" i="15"/>
  <c r="H2372" i="15"/>
  <c r="H2371" i="15"/>
  <c r="H2370" i="15"/>
  <c r="H2369" i="15"/>
  <c r="H2368" i="15"/>
  <c r="H2367" i="15"/>
  <c r="H2366" i="15"/>
  <c r="H2365" i="15"/>
  <c r="H2364" i="15"/>
  <c r="H2363" i="15"/>
  <c r="H2362" i="15"/>
  <c r="H2361" i="15"/>
  <c r="H2360" i="15"/>
  <c r="H2359" i="15"/>
  <c r="H2358" i="15"/>
  <c r="H2357" i="15"/>
  <c r="H2356" i="15"/>
  <c r="H2355" i="15"/>
  <c r="H2354" i="15"/>
  <c r="H2353" i="15"/>
  <c r="H2352" i="15"/>
  <c r="H2351" i="15"/>
  <c r="H2350" i="15"/>
  <c r="H2349" i="15"/>
  <c r="H2348" i="15"/>
  <c r="H2347" i="15"/>
  <c r="H2346" i="15"/>
  <c r="H2345" i="15"/>
  <c r="H2344" i="15"/>
  <c r="H2343" i="15"/>
  <c r="H2342" i="15"/>
  <c r="H2341" i="15"/>
  <c r="H2340" i="15"/>
  <c r="H2339" i="15"/>
  <c r="H2338" i="15"/>
  <c r="H2337" i="15"/>
  <c r="H2336" i="15"/>
  <c r="H2335" i="15"/>
  <c r="H2334" i="15"/>
  <c r="H2333" i="15"/>
  <c r="H2332" i="15"/>
  <c r="H2331" i="15"/>
  <c r="H2330" i="15"/>
  <c r="H2329" i="15"/>
  <c r="H2328" i="15"/>
  <c r="H2327" i="15"/>
  <c r="H2326" i="15"/>
  <c r="H2325" i="15"/>
  <c r="H2324" i="15"/>
  <c r="H2323" i="15"/>
  <c r="H2322" i="15"/>
  <c r="H2321" i="15"/>
  <c r="H2320" i="15"/>
  <c r="H2319" i="15"/>
  <c r="H2318" i="15"/>
  <c r="H2317" i="15"/>
  <c r="H2316" i="15"/>
  <c r="H2315" i="15"/>
  <c r="H2314" i="15"/>
  <c r="H2313" i="15"/>
  <c r="H2312" i="15"/>
  <c r="H2311" i="15"/>
  <c r="H2310" i="15"/>
  <c r="H2309" i="15"/>
  <c r="H2308" i="15"/>
  <c r="H2307" i="15"/>
  <c r="H2306" i="15"/>
  <c r="H2305" i="15"/>
  <c r="H2304" i="15"/>
  <c r="H2303" i="15"/>
  <c r="H2302" i="15"/>
  <c r="H2301" i="15"/>
  <c r="H2300" i="15"/>
  <c r="H2299" i="15"/>
  <c r="H2298" i="15"/>
  <c r="H2297" i="15"/>
  <c r="H2296" i="15"/>
  <c r="H2295" i="15"/>
  <c r="H2294" i="15"/>
  <c r="H2293" i="15"/>
  <c r="H2292" i="15"/>
  <c r="H2291" i="15"/>
  <c r="H2290" i="15"/>
  <c r="H2289" i="15"/>
  <c r="H2288" i="15"/>
  <c r="H2287" i="15"/>
  <c r="H2286" i="15"/>
  <c r="H2285" i="15"/>
  <c r="H2284" i="15"/>
  <c r="H2283" i="15"/>
  <c r="H2282" i="15"/>
  <c r="H2281" i="15"/>
  <c r="H2280" i="15"/>
  <c r="H2279" i="15"/>
  <c r="H2278" i="15"/>
  <c r="H2277" i="15"/>
  <c r="H2276" i="15"/>
  <c r="H2275" i="15"/>
  <c r="H2274" i="15"/>
  <c r="H2273" i="15"/>
  <c r="H2272" i="15"/>
  <c r="H2271" i="15"/>
  <c r="H2270" i="15"/>
  <c r="H2269" i="15"/>
  <c r="H2268" i="15"/>
  <c r="H2267" i="15"/>
  <c r="H2266" i="15"/>
  <c r="H2265" i="15"/>
  <c r="H2264" i="15"/>
  <c r="H2263" i="15"/>
  <c r="H2262" i="15"/>
  <c r="H2261" i="15"/>
  <c r="H2260" i="15"/>
  <c r="H2259" i="15"/>
  <c r="H2258" i="15"/>
  <c r="H2257" i="15"/>
  <c r="H2256" i="15"/>
  <c r="H2255" i="15"/>
  <c r="H2254" i="15"/>
  <c r="H2253" i="15"/>
  <c r="H2252" i="15"/>
  <c r="H2251" i="15"/>
  <c r="H2250" i="15"/>
  <c r="H2249" i="15"/>
  <c r="H2248" i="15"/>
  <c r="H2247" i="15"/>
  <c r="H2246" i="15"/>
  <c r="H2245" i="15"/>
  <c r="H2244" i="15"/>
  <c r="H2243" i="15"/>
  <c r="H2242" i="15"/>
  <c r="H2241" i="15"/>
  <c r="H2240" i="15"/>
  <c r="H2239" i="15"/>
  <c r="H2238" i="15"/>
  <c r="H2237" i="15"/>
  <c r="H2236" i="15"/>
  <c r="H2235" i="15"/>
  <c r="H2234" i="15"/>
  <c r="H2233" i="15"/>
  <c r="H2232" i="15"/>
  <c r="H2231" i="15"/>
  <c r="H2230" i="15"/>
  <c r="H2229" i="15"/>
  <c r="H2228" i="15"/>
  <c r="H2227" i="15"/>
  <c r="H2226" i="15"/>
  <c r="H2225" i="15"/>
  <c r="H2224" i="15"/>
  <c r="H2223" i="15"/>
  <c r="H2222" i="15"/>
  <c r="H2221" i="15"/>
  <c r="H2220" i="15"/>
  <c r="H2219" i="15"/>
  <c r="H2218" i="15"/>
  <c r="H2217" i="15"/>
  <c r="H2216" i="15"/>
  <c r="H2215" i="15"/>
  <c r="H2214" i="15"/>
  <c r="H2213" i="15"/>
  <c r="H2212" i="15"/>
  <c r="H2211" i="15"/>
  <c r="H2210" i="15"/>
  <c r="H2209" i="15"/>
  <c r="H2208" i="15"/>
  <c r="H2207" i="15"/>
  <c r="H2206" i="15"/>
  <c r="H2205" i="15"/>
  <c r="H2204" i="15"/>
  <c r="H2203" i="15"/>
  <c r="H2202" i="15"/>
  <c r="H2201" i="15"/>
  <c r="H2200" i="15"/>
  <c r="H2199" i="15"/>
  <c r="H2198" i="15"/>
  <c r="H2197" i="15"/>
  <c r="H2196" i="15"/>
  <c r="H2195" i="15"/>
  <c r="H2194" i="15"/>
  <c r="H2193" i="15"/>
  <c r="H2192" i="15"/>
  <c r="H2191" i="15"/>
  <c r="H2190" i="15"/>
  <c r="H2189" i="15"/>
  <c r="H2188" i="15"/>
  <c r="H2187" i="15"/>
  <c r="H2186" i="15"/>
  <c r="H2185" i="15"/>
  <c r="H2184" i="15"/>
  <c r="H2183" i="15"/>
  <c r="H2182" i="15"/>
  <c r="H2181" i="15"/>
  <c r="H2180" i="15"/>
  <c r="H2179" i="15"/>
  <c r="H2178" i="15"/>
  <c r="H2177" i="15"/>
  <c r="H2176" i="15"/>
  <c r="H2175" i="15"/>
  <c r="H2174" i="15"/>
  <c r="H2173" i="15"/>
  <c r="H2172" i="15"/>
  <c r="H2171" i="15"/>
  <c r="H2170" i="15"/>
  <c r="H2169" i="15"/>
  <c r="H2168" i="15"/>
  <c r="H2167" i="15"/>
  <c r="H2166" i="15"/>
  <c r="H2165" i="15"/>
  <c r="H2164" i="15"/>
  <c r="H2163" i="15"/>
  <c r="H2162" i="15"/>
  <c r="H2161" i="15"/>
  <c r="H2160" i="15"/>
  <c r="H2159" i="15"/>
  <c r="H2158" i="15"/>
  <c r="H2157" i="15"/>
  <c r="H2156" i="15"/>
  <c r="H2155" i="15"/>
  <c r="H2154" i="15"/>
  <c r="H2153" i="15"/>
  <c r="H2152" i="15"/>
  <c r="H2151" i="15"/>
  <c r="H2150" i="15"/>
  <c r="H2149" i="15"/>
  <c r="H2148" i="15"/>
  <c r="H2147" i="15"/>
  <c r="H2146" i="15"/>
  <c r="H2145" i="15"/>
  <c r="H2144" i="15"/>
  <c r="H2143" i="15"/>
  <c r="H2142" i="15"/>
  <c r="H2141" i="15"/>
  <c r="H2140" i="15"/>
  <c r="H2139" i="15"/>
  <c r="H2138" i="15"/>
  <c r="H2137" i="15"/>
  <c r="H2136" i="15"/>
  <c r="H2135" i="15"/>
  <c r="H2134" i="15"/>
  <c r="H2133" i="15"/>
  <c r="H2132" i="15"/>
  <c r="H2131" i="15"/>
  <c r="H2130" i="15"/>
  <c r="H2129" i="15"/>
  <c r="H2128" i="15"/>
  <c r="H2127" i="15"/>
  <c r="H2126" i="15"/>
  <c r="H2125" i="15"/>
  <c r="H2124" i="15"/>
  <c r="H2123" i="15"/>
  <c r="H2122" i="15"/>
  <c r="H2121" i="15"/>
  <c r="H2120" i="15"/>
  <c r="H2119" i="15"/>
  <c r="H2118" i="15"/>
  <c r="H2117" i="15"/>
  <c r="H2116" i="15"/>
  <c r="H2115" i="15"/>
  <c r="H2114" i="15"/>
  <c r="H2113" i="15"/>
  <c r="H2112" i="15"/>
  <c r="H2111" i="15"/>
  <c r="H2110" i="15"/>
  <c r="H2109" i="15"/>
  <c r="H2108" i="15"/>
  <c r="H2107" i="15"/>
  <c r="H2106" i="15"/>
  <c r="H2105" i="15"/>
  <c r="H2104" i="15"/>
  <c r="H2103" i="15"/>
  <c r="H2102" i="15"/>
  <c r="H2101" i="15"/>
  <c r="H2100" i="15"/>
  <c r="H2099" i="15"/>
  <c r="H2098" i="15"/>
  <c r="H2097" i="15"/>
  <c r="H2096" i="15"/>
  <c r="H2095" i="15"/>
  <c r="H2094" i="15"/>
  <c r="H2093" i="15"/>
  <c r="H2092" i="15"/>
  <c r="H2091" i="15"/>
  <c r="H2090" i="15"/>
  <c r="H2089" i="15"/>
  <c r="H2088" i="15"/>
  <c r="H2087" i="15"/>
  <c r="H2086" i="15"/>
  <c r="H2085" i="15"/>
  <c r="H2084" i="15"/>
  <c r="H2083" i="15"/>
  <c r="H2082" i="15"/>
  <c r="H2081" i="15"/>
  <c r="H2080" i="15"/>
  <c r="H2079" i="15"/>
  <c r="H2078" i="15"/>
  <c r="H2077" i="15"/>
  <c r="H2076" i="15"/>
  <c r="H2075" i="15"/>
  <c r="H2074" i="15"/>
  <c r="H2073" i="15"/>
  <c r="H2072" i="15"/>
  <c r="H2071" i="15"/>
  <c r="H2070" i="15"/>
  <c r="H2069" i="15"/>
  <c r="H2068" i="15"/>
  <c r="H2067" i="15"/>
  <c r="H2066" i="15"/>
  <c r="H2065" i="15"/>
  <c r="H2064" i="15"/>
  <c r="H2063" i="15"/>
  <c r="H2062" i="15"/>
  <c r="H2061" i="15"/>
  <c r="H2060" i="15"/>
  <c r="H2059" i="15"/>
  <c r="H2058" i="15"/>
  <c r="H2057" i="15"/>
  <c r="H2056" i="15"/>
  <c r="H2055" i="15"/>
  <c r="H2054" i="15"/>
  <c r="H2053" i="15"/>
  <c r="H2052" i="15"/>
  <c r="H2051" i="15"/>
  <c r="H2050" i="15"/>
  <c r="H2049" i="15"/>
  <c r="H2048" i="15"/>
  <c r="H2047" i="15"/>
  <c r="H2046" i="15"/>
  <c r="H2045" i="15"/>
  <c r="H2044" i="15"/>
  <c r="H2043" i="15"/>
  <c r="H2042" i="15"/>
  <c r="H2041" i="15"/>
  <c r="H2040" i="15"/>
  <c r="H2039" i="15"/>
  <c r="H2038" i="15"/>
  <c r="H2037" i="15"/>
  <c r="H2036" i="15"/>
  <c r="H2035" i="15"/>
  <c r="H2034" i="15"/>
  <c r="H2033" i="15"/>
  <c r="H2032" i="15"/>
  <c r="H2031" i="15"/>
  <c r="H2030" i="15"/>
  <c r="H2029" i="15"/>
  <c r="H2028" i="15"/>
  <c r="H2027" i="15"/>
  <c r="H2026" i="15"/>
  <c r="H2025" i="15"/>
  <c r="H2024" i="15"/>
  <c r="H2023" i="15"/>
  <c r="H2022" i="15"/>
  <c r="H2021" i="15"/>
  <c r="H2020" i="15"/>
  <c r="H2019" i="15"/>
  <c r="H2018" i="15"/>
  <c r="H2017" i="15"/>
  <c r="H2016" i="15"/>
  <c r="H2015" i="15"/>
  <c r="H2014" i="15"/>
  <c r="H2013" i="15"/>
  <c r="H2012" i="15"/>
  <c r="H2011" i="15"/>
  <c r="H2010" i="15"/>
  <c r="H2009" i="15"/>
  <c r="H2008" i="15"/>
  <c r="H2007" i="15"/>
  <c r="H2006" i="15"/>
  <c r="H2005" i="15"/>
  <c r="H2004" i="15"/>
  <c r="H2003" i="15"/>
  <c r="H2002" i="15"/>
  <c r="H2001" i="15"/>
  <c r="H2000" i="15"/>
  <c r="H1999" i="15"/>
  <c r="H1998" i="15"/>
  <c r="H1997" i="15"/>
  <c r="H1996" i="15"/>
  <c r="H1995" i="15"/>
  <c r="H1994" i="15"/>
  <c r="H1993" i="15"/>
  <c r="H1992" i="15"/>
  <c r="H1991" i="15"/>
  <c r="H1990" i="15"/>
  <c r="H1989" i="15"/>
  <c r="H1988" i="15"/>
  <c r="H1987" i="15"/>
  <c r="H1986" i="15"/>
  <c r="H1985" i="15"/>
  <c r="H1984" i="15"/>
  <c r="H1983" i="15"/>
  <c r="H1982" i="15"/>
  <c r="H1981" i="15"/>
  <c r="H1980" i="15"/>
  <c r="H1979" i="15"/>
  <c r="H1978" i="15"/>
  <c r="H1977" i="15"/>
  <c r="H1976" i="15"/>
  <c r="H1975" i="15"/>
  <c r="H1974" i="15"/>
  <c r="H1973" i="15"/>
  <c r="H1972" i="15"/>
  <c r="H1971" i="15"/>
  <c r="H1970" i="15"/>
  <c r="H1969" i="15"/>
  <c r="H1968" i="15"/>
  <c r="H1967" i="15"/>
  <c r="H1966" i="15"/>
  <c r="H1965" i="15"/>
  <c r="H1964" i="15"/>
  <c r="H1963" i="15"/>
  <c r="H1962" i="15"/>
  <c r="H1961" i="15"/>
  <c r="H1960" i="15"/>
  <c r="H1959" i="15"/>
  <c r="H1958" i="15"/>
  <c r="H1957" i="15"/>
  <c r="H1956" i="15"/>
  <c r="H1955" i="15"/>
  <c r="H1954" i="15"/>
  <c r="H1953" i="15"/>
  <c r="H1952" i="15"/>
  <c r="H1951" i="15"/>
  <c r="H1950" i="15"/>
  <c r="H1949" i="15"/>
  <c r="H1948" i="15"/>
  <c r="H1947" i="15"/>
  <c r="H1946" i="15"/>
  <c r="H1945" i="15"/>
  <c r="H1944" i="15"/>
  <c r="H1943" i="15"/>
  <c r="H1942" i="15"/>
  <c r="H1941" i="15"/>
  <c r="H1940" i="15"/>
  <c r="H1939" i="15"/>
  <c r="H1938" i="15"/>
  <c r="H1937" i="15"/>
  <c r="H1936" i="15"/>
  <c r="H1935" i="15"/>
  <c r="H1934" i="15"/>
  <c r="H1933" i="15"/>
  <c r="H1932" i="15"/>
  <c r="H1931" i="15"/>
  <c r="H1930" i="15"/>
  <c r="H1929" i="15"/>
  <c r="H1928" i="15"/>
  <c r="H1927" i="15"/>
  <c r="H1926" i="15"/>
  <c r="H1925" i="15"/>
  <c r="H1924" i="15"/>
  <c r="H1923" i="15"/>
  <c r="H1922" i="15"/>
  <c r="H1921" i="15"/>
  <c r="H1920" i="15"/>
  <c r="H1919" i="15"/>
  <c r="H1918" i="15"/>
  <c r="H1917" i="15"/>
  <c r="H1916" i="15"/>
  <c r="H1915" i="15"/>
  <c r="H1914" i="15"/>
  <c r="H1913" i="15"/>
  <c r="H1912" i="15"/>
  <c r="H1911" i="15"/>
  <c r="H1910" i="15"/>
  <c r="H1909" i="15"/>
  <c r="H1908" i="15"/>
  <c r="H1907" i="15"/>
  <c r="H1906" i="15"/>
  <c r="H1905" i="15"/>
  <c r="H1904" i="15"/>
  <c r="H1903" i="15"/>
  <c r="H1902" i="15"/>
  <c r="H1901" i="15"/>
  <c r="H1900" i="15"/>
  <c r="H1899" i="15"/>
  <c r="H1898" i="15"/>
  <c r="H1897" i="15"/>
  <c r="H1896" i="15"/>
  <c r="H1895" i="15"/>
  <c r="H1894" i="15"/>
  <c r="H1893" i="15"/>
  <c r="H1892" i="15"/>
  <c r="H1891" i="15"/>
  <c r="H1890" i="15"/>
  <c r="H1889" i="15"/>
  <c r="H1888" i="15"/>
  <c r="H1887" i="15"/>
  <c r="H1886" i="15"/>
  <c r="H1885" i="15"/>
  <c r="H1884" i="15"/>
  <c r="H1883" i="15"/>
  <c r="H1882" i="15"/>
  <c r="H1881" i="15"/>
  <c r="H1880" i="15"/>
  <c r="H1879" i="15"/>
  <c r="H1878" i="15"/>
  <c r="H1877" i="15"/>
  <c r="H1876" i="15"/>
  <c r="H1875" i="15"/>
  <c r="H1874" i="15"/>
  <c r="H1873" i="15"/>
  <c r="H1872" i="15"/>
  <c r="H1871" i="15"/>
  <c r="H1870" i="15"/>
  <c r="H1869" i="15"/>
  <c r="H1868" i="15"/>
  <c r="H1867" i="15"/>
  <c r="H1866" i="15"/>
  <c r="H1865" i="15"/>
  <c r="H1864" i="15"/>
  <c r="H1863" i="15"/>
  <c r="H1862" i="15"/>
  <c r="H1861" i="15"/>
  <c r="H1860" i="15"/>
  <c r="H1859" i="15"/>
  <c r="H1858" i="15"/>
  <c r="H1857" i="15"/>
  <c r="H1856" i="15"/>
  <c r="H1855" i="15"/>
  <c r="H1854" i="15"/>
  <c r="H1853" i="15"/>
  <c r="H1852" i="15"/>
  <c r="H1851" i="15"/>
  <c r="H1850" i="15"/>
  <c r="H1849" i="15"/>
  <c r="H1848" i="15"/>
  <c r="H1847" i="15"/>
  <c r="H1846" i="15"/>
  <c r="H1845" i="15"/>
  <c r="H1844" i="15"/>
  <c r="H1843" i="15"/>
  <c r="H1842" i="15"/>
  <c r="H1841" i="15"/>
  <c r="H1840" i="15"/>
  <c r="H1839" i="15"/>
  <c r="H1838" i="15"/>
  <c r="H1837" i="15"/>
  <c r="H1836" i="15"/>
  <c r="H1835" i="15"/>
  <c r="H1834" i="15"/>
  <c r="H1833" i="15"/>
  <c r="H1832" i="15"/>
  <c r="H1831" i="15"/>
  <c r="H1830" i="15"/>
  <c r="H1829" i="15"/>
  <c r="H1828" i="15"/>
  <c r="H1827" i="15"/>
  <c r="H1826" i="15"/>
  <c r="H1825" i="15"/>
  <c r="H1824" i="15"/>
  <c r="H1823" i="15"/>
  <c r="H1822" i="15"/>
  <c r="H1821" i="15"/>
  <c r="H1820" i="15"/>
  <c r="H1819" i="15"/>
  <c r="H1818" i="15"/>
  <c r="H1817" i="15"/>
  <c r="H1816" i="15"/>
  <c r="H1815" i="15"/>
  <c r="H1814" i="15"/>
  <c r="H1813" i="15"/>
  <c r="H1812" i="15"/>
  <c r="H1811" i="15"/>
  <c r="H1810" i="15"/>
  <c r="H1809" i="15"/>
  <c r="H1808" i="15"/>
  <c r="H1807" i="15"/>
  <c r="H1806" i="15"/>
  <c r="H1805" i="15"/>
  <c r="H1804" i="15"/>
  <c r="H1803" i="15"/>
  <c r="H1802" i="15"/>
  <c r="H1801" i="15"/>
  <c r="H1800" i="15"/>
  <c r="H1799" i="15"/>
  <c r="H1798" i="15"/>
  <c r="H1797" i="15"/>
  <c r="H1796" i="15"/>
  <c r="H1795" i="15"/>
  <c r="H1794" i="15"/>
  <c r="H1793" i="15"/>
  <c r="H1792" i="15"/>
  <c r="H1791" i="15"/>
  <c r="H1790" i="15"/>
  <c r="H1789" i="15"/>
  <c r="H1788" i="15"/>
  <c r="H1787" i="15"/>
  <c r="H1786" i="15"/>
  <c r="H1785" i="15"/>
  <c r="H1784" i="15"/>
  <c r="H1783" i="15"/>
  <c r="H1782" i="15"/>
  <c r="H1781" i="15"/>
  <c r="H1780" i="15"/>
  <c r="H1779" i="15"/>
  <c r="H1778" i="15"/>
  <c r="H1777" i="15"/>
  <c r="H1776" i="15"/>
  <c r="H1775" i="15"/>
  <c r="H1774" i="15"/>
  <c r="H1773" i="15"/>
  <c r="H1772" i="15"/>
  <c r="H1771" i="15"/>
  <c r="H1770" i="15"/>
  <c r="H1769" i="15"/>
  <c r="H1768" i="15"/>
  <c r="H1767" i="15"/>
  <c r="H1766" i="15"/>
  <c r="H1765" i="15"/>
  <c r="H1764" i="15"/>
  <c r="H1763" i="15"/>
  <c r="H1762" i="15"/>
  <c r="H1761" i="15"/>
  <c r="H1760" i="15"/>
  <c r="H1759" i="15"/>
  <c r="H1758" i="15"/>
  <c r="H1757" i="15"/>
  <c r="H1756" i="15"/>
  <c r="H1755" i="15"/>
  <c r="H1754" i="15"/>
  <c r="H1753" i="15"/>
  <c r="H1752" i="15"/>
  <c r="H1751" i="15"/>
  <c r="H1750" i="15"/>
  <c r="H1749" i="15"/>
  <c r="H1748" i="15"/>
  <c r="H1747" i="15"/>
  <c r="H1746" i="15"/>
  <c r="H1745" i="15"/>
  <c r="H1744" i="15"/>
  <c r="H1743" i="15"/>
  <c r="H1742" i="15"/>
  <c r="H1741" i="15"/>
  <c r="H1740" i="15"/>
  <c r="H1739" i="15"/>
  <c r="H1738" i="15"/>
  <c r="H1737" i="15"/>
  <c r="H1736" i="15"/>
  <c r="H1735" i="15"/>
  <c r="H1734" i="15"/>
  <c r="H1733" i="15"/>
  <c r="H1732" i="15"/>
  <c r="H1731" i="15"/>
  <c r="H1730" i="15"/>
  <c r="H1729" i="15"/>
  <c r="H1728" i="15"/>
  <c r="H1727" i="15"/>
  <c r="H1726" i="15"/>
  <c r="H1725" i="15"/>
  <c r="H1724" i="15"/>
  <c r="H1723" i="15"/>
  <c r="H1722" i="15"/>
  <c r="H1721" i="15"/>
  <c r="H1720" i="15"/>
  <c r="H1719" i="15"/>
  <c r="H1718" i="15"/>
  <c r="H1717" i="15"/>
  <c r="H1716" i="15"/>
  <c r="H1715" i="15"/>
  <c r="H1714" i="15"/>
  <c r="H1713" i="15"/>
  <c r="H1712" i="15"/>
  <c r="H1711" i="15"/>
  <c r="H1710" i="15"/>
  <c r="H1709" i="15"/>
  <c r="H1708" i="15"/>
  <c r="H1707" i="15"/>
  <c r="H1706" i="15"/>
  <c r="H1705" i="15"/>
  <c r="H1704" i="15"/>
  <c r="H1703" i="15"/>
  <c r="H1702" i="15"/>
  <c r="H1701" i="15"/>
  <c r="H1700" i="15"/>
  <c r="H1699" i="15"/>
  <c r="H1698" i="15"/>
  <c r="H1697" i="15"/>
  <c r="H1696" i="15"/>
  <c r="H1695" i="15"/>
  <c r="H1694" i="15"/>
  <c r="H1693" i="15"/>
  <c r="H1692" i="15"/>
  <c r="H1691" i="15"/>
  <c r="H1690" i="15"/>
  <c r="H1689" i="15"/>
  <c r="H1688" i="15"/>
  <c r="H1687" i="15"/>
  <c r="H1686" i="15"/>
  <c r="H1685" i="15"/>
  <c r="H1684" i="15"/>
  <c r="H1683" i="15"/>
  <c r="H1682" i="15"/>
  <c r="H1681" i="15"/>
  <c r="H1680" i="15"/>
  <c r="H1679" i="15"/>
  <c r="H1678" i="15"/>
  <c r="H1677" i="15"/>
  <c r="H1676" i="15"/>
  <c r="H1675" i="15"/>
  <c r="H1674" i="15"/>
  <c r="H1673" i="15"/>
  <c r="H1672" i="15"/>
  <c r="H1671" i="15"/>
  <c r="H1670" i="15"/>
  <c r="H1669" i="15"/>
  <c r="H1668" i="15"/>
  <c r="H1667" i="15"/>
  <c r="H1666" i="15"/>
  <c r="H1665" i="15"/>
  <c r="H1664" i="15"/>
  <c r="H1663" i="15"/>
  <c r="H1662" i="15"/>
  <c r="H1661" i="15"/>
  <c r="H1660" i="15"/>
  <c r="H1659" i="15"/>
  <c r="H1658" i="15"/>
  <c r="H1657" i="15"/>
  <c r="H1656" i="15"/>
  <c r="H1655" i="15"/>
  <c r="H1654" i="15"/>
  <c r="H1653" i="15"/>
  <c r="H1652" i="15"/>
  <c r="H1651" i="15"/>
  <c r="H1650" i="15"/>
  <c r="H1649" i="15"/>
  <c r="H1648" i="15"/>
  <c r="H1647" i="15"/>
  <c r="H1646" i="15"/>
  <c r="H1645" i="15"/>
  <c r="H1644" i="15"/>
  <c r="H1643" i="15"/>
  <c r="H1642" i="15"/>
  <c r="H1641" i="15"/>
  <c r="H1640" i="15"/>
  <c r="H1639" i="15"/>
  <c r="H1638" i="15"/>
  <c r="H1637" i="15"/>
  <c r="H1636" i="15"/>
  <c r="H1635" i="15"/>
  <c r="H1634" i="15"/>
  <c r="H1633" i="15"/>
  <c r="H1632" i="15"/>
  <c r="H1631" i="15"/>
  <c r="H1630" i="15"/>
  <c r="H1629" i="15"/>
  <c r="H1628" i="15"/>
  <c r="H1627" i="15"/>
  <c r="H1626" i="15"/>
  <c r="H1625" i="15"/>
  <c r="H1624" i="15"/>
  <c r="H1623" i="15"/>
  <c r="H1622" i="15"/>
  <c r="H1621" i="15"/>
  <c r="H1620" i="15"/>
  <c r="H1619" i="15"/>
  <c r="H1618" i="15"/>
  <c r="H1617" i="15"/>
  <c r="H1616" i="15"/>
  <c r="H1615" i="15"/>
  <c r="H1614" i="15"/>
  <c r="H1613" i="15"/>
  <c r="H1612" i="15"/>
  <c r="H1611" i="15"/>
  <c r="H1610" i="15"/>
  <c r="H1609" i="15"/>
  <c r="H1608" i="15"/>
  <c r="H1607" i="15"/>
  <c r="H1606" i="15"/>
  <c r="H1605" i="15"/>
  <c r="H1604" i="15"/>
  <c r="H1603" i="15"/>
  <c r="H1602" i="15"/>
  <c r="H1601" i="15"/>
  <c r="H1600" i="15"/>
  <c r="H1599" i="15"/>
  <c r="H1598" i="15"/>
  <c r="H1597" i="15"/>
  <c r="H1596" i="15"/>
  <c r="H1595" i="15"/>
  <c r="H1594" i="15"/>
  <c r="H1593" i="15"/>
  <c r="H1592" i="15"/>
  <c r="H1591" i="15"/>
  <c r="H1590" i="15"/>
  <c r="H1589" i="15"/>
  <c r="H1588" i="15"/>
  <c r="H1587" i="15"/>
  <c r="H1586" i="15"/>
  <c r="H1585" i="15"/>
  <c r="H1584" i="15"/>
  <c r="H1583" i="15"/>
  <c r="H1582" i="15"/>
  <c r="H1581" i="15"/>
  <c r="H1580" i="15"/>
  <c r="H1579" i="15"/>
  <c r="H1578" i="15"/>
  <c r="H1577" i="15"/>
  <c r="H1576" i="15"/>
  <c r="H1575" i="15"/>
  <c r="H1574" i="15"/>
  <c r="H1573" i="15"/>
  <c r="H1572" i="15"/>
  <c r="H1571" i="15"/>
  <c r="H1570" i="15"/>
  <c r="H1569" i="15"/>
  <c r="H1568" i="15"/>
  <c r="H1567" i="15"/>
  <c r="H1566" i="15"/>
  <c r="H1565" i="15"/>
  <c r="H1564" i="15"/>
  <c r="H1563" i="15"/>
  <c r="H1562" i="15"/>
  <c r="H1561" i="15"/>
  <c r="H1560" i="15"/>
  <c r="H1559" i="15"/>
  <c r="H1558" i="15"/>
  <c r="H1557" i="15"/>
  <c r="H1556" i="15"/>
  <c r="H1555" i="15"/>
  <c r="H1554" i="15"/>
  <c r="H1553" i="15"/>
  <c r="H1552" i="15"/>
  <c r="H1551" i="15"/>
  <c r="H1550" i="15"/>
  <c r="H1549" i="15"/>
  <c r="H1548" i="15"/>
  <c r="H1547" i="15"/>
  <c r="H1546" i="15"/>
  <c r="H1545" i="15"/>
  <c r="H1544" i="15"/>
  <c r="H1543" i="15"/>
  <c r="H1542" i="15"/>
  <c r="H1541" i="15"/>
  <c r="H1540" i="15"/>
  <c r="H1539" i="15"/>
  <c r="H1538" i="15"/>
  <c r="H1537" i="15"/>
  <c r="H1536" i="15"/>
  <c r="H1535" i="15"/>
  <c r="H1534" i="15"/>
  <c r="H1533" i="15"/>
  <c r="H1532" i="15"/>
  <c r="H1531" i="15"/>
  <c r="H1530" i="15"/>
  <c r="H1529" i="15"/>
  <c r="H1528" i="15"/>
  <c r="H1527" i="15"/>
  <c r="H1526" i="15"/>
  <c r="H1525" i="15"/>
  <c r="H1524" i="15"/>
  <c r="H1523" i="15"/>
  <c r="H1522" i="15"/>
  <c r="H1521" i="15"/>
  <c r="H1520" i="15"/>
  <c r="H1519" i="15"/>
  <c r="H1518" i="15"/>
  <c r="H1517" i="15"/>
  <c r="H1516" i="15"/>
  <c r="H1515" i="15"/>
  <c r="H1514" i="15"/>
  <c r="H1513" i="15"/>
  <c r="H1512" i="15"/>
  <c r="H1511" i="15"/>
  <c r="H1510" i="15"/>
  <c r="H1509" i="15"/>
  <c r="H1508" i="15"/>
  <c r="H1507" i="15"/>
  <c r="H1506" i="15"/>
  <c r="H1505" i="15"/>
  <c r="H1504" i="15"/>
  <c r="H1503" i="15"/>
  <c r="H1502" i="15"/>
  <c r="H1501" i="15"/>
  <c r="H1500" i="15"/>
  <c r="H1499" i="15"/>
  <c r="H1498" i="15"/>
  <c r="H1497" i="15"/>
  <c r="H1496" i="15"/>
  <c r="H1495" i="15"/>
  <c r="H1494" i="15"/>
  <c r="H1493" i="15"/>
  <c r="H1492" i="15"/>
  <c r="H1491" i="15"/>
  <c r="H1490" i="15"/>
  <c r="H1489" i="15"/>
  <c r="H1488" i="15"/>
  <c r="H1487" i="15"/>
  <c r="H1486" i="15"/>
  <c r="H1485" i="15"/>
  <c r="H1484" i="15"/>
  <c r="H1483" i="15"/>
  <c r="H1482" i="15"/>
  <c r="H1481" i="15"/>
  <c r="H1480" i="15"/>
  <c r="H1479" i="15"/>
  <c r="H1478" i="15"/>
  <c r="H1477" i="15"/>
  <c r="H1476" i="15"/>
  <c r="H1475" i="15"/>
  <c r="H1474" i="15"/>
  <c r="H1473" i="15"/>
  <c r="H1472" i="15"/>
  <c r="H1471" i="15"/>
  <c r="H1470" i="15"/>
  <c r="H1469" i="15"/>
  <c r="H1468" i="15"/>
  <c r="H1467" i="15"/>
  <c r="H1466" i="15"/>
  <c r="H1465" i="15"/>
  <c r="H1464" i="15"/>
  <c r="H1463" i="15"/>
  <c r="H1462" i="15"/>
  <c r="H1461" i="15"/>
  <c r="H1460" i="15"/>
  <c r="H1459" i="15"/>
  <c r="H1458" i="15"/>
  <c r="H1457" i="15"/>
  <c r="H1456" i="15"/>
  <c r="H1455" i="15"/>
  <c r="H1454" i="15"/>
  <c r="H1453" i="15"/>
  <c r="H1452" i="15"/>
  <c r="H1451" i="15"/>
  <c r="H1450" i="15"/>
  <c r="H1449" i="15"/>
  <c r="H1448" i="15"/>
  <c r="H1447" i="15"/>
  <c r="H1446" i="15"/>
  <c r="H1445" i="15"/>
  <c r="H1444" i="15"/>
  <c r="H1443" i="15"/>
  <c r="H1442" i="15"/>
  <c r="H1441" i="15"/>
  <c r="H1440" i="15"/>
  <c r="H1439" i="15"/>
  <c r="H1438" i="15"/>
  <c r="H1437" i="15"/>
  <c r="H1436" i="15"/>
  <c r="H1435" i="15"/>
  <c r="H1434" i="15"/>
  <c r="H1433" i="15"/>
  <c r="H1432" i="15"/>
  <c r="H1431" i="15"/>
  <c r="H1430" i="15"/>
  <c r="H1429" i="15"/>
  <c r="H1428" i="15"/>
  <c r="H1427" i="15"/>
  <c r="H1426" i="15"/>
  <c r="H1425" i="15"/>
  <c r="H1424" i="15"/>
  <c r="H1423" i="15"/>
  <c r="H1422" i="15"/>
  <c r="H1421" i="15"/>
  <c r="H1420" i="15"/>
  <c r="H1419" i="15"/>
  <c r="H1418" i="15"/>
  <c r="H1417" i="15"/>
  <c r="H1416" i="15"/>
  <c r="H1415" i="15"/>
  <c r="H1414" i="15"/>
  <c r="H1413" i="15"/>
  <c r="H1412" i="15"/>
  <c r="H1411" i="15"/>
  <c r="H1410" i="15"/>
  <c r="H1409" i="15"/>
  <c r="H1408" i="15"/>
  <c r="H1407" i="15"/>
  <c r="H1406" i="15"/>
  <c r="H1405" i="15"/>
  <c r="H1404" i="15"/>
  <c r="H1403" i="15"/>
  <c r="H1402" i="15"/>
  <c r="H1401" i="15"/>
  <c r="H1400" i="15"/>
  <c r="H1399" i="15"/>
  <c r="H1398" i="15"/>
  <c r="H1397" i="15"/>
  <c r="H1396" i="15"/>
  <c r="H1395" i="15"/>
  <c r="H1394" i="15"/>
  <c r="H1393" i="15"/>
  <c r="H1392" i="15"/>
  <c r="H1391" i="15"/>
  <c r="H1390" i="15"/>
  <c r="H1389" i="15"/>
  <c r="H1388" i="15"/>
  <c r="H1387" i="15"/>
  <c r="H1386" i="15"/>
  <c r="H1385" i="15"/>
  <c r="H1384" i="15"/>
  <c r="H1383" i="15"/>
  <c r="H1382" i="15"/>
  <c r="H1381" i="15"/>
  <c r="H1380" i="15"/>
  <c r="H1379" i="15"/>
  <c r="H1378" i="15"/>
  <c r="H1377" i="15"/>
  <c r="H1376" i="15"/>
  <c r="H1375" i="15"/>
  <c r="H1374" i="15"/>
  <c r="H1373" i="15"/>
  <c r="H1372" i="15"/>
  <c r="H1371" i="15"/>
  <c r="H1370" i="15"/>
  <c r="H1369" i="15"/>
  <c r="H1368" i="15"/>
  <c r="H1367" i="15"/>
  <c r="H1366" i="15"/>
  <c r="H1365" i="15"/>
  <c r="H1364" i="15"/>
  <c r="H1363" i="15"/>
  <c r="H1362" i="15"/>
  <c r="H1361" i="15"/>
  <c r="H1360" i="15"/>
  <c r="H1359" i="15"/>
  <c r="H1358" i="15"/>
  <c r="H1357" i="15"/>
  <c r="H1356" i="15"/>
  <c r="H1355" i="15"/>
  <c r="H1354" i="15"/>
  <c r="H1353" i="15"/>
  <c r="H1352" i="15"/>
  <c r="H1351" i="15"/>
  <c r="H1350" i="15"/>
  <c r="H1349" i="15"/>
  <c r="H1348" i="15"/>
  <c r="H1347" i="15"/>
  <c r="H1346" i="15"/>
  <c r="H1345" i="15"/>
  <c r="H1344" i="15"/>
  <c r="H1343" i="15"/>
  <c r="H1342" i="15"/>
  <c r="H1341" i="15"/>
  <c r="H1340" i="15"/>
  <c r="H1339" i="15"/>
  <c r="H1338" i="15"/>
  <c r="H1337" i="15"/>
  <c r="H1336" i="15"/>
  <c r="H1335" i="15"/>
  <c r="H1334" i="15"/>
  <c r="H1333" i="15"/>
  <c r="H1332" i="15"/>
  <c r="H1331" i="15"/>
  <c r="H1330" i="15"/>
  <c r="H1329" i="15"/>
  <c r="H1328" i="15"/>
  <c r="H1327" i="15"/>
  <c r="H1326" i="15"/>
  <c r="H1325" i="15"/>
  <c r="H1324" i="15"/>
  <c r="H1323" i="15"/>
  <c r="H1322" i="15"/>
  <c r="H1321" i="15"/>
  <c r="H1320" i="15"/>
  <c r="H1319" i="15"/>
  <c r="H1318" i="15"/>
  <c r="H1317" i="15"/>
  <c r="H1316" i="15"/>
  <c r="H1315" i="15"/>
  <c r="H1314" i="15"/>
  <c r="H1313" i="15"/>
  <c r="H1312" i="15"/>
  <c r="H1311" i="15"/>
  <c r="H1310" i="15"/>
  <c r="H1309" i="15"/>
  <c r="H1308" i="15"/>
  <c r="H1307" i="15"/>
  <c r="H1306" i="15"/>
  <c r="H1305" i="15"/>
  <c r="H1304" i="15"/>
  <c r="H1303" i="15"/>
  <c r="H1302" i="15"/>
  <c r="H1301" i="15"/>
  <c r="H1300" i="15"/>
  <c r="H1299" i="15"/>
  <c r="H1298" i="15"/>
  <c r="H1297" i="15"/>
  <c r="H1296" i="15"/>
  <c r="H1295" i="15"/>
  <c r="H1294" i="15"/>
  <c r="H1293" i="15"/>
  <c r="H1292" i="15"/>
  <c r="H1291" i="15"/>
  <c r="H1290" i="15"/>
  <c r="H1289" i="15"/>
  <c r="H1288" i="15"/>
  <c r="H1287" i="15"/>
  <c r="H1286" i="15"/>
  <c r="H1285" i="15"/>
  <c r="H1284" i="15"/>
  <c r="H1283" i="15"/>
  <c r="H1282" i="15"/>
  <c r="H1281" i="15"/>
  <c r="H1280" i="15"/>
  <c r="H1279" i="15"/>
  <c r="H1278" i="15"/>
  <c r="H1277" i="15"/>
  <c r="H1276" i="15"/>
  <c r="H1275" i="15"/>
  <c r="H1274" i="15"/>
  <c r="H1273" i="15"/>
  <c r="H1272" i="15"/>
  <c r="H1271" i="15"/>
  <c r="H1270" i="15"/>
  <c r="H1269" i="15"/>
  <c r="H1268" i="15"/>
  <c r="H1267" i="15"/>
  <c r="H1266" i="15"/>
  <c r="H1265" i="15"/>
  <c r="H1264" i="15"/>
  <c r="H1263" i="15"/>
  <c r="H1262" i="15"/>
  <c r="H1261" i="15"/>
  <c r="H1260" i="15"/>
  <c r="H1259" i="15"/>
  <c r="H1258" i="15"/>
  <c r="H1257" i="15"/>
  <c r="H1256" i="15"/>
  <c r="H1255" i="15"/>
  <c r="H1254" i="15"/>
  <c r="H1253" i="15"/>
  <c r="H1252" i="15"/>
  <c r="H1251" i="15"/>
  <c r="H1250" i="15"/>
  <c r="H1249" i="15"/>
  <c r="H1248" i="15"/>
  <c r="H1247" i="15"/>
  <c r="H1246" i="15"/>
  <c r="H1245" i="15"/>
  <c r="H1244" i="15"/>
  <c r="H1243" i="15"/>
  <c r="H1242" i="15"/>
  <c r="H1241" i="15"/>
  <c r="H1240" i="15"/>
  <c r="H1239" i="15"/>
  <c r="H1238" i="15"/>
  <c r="H1237" i="15"/>
  <c r="H1236" i="15"/>
  <c r="H1235" i="15"/>
  <c r="H1234" i="15"/>
  <c r="H1233" i="15"/>
  <c r="H1232" i="15"/>
  <c r="H1231" i="15"/>
  <c r="H1230" i="15"/>
  <c r="H1229" i="15"/>
  <c r="H1228" i="15"/>
  <c r="H1227" i="15"/>
  <c r="H1226" i="15"/>
  <c r="H1225" i="15"/>
  <c r="H1224" i="15"/>
  <c r="H1223" i="15"/>
  <c r="H1222" i="15"/>
  <c r="H1221" i="15"/>
  <c r="H1220" i="15"/>
  <c r="H1219" i="15"/>
  <c r="H1218" i="15"/>
  <c r="H1217" i="15"/>
  <c r="H1216" i="15"/>
  <c r="H1215" i="15"/>
  <c r="H1214" i="15"/>
  <c r="H1213" i="15"/>
  <c r="H1212" i="15"/>
  <c r="H1211" i="15"/>
  <c r="H1210" i="15"/>
  <c r="H1209" i="15"/>
  <c r="H1208" i="15"/>
  <c r="H1207" i="15"/>
  <c r="H1206" i="15"/>
  <c r="H1205" i="15"/>
  <c r="H1204" i="15"/>
  <c r="H1203" i="15"/>
  <c r="H1202" i="15"/>
  <c r="H1201" i="15"/>
  <c r="H1200" i="15"/>
  <c r="H1199" i="15"/>
  <c r="H1198" i="15"/>
  <c r="H1197" i="15"/>
  <c r="H1196" i="15"/>
  <c r="H1195" i="15"/>
  <c r="H1194" i="15"/>
  <c r="H1193" i="15"/>
  <c r="H1192" i="15"/>
  <c r="H1191" i="15"/>
  <c r="H1190" i="15"/>
  <c r="H1189" i="15"/>
  <c r="H1188" i="15"/>
  <c r="H1187" i="15"/>
  <c r="H1186" i="15"/>
  <c r="H1185" i="15"/>
  <c r="H1184" i="15"/>
  <c r="H1183" i="15"/>
  <c r="H1182" i="15"/>
  <c r="H1181" i="15"/>
  <c r="H1180" i="15"/>
  <c r="H1179" i="15"/>
  <c r="H1178" i="15"/>
  <c r="H1177" i="15"/>
  <c r="H1176" i="15"/>
  <c r="H1175" i="15"/>
  <c r="H1174" i="15"/>
  <c r="H1173" i="15"/>
  <c r="H1172" i="15"/>
  <c r="H1171" i="15"/>
  <c r="H1170" i="15"/>
  <c r="H1169" i="15"/>
  <c r="H1168" i="15"/>
  <c r="H1167" i="15"/>
  <c r="H1166" i="15"/>
  <c r="H1165" i="15"/>
  <c r="H1164" i="15"/>
  <c r="H1163" i="15"/>
  <c r="H1162" i="15"/>
  <c r="H1161" i="15"/>
  <c r="H1160" i="15"/>
  <c r="H1159" i="15"/>
  <c r="H1158" i="15"/>
  <c r="H1157" i="15"/>
  <c r="H1156" i="15"/>
  <c r="H1155" i="15"/>
  <c r="H1154" i="15"/>
  <c r="H1153" i="15"/>
  <c r="H1152" i="15"/>
  <c r="H1151" i="15"/>
  <c r="H1150" i="15"/>
  <c r="H1149" i="15"/>
  <c r="H1148" i="15"/>
  <c r="H1147" i="15"/>
  <c r="H1146" i="15"/>
  <c r="H1145" i="15"/>
  <c r="H1144" i="15"/>
  <c r="H1143" i="15"/>
  <c r="H1142" i="15"/>
  <c r="H1141" i="15"/>
  <c r="H1140" i="15"/>
  <c r="H1139" i="15"/>
  <c r="H1138" i="15"/>
  <c r="H1137" i="15"/>
  <c r="H1136" i="15"/>
  <c r="H1135" i="15"/>
  <c r="H1134" i="15"/>
  <c r="H1133" i="15"/>
  <c r="H1132" i="15"/>
  <c r="H1131" i="15"/>
  <c r="H1130" i="15"/>
  <c r="H1129" i="15"/>
  <c r="H1128" i="15"/>
  <c r="H1127" i="15"/>
  <c r="H1126" i="15"/>
  <c r="H1125" i="15"/>
  <c r="H1124" i="15"/>
  <c r="H1123" i="15"/>
  <c r="H1122" i="15"/>
  <c r="H1121" i="15"/>
  <c r="H1120" i="15"/>
  <c r="H1119" i="15"/>
  <c r="H1118" i="15"/>
  <c r="H1117" i="15"/>
  <c r="H1116" i="15"/>
  <c r="H1115" i="15"/>
  <c r="H1114" i="15"/>
  <c r="H1113" i="15"/>
  <c r="H1112" i="15"/>
  <c r="H1111" i="15"/>
  <c r="H1110" i="15"/>
  <c r="H1109" i="15"/>
  <c r="H1108" i="15"/>
  <c r="H1107" i="15"/>
  <c r="H1106" i="15"/>
  <c r="H1105" i="15"/>
  <c r="H1104" i="15"/>
  <c r="H1103" i="15"/>
  <c r="H1102" i="15"/>
  <c r="H1101" i="15"/>
  <c r="H1100" i="15"/>
  <c r="H1099" i="15"/>
  <c r="H1098" i="15"/>
  <c r="H1097" i="15"/>
  <c r="H1096" i="15"/>
  <c r="H1095" i="15"/>
  <c r="H1094" i="15"/>
  <c r="H1093" i="15"/>
  <c r="H1092" i="15"/>
  <c r="H1091" i="15"/>
  <c r="H1090" i="15"/>
  <c r="H1089" i="15"/>
  <c r="H1088" i="15"/>
  <c r="H1087" i="15"/>
  <c r="H1086" i="15"/>
  <c r="H1085" i="15"/>
  <c r="H1084" i="15"/>
  <c r="H1083" i="15"/>
  <c r="H1082" i="15"/>
  <c r="H1081" i="15"/>
  <c r="H1080" i="15"/>
  <c r="H1079" i="15"/>
  <c r="H1078" i="15"/>
  <c r="H1077" i="15"/>
  <c r="H1076" i="15"/>
  <c r="H1075" i="15"/>
  <c r="H1074" i="15"/>
  <c r="H1073" i="15"/>
  <c r="H1072" i="15"/>
  <c r="H1071" i="15"/>
  <c r="H1070" i="15"/>
  <c r="H1069" i="15"/>
  <c r="H1068" i="15"/>
  <c r="H1067" i="15"/>
  <c r="H1066" i="15"/>
  <c r="H1065" i="15"/>
  <c r="H1064" i="15"/>
  <c r="H1063" i="15"/>
  <c r="H1062" i="15"/>
  <c r="H1061" i="15"/>
  <c r="H1060" i="15"/>
  <c r="H1059" i="15"/>
  <c r="H1058" i="15"/>
  <c r="H1057" i="15"/>
  <c r="H1056" i="15"/>
  <c r="H1055" i="15"/>
  <c r="H1054" i="15"/>
  <c r="H1053" i="15"/>
  <c r="H1052" i="15"/>
  <c r="H1051" i="15"/>
  <c r="H1050" i="15"/>
  <c r="H1049" i="15"/>
  <c r="H1048" i="15"/>
  <c r="H1047" i="15"/>
  <c r="H1046" i="15"/>
  <c r="H1045" i="15"/>
  <c r="H1044" i="15"/>
  <c r="H1043" i="15"/>
  <c r="H1042" i="15"/>
  <c r="H1041" i="15"/>
  <c r="H1040" i="15"/>
  <c r="H1039" i="15"/>
  <c r="H1038" i="15"/>
  <c r="H1037" i="15"/>
  <c r="H1036" i="15"/>
  <c r="H1035" i="15"/>
  <c r="H1034" i="15"/>
  <c r="H1033" i="15"/>
  <c r="H1032" i="15"/>
  <c r="H1031" i="15"/>
  <c r="H1030" i="15"/>
  <c r="H1029" i="15"/>
  <c r="H1028" i="15"/>
  <c r="H1027" i="15"/>
  <c r="H1026" i="15"/>
  <c r="H1025" i="15"/>
  <c r="H1024" i="15"/>
  <c r="H1023" i="15"/>
  <c r="H1022" i="15"/>
  <c r="H1021" i="15"/>
  <c r="H1020" i="15"/>
  <c r="H1019" i="15"/>
  <c r="H1018" i="15"/>
  <c r="H1017" i="15"/>
  <c r="H1016" i="15"/>
  <c r="H1015" i="15"/>
  <c r="H1014" i="15"/>
  <c r="H1013" i="15"/>
  <c r="H1012" i="15"/>
  <c r="H1011" i="15"/>
  <c r="H1010" i="15"/>
  <c r="H1009" i="15"/>
  <c r="H1008" i="15"/>
  <c r="H1007" i="15"/>
  <c r="H1006" i="15"/>
  <c r="H1005" i="15"/>
  <c r="H1004" i="15"/>
  <c r="H1003" i="15"/>
  <c r="H1002" i="15"/>
  <c r="H1001" i="15"/>
  <c r="H1000" i="15"/>
  <c r="H999" i="15"/>
  <c r="H998" i="15"/>
  <c r="H997" i="15"/>
  <c r="H996" i="15"/>
  <c r="H995" i="15"/>
  <c r="H994" i="15"/>
  <c r="H993" i="15"/>
  <c r="H992" i="15"/>
  <c r="H991" i="15"/>
  <c r="H990" i="15"/>
  <c r="H989" i="15"/>
  <c r="H988" i="15"/>
  <c r="H987" i="15"/>
  <c r="H986" i="15"/>
  <c r="H985" i="15"/>
  <c r="H984" i="15"/>
  <c r="H983" i="15"/>
  <c r="H982" i="15"/>
  <c r="H981" i="15"/>
  <c r="H980" i="15"/>
  <c r="H979" i="15"/>
  <c r="H978" i="15"/>
  <c r="H977" i="15"/>
  <c r="H976" i="15"/>
  <c r="H975" i="15"/>
  <c r="H974" i="15"/>
  <c r="H973" i="15"/>
  <c r="H972" i="15"/>
  <c r="H971" i="15"/>
  <c r="H970" i="15"/>
  <c r="H969" i="15"/>
  <c r="H968" i="15"/>
  <c r="H967" i="15"/>
  <c r="H966" i="15"/>
  <c r="H965" i="15"/>
  <c r="H964" i="15"/>
  <c r="H963" i="15"/>
  <c r="H962" i="15"/>
  <c r="H961" i="15"/>
  <c r="H960" i="15"/>
  <c r="H959" i="15"/>
  <c r="H958" i="15"/>
  <c r="H957" i="15"/>
  <c r="H956" i="15"/>
  <c r="H955" i="15"/>
  <c r="H954" i="15"/>
  <c r="H953" i="15"/>
  <c r="H952" i="15"/>
  <c r="H951" i="15"/>
  <c r="H950" i="15"/>
  <c r="H949" i="15"/>
  <c r="H948" i="15"/>
  <c r="H947" i="15"/>
  <c r="H946" i="15"/>
  <c r="H945" i="15"/>
  <c r="H944" i="15"/>
  <c r="H943" i="15"/>
  <c r="H942" i="15"/>
  <c r="H941" i="15"/>
  <c r="H940" i="15"/>
  <c r="H939" i="15"/>
  <c r="H938" i="15"/>
  <c r="H937" i="15"/>
  <c r="H936" i="15"/>
  <c r="H935" i="15"/>
  <c r="H934" i="15"/>
  <c r="H933" i="15"/>
  <c r="H932" i="15"/>
  <c r="H931" i="15"/>
  <c r="H930" i="15"/>
  <c r="H929" i="15"/>
  <c r="H928" i="15"/>
  <c r="H927" i="15"/>
  <c r="H926" i="15"/>
  <c r="H925" i="15"/>
  <c r="H924" i="15"/>
  <c r="H923" i="15"/>
  <c r="H922" i="15"/>
  <c r="H921" i="15"/>
  <c r="H920" i="15"/>
  <c r="H919" i="15"/>
  <c r="H918" i="15"/>
  <c r="H917" i="15"/>
  <c r="H916" i="15"/>
  <c r="H915" i="15"/>
  <c r="H914" i="15"/>
  <c r="H913" i="15"/>
  <c r="H912" i="15"/>
  <c r="H911" i="15"/>
  <c r="H910" i="15"/>
  <c r="H909" i="15"/>
  <c r="H908" i="15"/>
  <c r="H907" i="15"/>
  <c r="H906" i="15"/>
  <c r="H905" i="15"/>
  <c r="H904" i="15"/>
  <c r="H903" i="15"/>
  <c r="H902" i="15"/>
  <c r="H901" i="15"/>
  <c r="H900" i="15"/>
  <c r="H899" i="15"/>
  <c r="H898" i="15"/>
  <c r="H897" i="15"/>
  <c r="H896" i="15"/>
  <c r="H895" i="15"/>
  <c r="H894" i="15"/>
  <c r="H893" i="15"/>
  <c r="H892" i="15"/>
  <c r="H891" i="15"/>
  <c r="H890" i="15"/>
  <c r="H889" i="15"/>
  <c r="H888" i="15"/>
  <c r="H887" i="15"/>
  <c r="H886" i="15"/>
  <c r="H885" i="15"/>
  <c r="H884" i="15"/>
  <c r="H883" i="15"/>
  <c r="H882" i="15"/>
  <c r="H881" i="15"/>
  <c r="H880" i="15"/>
  <c r="H879" i="15"/>
  <c r="H878" i="15"/>
  <c r="H877" i="15"/>
  <c r="H876" i="15"/>
  <c r="H875" i="15"/>
  <c r="H874" i="15"/>
  <c r="H873" i="15"/>
  <c r="H872" i="15"/>
  <c r="H871" i="15"/>
  <c r="H870" i="15"/>
  <c r="H869" i="15"/>
  <c r="H868" i="15"/>
  <c r="H867" i="15"/>
  <c r="H866" i="15"/>
  <c r="H865" i="15"/>
  <c r="H864" i="15"/>
  <c r="H863" i="15"/>
  <c r="H862" i="15"/>
  <c r="H861" i="15"/>
  <c r="H860" i="15"/>
  <c r="H859" i="15"/>
  <c r="H858" i="15"/>
  <c r="H857" i="15"/>
  <c r="H856" i="15"/>
  <c r="H855" i="15"/>
  <c r="H854" i="15"/>
  <c r="H853" i="15"/>
  <c r="H852" i="15"/>
  <c r="H851" i="15"/>
  <c r="H850" i="15"/>
  <c r="H849" i="15"/>
  <c r="H848" i="15"/>
  <c r="H847" i="15"/>
  <c r="H846" i="15"/>
  <c r="H845" i="15"/>
  <c r="H844" i="15"/>
  <c r="H843" i="15"/>
  <c r="H842" i="15"/>
  <c r="H841" i="15"/>
  <c r="H840" i="15"/>
  <c r="H839" i="15"/>
  <c r="H838" i="15"/>
  <c r="H837" i="15"/>
  <c r="H836" i="15"/>
  <c r="H835" i="15"/>
  <c r="H834" i="15"/>
  <c r="H833" i="15"/>
  <c r="H832" i="15"/>
  <c r="H831" i="15"/>
  <c r="H830" i="15"/>
  <c r="H829" i="15"/>
  <c r="H828" i="15"/>
  <c r="H827" i="15"/>
  <c r="H826" i="15"/>
  <c r="H825" i="15"/>
  <c r="H824" i="15"/>
  <c r="H823" i="15"/>
  <c r="H822" i="15"/>
  <c r="H821" i="15"/>
  <c r="H820" i="15"/>
  <c r="H819" i="15"/>
  <c r="H818" i="15"/>
  <c r="H817" i="15"/>
  <c r="H816" i="15"/>
  <c r="H815" i="15"/>
  <c r="H814" i="15"/>
  <c r="H813" i="15"/>
  <c r="H812" i="15"/>
  <c r="H811" i="15"/>
  <c r="H810" i="15"/>
  <c r="H809" i="15"/>
  <c r="H808" i="15"/>
  <c r="H807" i="15"/>
  <c r="H806" i="15"/>
  <c r="H805" i="15"/>
  <c r="H804" i="15"/>
  <c r="H803" i="15"/>
  <c r="H802" i="15"/>
  <c r="H801" i="15"/>
  <c r="H800" i="15"/>
  <c r="H799" i="15"/>
  <c r="H798" i="15"/>
  <c r="H797" i="15"/>
  <c r="H796" i="15"/>
  <c r="H795" i="15"/>
  <c r="H794" i="15"/>
  <c r="H793" i="15"/>
  <c r="H792" i="15"/>
  <c r="H791" i="15"/>
  <c r="H790" i="15"/>
  <c r="H789" i="15"/>
  <c r="H788" i="15"/>
  <c r="H787" i="15"/>
  <c r="H786" i="15"/>
  <c r="H785" i="15"/>
  <c r="H784" i="15"/>
  <c r="H783" i="15"/>
  <c r="H782" i="15"/>
  <c r="H781" i="15"/>
  <c r="H780" i="15"/>
  <c r="H779" i="15"/>
  <c r="H778" i="15"/>
  <c r="H777" i="15"/>
  <c r="H776" i="15"/>
  <c r="H775" i="15"/>
  <c r="H774" i="15"/>
  <c r="H773" i="15"/>
  <c r="H772" i="15"/>
  <c r="H771" i="15"/>
  <c r="H770" i="15"/>
  <c r="H769" i="15"/>
  <c r="H768" i="15"/>
  <c r="H767" i="15"/>
  <c r="H766" i="15"/>
  <c r="H765" i="15"/>
  <c r="H764" i="15"/>
  <c r="H763" i="15"/>
  <c r="H762" i="15"/>
  <c r="H761" i="15"/>
  <c r="H760" i="15"/>
  <c r="H759" i="15"/>
  <c r="H758" i="15"/>
  <c r="H757" i="15"/>
  <c r="H756" i="15"/>
  <c r="H755" i="15"/>
  <c r="H754" i="15"/>
  <c r="H753" i="15"/>
  <c r="H752" i="15"/>
  <c r="H751" i="15"/>
  <c r="H750" i="15"/>
  <c r="H749" i="15"/>
  <c r="H748" i="15"/>
  <c r="H747" i="15"/>
  <c r="H746" i="15"/>
  <c r="H745" i="15"/>
  <c r="H744" i="15"/>
  <c r="H743" i="15"/>
  <c r="H742" i="15"/>
  <c r="H741" i="15"/>
  <c r="H740" i="15"/>
  <c r="H739" i="15"/>
  <c r="H738" i="15"/>
  <c r="H737" i="15"/>
  <c r="H736" i="15"/>
  <c r="H735" i="15"/>
  <c r="H734" i="15"/>
  <c r="H733" i="15"/>
  <c r="H732" i="15"/>
  <c r="H731" i="15"/>
  <c r="H730" i="15"/>
  <c r="H729" i="15"/>
  <c r="H728" i="15"/>
  <c r="H727" i="15"/>
  <c r="H726" i="15"/>
  <c r="H725" i="15"/>
  <c r="H724" i="15"/>
  <c r="H723" i="15"/>
  <c r="H722" i="15"/>
  <c r="H721" i="15"/>
  <c r="H720" i="15"/>
  <c r="H719" i="15"/>
  <c r="H718" i="15"/>
  <c r="H717" i="15"/>
  <c r="H716" i="15"/>
  <c r="H715" i="15"/>
  <c r="H714" i="15"/>
  <c r="H713" i="15"/>
  <c r="H712" i="15"/>
  <c r="H711" i="15"/>
  <c r="H710" i="15"/>
  <c r="H709" i="15"/>
  <c r="H708" i="15"/>
  <c r="H707" i="15"/>
  <c r="H706" i="15"/>
  <c r="H705" i="15"/>
  <c r="H704" i="15"/>
  <c r="H703" i="15"/>
  <c r="H702" i="15"/>
  <c r="H701" i="15"/>
  <c r="H700" i="15"/>
  <c r="H699" i="15"/>
  <c r="H698" i="15"/>
  <c r="H697" i="15"/>
  <c r="H696" i="15"/>
  <c r="H695" i="15"/>
  <c r="H694" i="15"/>
  <c r="H693" i="15"/>
  <c r="H692" i="15"/>
  <c r="H691" i="15"/>
  <c r="H690" i="15"/>
  <c r="H689" i="15"/>
  <c r="H688" i="15"/>
  <c r="H687" i="15"/>
  <c r="H686" i="15"/>
  <c r="H685" i="15"/>
  <c r="H684" i="15"/>
  <c r="H683" i="15"/>
  <c r="H682" i="15"/>
  <c r="H681" i="15"/>
  <c r="H680" i="15"/>
  <c r="H679" i="15"/>
  <c r="H678" i="15"/>
  <c r="H677" i="15"/>
  <c r="H676" i="15"/>
  <c r="H675" i="15"/>
  <c r="H674" i="15"/>
  <c r="H673" i="15"/>
  <c r="H672" i="15"/>
  <c r="H671" i="15"/>
  <c r="H670" i="15"/>
  <c r="H669" i="15"/>
  <c r="H668" i="15"/>
  <c r="H667" i="15"/>
  <c r="H666" i="15"/>
  <c r="H665" i="15"/>
  <c r="H664" i="15"/>
  <c r="H663" i="15"/>
  <c r="H662" i="15"/>
  <c r="H661" i="15"/>
  <c r="H660" i="15"/>
  <c r="H659" i="15"/>
  <c r="H658" i="15"/>
  <c r="H657" i="15"/>
  <c r="H656" i="15"/>
  <c r="H655" i="15"/>
  <c r="H654" i="15"/>
  <c r="H653" i="15"/>
  <c r="H652" i="15"/>
  <c r="H651" i="15"/>
  <c r="H650" i="15"/>
  <c r="H649" i="15"/>
  <c r="H648" i="15"/>
  <c r="H647" i="15"/>
  <c r="H646" i="15"/>
  <c r="H645" i="15"/>
  <c r="H644" i="15"/>
  <c r="H643" i="15"/>
  <c r="H642" i="15"/>
  <c r="H641" i="15"/>
  <c r="H640" i="15"/>
  <c r="H639" i="15"/>
  <c r="H638" i="15"/>
  <c r="H637" i="15"/>
  <c r="H636" i="15"/>
  <c r="H635" i="15"/>
  <c r="H634" i="15"/>
  <c r="H633" i="15"/>
  <c r="H632" i="15"/>
  <c r="H631" i="15"/>
  <c r="H630" i="15"/>
  <c r="H629" i="15"/>
  <c r="H628" i="15"/>
  <c r="H627" i="15"/>
  <c r="H626" i="15"/>
  <c r="H625" i="15"/>
  <c r="H624" i="15"/>
  <c r="H623" i="15"/>
  <c r="H622" i="15"/>
  <c r="H621" i="15"/>
  <c r="H620" i="15"/>
  <c r="H619" i="15"/>
  <c r="H618" i="15"/>
  <c r="H617" i="15"/>
  <c r="H616" i="15"/>
  <c r="H615" i="15"/>
  <c r="H614" i="15"/>
  <c r="H613" i="15"/>
  <c r="H612" i="15"/>
  <c r="H611" i="15"/>
  <c r="H610" i="15"/>
  <c r="H609" i="15"/>
  <c r="H608" i="15"/>
  <c r="H607" i="15"/>
  <c r="H606" i="15"/>
  <c r="H605" i="15"/>
  <c r="H604" i="15"/>
  <c r="H603" i="15"/>
  <c r="H602" i="15"/>
  <c r="H601" i="15"/>
  <c r="H600" i="15"/>
  <c r="H599" i="15"/>
  <c r="H598" i="15"/>
  <c r="H597" i="15"/>
  <c r="H596" i="15"/>
  <c r="H595" i="15"/>
  <c r="H594" i="15"/>
  <c r="H593" i="15"/>
  <c r="H592" i="15"/>
  <c r="H591" i="15"/>
  <c r="H590" i="15"/>
  <c r="H589" i="15"/>
  <c r="H588" i="15"/>
  <c r="H587" i="15"/>
  <c r="H586" i="15"/>
  <c r="H585" i="15"/>
  <c r="H584" i="15"/>
  <c r="H583" i="15"/>
  <c r="H582" i="15"/>
  <c r="H581" i="15"/>
  <c r="H580" i="15"/>
  <c r="H579" i="15"/>
  <c r="H578" i="15"/>
  <c r="H577" i="15"/>
  <c r="H576" i="15"/>
  <c r="H575" i="15"/>
  <c r="H574" i="15"/>
  <c r="H573" i="15"/>
  <c r="H572" i="15"/>
  <c r="H571" i="15"/>
  <c r="H570" i="15"/>
  <c r="H569" i="15"/>
  <c r="H568" i="15"/>
  <c r="H567" i="15"/>
  <c r="H566" i="15"/>
  <c r="H565" i="15"/>
  <c r="H564" i="15"/>
  <c r="H563" i="15"/>
  <c r="H562" i="15"/>
  <c r="H561" i="15"/>
  <c r="H560" i="15"/>
  <c r="H559" i="15"/>
  <c r="H558" i="15"/>
  <c r="H557" i="15"/>
  <c r="H556" i="15"/>
  <c r="H555" i="15"/>
  <c r="H554" i="15"/>
  <c r="H553" i="15"/>
  <c r="H552" i="15"/>
  <c r="H551" i="15"/>
  <c r="H550" i="15"/>
  <c r="H549" i="15"/>
  <c r="H548" i="15"/>
  <c r="H547" i="15"/>
  <c r="H546" i="15"/>
  <c r="H545" i="15"/>
  <c r="H544" i="15"/>
  <c r="H543" i="15"/>
  <c r="H542" i="15"/>
  <c r="H541" i="15"/>
  <c r="H540" i="15"/>
  <c r="H539" i="15"/>
  <c r="H538" i="15"/>
  <c r="H537" i="15"/>
  <c r="H536" i="15"/>
  <c r="H535" i="15"/>
  <c r="H534" i="15"/>
  <c r="H533" i="15"/>
  <c r="H532" i="15"/>
  <c r="H531" i="15"/>
  <c r="H530" i="15"/>
  <c r="H529" i="15"/>
  <c r="H528" i="15"/>
  <c r="H527" i="15"/>
  <c r="H526" i="15"/>
  <c r="H525" i="15"/>
  <c r="H524" i="15"/>
  <c r="H523" i="15"/>
  <c r="H522" i="15"/>
  <c r="H521" i="15"/>
  <c r="H520" i="15"/>
  <c r="H519" i="15"/>
  <c r="H518" i="15"/>
  <c r="H517" i="15"/>
  <c r="H516" i="15"/>
  <c r="H515" i="15"/>
  <c r="H514" i="15"/>
  <c r="H513" i="15"/>
  <c r="H512" i="15"/>
  <c r="H511" i="15"/>
  <c r="H510" i="15"/>
  <c r="H509" i="15"/>
  <c r="H508" i="15"/>
  <c r="H507" i="15"/>
  <c r="H506" i="15"/>
  <c r="H505" i="15"/>
  <c r="H504" i="15"/>
  <c r="H503" i="15"/>
  <c r="H502" i="15"/>
  <c r="H501" i="15"/>
  <c r="H500" i="15"/>
  <c r="H499" i="15"/>
  <c r="H498" i="15"/>
  <c r="H497" i="15"/>
  <c r="H496" i="15"/>
  <c r="H495" i="15"/>
  <c r="H494" i="15"/>
  <c r="H493" i="15"/>
  <c r="H492" i="15"/>
  <c r="H491" i="15"/>
  <c r="H490" i="15"/>
  <c r="H489" i="15"/>
  <c r="H488" i="15"/>
  <c r="H487" i="15"/>
  <c r="H486" i="15"/>
  <c r="H485" i="15"/>
  <c r="H484" i="15"/>
  <c r="H483" i="15"/>
  <c r="H482" i="15"/>
  <c r="H481" i="15"/>
  <c r="H480" i="15"/>
  <c r="H479" i="15"/>
  <c r="H478" i="15"/>
  <c r="H477" i="15"/>
  <c r="H476" i="15"/>
  <c r="H475" i="15"/>
  <c r="H474" i="15"/>
  <c r="H473" i="15"/>
  <c r="H472" i="15"/>
  <c r="H471" i="15"/>
  <c r="H470" i="15"/>
  <c r="H469" i="15"/>
  <c r="H468" i="15"/>
  <c r="H467" i="15"/>
  <c r="H466" i="15"/>
  <c r="H465" i="15"/>
  <c r="H464" i="15"/>
  <c r="H463" i="15"/>
  <c r="H462" i="15"/>
  <c r="H461" i="15"/>
  <c r="H460" i="15"/>
  <c r="H459" i="15"/>
  <c r="H458" i="15"/>
  <c r="H457" i="15"/>
  <c r="H456" i="15"/>
  <c r="H455" i="15"/>
  <c r="H454" i="15"/>
  <c r="H453" i="15"/>
  <c r="H452" i="15"/>
  <c r="H451" i="15"/>
  <c r="H450" i="15"/>
  <c r="H449" i="15"/>
  <c r="H448" i="15"/>
  <c r="H447" i="15"/>
  <c r="H446" i="15"/>
  <c r="H445" i="15"/>
  <c r="H444" i="15"/>
  <c r="H443" i="15"/>
  <c r="H442" i="15"/>
  <c r="H441" i="15"/>
  <c r="H440" i="15"/>
  <c r="H439" i="15"/>
  <c r="H438" i="15"/>
  <c r="H437" i="15"/>
  <c r="H436" i="15"/>
  <c r="H435" i="15"/>
  <c r="H434" i="15"/>
  <c r="H433" i="15"/>
  <c r="H432" i="15"/>
  <c r="H431" i="15"/>
  <c r="H430" i="15"/>
  <c r="H429" i="15"/>
  <c r="H428" i="15"/>
  <c r="H427" i="15"/>
  <c r="H426" i="15"/>
  <c r="H425" i="15"/>
  <c r="H424" i="15"/>
  <c r="H423" i="15"/>
  <c r="H422" i="15"/>
  <c r="H421" i="15"/>
  <c r="H420" i="15"/>
  <c r="H419" i="15"/>
  <c r="H418" i="15"/>
  <c r="H417" i="15"/>
  <c r="H416" i="15"/>
  <c r="H415" i="15"/>
  <c r="H414" i="15"/>
  <c r="H413" i="15"/>
  <c r="H412" i="15"/>
  <c r="H411" i="15"/>
  <c r="H410" i="15"/>
  <c r="H409" i="15"/>
  <c r="H408" i="15"/>
  <c r="H407" i="15"/>
  <c r="H406" i="15"/>
  <c r="H405" i="15"/>
  <c r="H404" i="15"/>
  <c r="H403" i="15"/>
  <c r="H402" i="15"/>
  <c r="H401" i="15"/>
  <c r="H400" i="15"/>
  <c r="H399" i="15"/>
  <c r="H398" i="15"/>
  <c r="H397" i="15"/>
  <c r="H396" i="15"/>
  <c r="H395" i="15"/>
  <c r="H394" i="15"/>
  <c r="H393" i="15"/>
  <c r="H392" i="15"/>
  <c r="H391" i="15"/>
  <c r="H390" i="15"/>
  <c r="H389" i="15"/>
  <c r="H388" i="15"/>
  <c r="H387" i="15"/>
  <c r="H386" i="15"/>
  <c r="H385" i="15"/>
  <c r="H384" i="15"/>
  <c r="H383" i="15"/>
  <c r="H382" i="15"/>
  <c r="H381" i="15"/>
  <c r="H380" i="15"/>
  <c r="H379" i="15"/>
  <c r="H378" i="15"/>
  <c r="H377" i="15"/>
  <c r="H376" i="15"/>
  <c r="H375" i="15"/>
  <c r="H374" i="15"/>
  <c r="H373" i="15"/>
  <c r="H372" i="15"/>
  <c r="H371" i="15"/>
  <c r="H370" i="15"/>
  <c r="H369" i="15"/>
  <c r="H368" i="15"/>
  <c r="H367" i="15"/>
  <c r="H366" i="15"/>
  <c r="H365" i="15"/>
  <c r="H364" i="15"/>
  <c r="H363" i="15"/>
  <c r="H362" i="15"/>
  <c r="H361" i="15"/>
  <c r="H360" i="15"/>
  <c r="H359" i="15"/>
  <c r="H358" i="15"/>
  <c r="H357" i="15"/>
  <c r="H356" i="15"/>
  <c r="H355" i="15"/>
  <c r="H354" i="15"/>
  <c r="H353" i="15"/>
  <c r="H352" i="15"/>
  <c r="H351" i="15"/>
  <c r="H350" i="15"/>
  <c r="H349" i="15"/>
  <c r="H348" i="15"/>
  <c r="H347" i="15"/>
  <c r="H346" i="15"/>
  <c r="H345" i="15"/>
  <c r="H344" i="15"/>
  <c r="H343" i="15"/>
  <c r="H342" i="15"/>
  <c r="H341" i="15"/>
  <c r="H340" i="15"/>
  <c r="H339" i="15"/>
  <c r="H338" i="15"/>
  <c r="H337" i="15"/>
  <c r="H336" i="15"/>
  <c r="H335" i="15"/>
  <c r="H334" i="15"/>
  <c r="H333" i="15"/>
  <c r="H332" i="15"/>
  <c r="H331" i="15"/>
  <c r="H330" i="15"/>
  <c r="H329" i="15"/>
  <c r="H328" i="15"/>
  <c r="H327" i="15"/>
  <c r="H326" i="15"/>
  <c r="H325" i="15"/>
  <c r="H324" i="15"/>
  <c r="H323" i="15"/>
  <c r="H322" i="15"/>
  <c r="H321" i="15"/>
  <c r="H320" i="15"/>
  <c r="H319" i="15"/>
  <c r="H318" i="15"/>
  <c r="H317" i="15"/>
  <c r="H316" i="15"/>
  <c r="H315" i="15"/>
  <c r="H314" i="15"/>
  <c r="H313" i="15"/>
  <c r="H312" i="15"/>
  <c r="H311" i="15"/>
  <c r="H310" i="15"/>
  <c r="H309" i="15"/>
  <c r="H308" i="15"/>
  <c r="H307" i="15"/>
  <c r="H306" i="15"/>
  <c r="H305" i="15"/>
  <c r="H304" i="15"/>
  <c r="H303" i="15"/>
  <c r="H302" i="15"/>
  <c r="H301" i="15"/>
  <c r="H300" i="15"/>
  <c r="H299" i="15"/>
  <c r="H298" i="15"/>
  <c r="H297" i="15"/>
  <c r="H296" i="15"/>
  <c r="H295" i="15"/>
  <c r="H294" i="15"/>
  <c r="H293" i="15"/>
  <c r="H292" i="15"/>
  <c r="H291" i="15"/>
  <c r="H290" i="15"/>
  <c r="H289" i="15"/>
  <c r="H288" i="15"/>
  <c r="H287" i="15"/>
  <c r="H286" i="15"/>
  <c r="H285" i="15"/>
  <c r="H284" i="15"/>
  <c r="H283" i="15"/>
  <c r="H282" i="15"/>
  <c r="H281" i="15"/>
  <c r="H280" i="15"/>
  <c r="H279" i="15"/>
  <c r="H278" i="15"/>
  <c r="H277" i="15"/>
  <c r="H276" i="15"/>
  <c r="H275" i="15"/>
  <c r="H274" i="15"/>
  <c r="H273" i="15"/>
  <c r="H272" i="15"/>
  <c r="H271" i="15"/>
  <c r="H270" i="15"/>
  <c r="H269" i="15"/>
  <c r="H268" i="15"/>
  <c r="H267" i="15"/>
  <c r="H266" i="15"/>
  <c r="H265" i="15"/>
  <c r="H264" i="15"/>
  <c r="H263" i="15"/>
  <c r="H262" i="15"/>
  <c r="H261" i="15"/>
  <c r="H260" i="15"/>
  <c r="H259" i="15"/>
  <c r="H258" i="15"/>
  <c r="H257" i="15"/>
  <c r="H256" i="15"/>
  <c r="H255" i="15"/>
  <c r="H254" i="15"/>
  <c r="H253" i="15"/>
  <c r="H252" i="15"/>
  <c r="H251" i="15"/>
  <c r="H250" i="15"/>
  <c r="H249" i="15"/>
  <c r="H248" i="15"/>
  <c r="H247" i="15"/>
  <c r="H246" i="15"/>
  <c r="H245" i="15"/>
  <c r="H244" i="15"/>
  <c r="H243" i="15"/>
  <c r="H242" i="15"/>
  <c r="H241" i="15"/>
  <c r="H240" i="15"/>
  <c r="H239" i="15"/>
  <c r="H238" i="15"/>
  <c r="H237" i="15"/>
  <c r="H236" i="15"/>
  <c r="H235" i="15"/>
  <c r="H234" i="15"/>
  <c r="H233" i="15"/>
  <c r="H232" i="15"/>
  <c r="H231" i="15"/>
  <c r="H230" i="15"/>
  <c r="H229" i="15"/>
  <c r="H228" i="15"/>
  <c r="H227" i="15"/>
  <c r="H226" i="15"/>
  <c r="H225" i="15"/>
  <c r="H224" i="15"/>
  <c r="H223" i="15"/>
  <c r="H222" i="15"/>
  <c r="H221" i="15"/>
  <c r="H220" i="15"/>
  <c r="H219" i="15"/>
  <c r="H218" i="15"/>
  <c r="H217" i="15"/>
  <c r="H216" i="15"/>
  <c r="H215" i="15"/>
  <c r="H214" i="15"/>
  <c r="H213" i="15"/>
  <c r="H212" i="15"/>
  <c r="H211" i="15"/>
  <c r="H210" i="15"/>
  <c r="H209" i="15"/>
  <c r="H208" i="15"/>
  <c r="H207" i="15"/>
  <c r="H206" i="15"/>
  <c r="H205" i="15"/>
  <c r="H204" i="15"/>
  <c r="H203" i="15"/>
  <c r="H202" i="15"/>
  <c r="H201" i="15"/>
  <c r="H200" i="15"/>
  <c r="H199" i="15"/>
  <c r="H198" i="15"/>
  <c r="H197" i="15"/>
  <c r="H196" i="15"/>
  <c r="H195" i="15"/>
  <c r="H194" i="15"/>
  <c r="H193" i="15"/>
  <c r="H192" i="15"/>
  <c r="H191" i="15"/>
  <c r="H190" i="15"/>
  <c r="H189" i="15"/>
  <c r="H188" i="15"/>
  <c r="H187" i="15"/>
  <c r="H186" i="15"/>
  <c r="H185" i="15"/>
  <c r="H184" i="15"/>
  <c r="H183" i="15"/>
  <c r="H182" i="15"/>
  <c r="H181" i="15"/>
  <c r="H180" i="15"/>
  <c r="H179" i="15"/>
  <c r="H178" i="15"/>
  <c r="H177" i="15"/>
  <c r="H176" i="15"/>
  <c r="H175" i="15"/>
  <c r="H174" i="15"/>
  <c r="H173" i="15"/>
  <c r="H172" i="15"/>
  <c r="H171" i="15"/>
  <c r="H170" i="15"/>
  <c r="H169" i="15"/>
  <c r="H168" i="15"/>
  <c r="H167" i="15"/>
  <c r="H166" i="15"/>
  <c r="H165" i="15"/>
  <c r="H164" i="15"/>
  <c r="H163" i="15"/>
  <c r="H162" i="15"/>
  <c r="H161" i="15"/>
  <c r="H160" i="15"/>
  <c r="H159" i="15"/>
  <c r="H158" i="15"/>
  <c r="H157" i="15"/>
  <c r="H156" i="15"/>
  <c r="H155" i="15"/>
  <c r="H154" i="15"/>
  <c r="H153" i="15"/>
  <c r="H152" i="15"/>
  <c r="H151" i="15"/>
  <c r="H150" i="15"/>
  <c r="H149" i="15"/>
  <c r="H148" i="15"/>
  <c r="H147" i="15"/>
  <c r="H146" i="15"/>
  <c r="H145" i="15"/>
  <c r="H144" i="15"/>
  <c r="H143" i="15"/>
  <c r="H142" i="15"/>
  <c r="H141" i="15"/>
  <c r="H140" i="15"/>
  <c r="H139" i="15"/>
  <c r="H138" i="15"/>
  <c r="H137" i="15"/>
  <c r="H136" i="15"/>
  <c r="H135" i="15"/>
  <c r="H134" i="15"/>
  <c r="H133" i="15"/>
  <c r="H132" i="15"/>
  <c r="H131" i="15"/>
  <c r="H130" i="15"/>
  <c r="H129" i="15"/>
  <c r="H128" i="15"/>
  <c r="H127" i="15"/>
  <c r="H126" i="15"/>
  <c r="H125" i="15"/>
  <c r="H124" i="15"/>
  <c r="H123" i="15"/>
  <c r="H122" i="15"/>
  <c r="H121" i="15"/>
  <c r="H120" i="15"/>
  <c r="H119" i="15"/>
  <c r="H118" i="15"/>
  <c r="H117" i="15"/>
  <c r="H116" i="15"/>
  <c r="H115" i="15"/>
  <c r="H114" i="15"/>
  <c r="H113" i="15"/>
  <c r="H112" i="15"/>
  <c r="H111" i="15"/>
  <c r="H110" i="15"/>
  <c r="H109" i="15"/>
  <c r="H108" i="15"/>
  <c r="H107" i="15"/>
  <c r="H106" i="15"/>
  <c r="H105" i="15"/>
  <c r="H104" i="15"/>
  <c r="H103" i="15"/>
  <c r="H102" i="15"/>
  <c r="H101" i="15"/>
  <c r="H100" i="15"/>
  <c r="H99" i="15"/>
  <c r="H98" i="15"/>
  <c r="H97" i="15"/>
  <c r="H96" i="15"/>
  <c r="H95" i="15"/>
  <c r="H94" i="15"/>
  <c r="H93" i="15"/>
  <c r="H92" i="15"/>
  <c r="H91" i="15"/>
  <c r="H90" i="15"/>
  <c r="H89" i="15"/>
  <c r="H88" i="15"/>
  <c r="H87" i="15"/>
  <c r="H86" i="15"/>
  <c r="H85" i="15"/>
  <c r="H84" i="15"/>
  <c r="H83" i="15"/>
  <c r="H82" i="15"/>
  <c r="H81" i="15"/>
  <c r="H80" i="15"/>
  <c r="H79" i="15"/>
  <c r="H78" i="15"/>
  <c r="H77" i="15"/>
  <c r="H76" i="15"/>
  <c r="H75" i="15"/>
  <c r="H74" i="15"/>
  <c r="H73" i="15"/>
  <c r="H72" i="15"/>
  <c r="H71" i="15"/>
  <c r="H70" i="15"/>
  <c r="H69" i="15"/>
  <c r="H68" i="15"/>
  <c r="H67" i="15"/>
  <c r="H66" i="15"/>
  <c r="H65" i="15"/>
  <c r="H64" i="15"/>
  <c r="H63" i="15"/>
  <c r="H62" i="15"/>
  <c r="H61" i="15"/>
  <c r="H60" i="15"/>
  <c r="H59" i="15"/>
  <c r="H58" i="15"/>
  <c r="H57" i="15"/>
  <c r="H56" i="15"/>
  <c r="H55" i="15"/>
  <c r="H54" i="15"/>
  <c r="H53" i="15"/>
  <c r="H52" i="15"/>
  <c r="H51" i="15"/>
  <c r="H50" i="15"/>
  <c r="H49" i="15"/>
  <c r="H48" i="15"/>
  <c r="H47" i="15"/>
  <c r="H46" i="15"/>
  <c r="H45" i="15"/>
  <c r="H44" i="15"/>
  <c r="H43" i="15"/>
  <c r="H42" i="15"/>
  <c r="H41" i="15"/>
  <c r="H40" i="15"/>
  <c r="H39" i="15"/>
  <c r="H38" i="15"/>
  <c r="H37" i="15"/>
  <c r="H36" i="15"/>
  <c r="H35" i="15"/>
  <c r="H34" i="15"/>
  <c r="H33" i="15"/>
  <c r="H32" i="15"/>
  <c r="H31" i="15"/>
  <c r="H30" i="15"/>
  <c r="H29" i="15"/>
  <c r="H28" i="15"/>
  <c r="H27" i="15"/>
  <c r="H26" i="15"/>
  <c r="H25" i="15"/>
  <c r="H24" i="15"/>
  <c r="H23" i="15"/>
  <c r="H22" i="15"/>
  <c r="H21" i="15"/>
  <c r="H20" i="15"/>
  <c r="H19" i="15"/>
  <c r="H18" i="15"/>
  <c r="H17" i="15"/>
  <c r="H16" i="15"/>
  <c r="H15" i="15"/>
  <c r="H14" i="15"/>
  <c r="H13" i="15"/>
  <c r="H12" i="15"/>
  <c r="H11" i="15"/>
  <c r="H10" i="15"/>
  <c r="H9" i="15"/>
  <c r="H8" i="15"/>
  <c r="H7" i="15"/>
  <c r="H6" i="15"/>
  <c r="H5" i="15"/>
  <c r="H2" i="15"/>
  <c r="M4" i="11"/>
  <c r="M3" i="11"/>
  <c r="M2" i="11"/>
  <c r="T20" i="5"/>
  <c r="T19" i="5"/>
  <c r="T18" i="5"/>
  <c r="T17" i="5"/>
  <c r="T16" i="5"/>
  <c r="T15" i="5"/>
  <c r="T14" i="5"/>
  <c r="T13" i="5"/>
  <c r="T12" i="5"/>
  <c r="T11" i="5"/>
  <c r="T10" i="5"/>
  <c r="T9" i="5"/>
  <c r="T8" i="5"/>
  <c r="T7" i="5"/>
  <c r="T6" i="5"/>
  <c r="T5" i="5"/>
  <c r="T4" i="5"/>
  <c r="T3" i="5"/>
  <c r="T2" i="5"/>
  <c r="K32" i="3"/>
  <c r="K13" i="3"/>
  <c r="K16" i="3"/>
  <c r="K37" i="3"/>
  <c r="K17" i="3"/>
  <c r="K10" i="3"/>
  <c r="K11" i="3"/>
  <c r="K23" i="3"/>
  <c r="K18" i="3"/>
  <c r="K45" i="3"/>
  <c r="K38" i="3"/>
  <c r="K49" i="3"/>
  <c r="K39" i="3"/>
  <c r="K31" i="3"/>
  <c r="K47" i="3"/>
  <c r="K46" i="3"/>
  <c r="K9" i="3"/>
  <c r="K30" i="3"/>
  <c r="K42" i="3"/>
  <c r="K43" i="3"/>
  <c r="K19" i="3"/>
  <c r="K8" i="3"/>
  <c r="K22" i="3"/>
  <c r="K40" i="3"/>
  <c r="K35" i="3"/>
  <c r="K14" i="3"/>
  <c r="K33" i="3"/>
  <c r="K44" i="3"/>
  <c r="K51" i="3"/>
  <c r="K50" i="3"/>
  <c r="K26" i="3"/>
  <c r="K20" i="3"/>
  <c r="K2" i="3"/>
  <c r="K36" i="3"/>
  <c r="K27" i="3"/>
  <c r="K24" i="3"/>
  <c r="K25" i="3"/>
  <c r="K34" i="3"/>
  <c r="K41" i="3"/>
  <c r="K28" i="3"/>
  <c r="K48" i="3"/>
  <c r="K21" i="3"/>
  <c r="K29" i="3"/>
</calcChain>
</file>

<file path=xl/sharedStrings.xml><?xml version="1.0" encoding="utf-8"?>
<sst xmlns="http://schemas.openxmlformats.org/spreadsheetml/2006/main" count="19256" uniqueCount="4701">
  <si>
    <t>key</t>
  </si>
  <si>
    <t>name</t>
  </si>
  <si>
    <t>k</t>
  </si>
  <si>
    <t>Kernel</t>
  </si>
  <si>
    <t>demo</t>
  </si>
  <si>
    <t>Demo</t>
  </si>
  <si>
    <t>comunas</t>
  </si>
  <si>
    <t>tenant</t>
  </si>
  <si>
    <t>nane</t>
  </si>
  <si>
    <t>email</t>
  </si>
  <si>
    <t>picture</t>
  </si>
  <si>
    <t>extl_user_id</t>
  </si>
  <si>
    <t>extl_idp_refresh_token</t>
  </si>
  <si>
    <t>active</t>
  </si>
  <si>
    <t>Lead Processor</t>
  </si>
  <si>
    <t>https://randomuser.me/api/portraits/men/3.jpg</t>
  </si>
  <si>
    <t>advisor@finadvise.io</t>
  </si>
  <si>
    <t>x</t>
  </si>
  <si>
    <t>Hannes Brunner</t>
  </si>
  <si>
    <t>Martin Frey</t>
  </si>
  <si>
    <t>martin@comunas.fm</t>
  </si>
  <si>
    <t>owner</t>
  </si>
  <si>
    <t>household_type_id</t>
  </si>
  <si>
    <t>main_contact</t>
  </si>
  <si>
    <t>client_segment</t>
  </si>
  <si>
    <t>reference_currency</t>
  </si>
  <si>
    <t>hh1</t>
  </si>
  <si>
    <t>client</t>
  </si>
  <si>
    <t>chf</t>
  </si>
  <si>
    <t>Musterstadt 1111</t>
  </si>
  <si>
    <t>Hinterkappelen 3032</t>
  </si>
  <si>
    <t>Wohlen 3033</t>
  </si>
  <si>
    <t>Murzelen 3034</t>
  </si>
  <si>
    <t>Uettligen 3043</t>
  </si>
  <si>
    <t>Säriswil 3049</t>
  </si>
  <si>
    <t>Kaiseraugst 4303</t>
  </si>
  <si>
    <t>Huttwil 4950</t>
  </si>
  <si>
    <t>Mandach 5318</t>
  </si>
  <si>
    <t>Schneisingen 5425</t>
  </si>
  <si>
    <t>Bremgarten 5620</t>
  </si>
  <si>
    <t>Hermetschwil 5626</t>
  </si>
  <si>
    <t>Maienfeld 7304</t>
  </si>
  <si>
    <t>Zürich 8006</t>
  </si>
  <si>
    <t>Zürich 8022</t>
  </si>
  <si>
    <t>Weiningen 8104</t>
  </si>
  <si>
    <t>Rümlang 8153</t>
  </si>
  <si>
    <t>Diessenhofen 8253</t>
  </si>
  <si>
    <t>Schlattingen 8255</t>
  </si>
  <si>
    <t>Steckborn 8266</t>
  </si>
  <si>
    <t>Hittnau 8335</t>
  </si>
  <si>
    <t>Aadorf 8355</t>
  </si>
  <si>
    <t>Henggart 8444</t>
  </si>
  <si>
    <t>Waltalingen 8468</t>
  </si>
  <si>
    <t>Unterstammheim 8476</t>
  </si>
  <si>
    <t>Oberstammheim 8477</t>
  </si>
  <si>
    <t>Altikon 8479</t>
  </si>
  <si>
    <t>Wigoltingen 8556</t>
  </si>
  <si>
    <t>Raperswilen 8558</t>
  </si>
  <si>
    <t>Sonterswil 8564</t>
  </si>
  <si>
    <t>Zihlschlacht 8588</t>
  </si>
  <si>
    <t>Sitterdorf 8589</t>
  </si>
  <si>
    <t>Wetzikon 8620</t>
  </si>
  <si>
    <t>Hauptwil 9213</t>
  </si>
  <si>
    <t>Hohentannen 9216</t>
  </si>
  <si>
    <t>Bischofszell 9220</t>
  </si>
  <si>
    <t>Blidegg 9220</t>
  </si>
  <si>
    <t>Halden 9223</t>
  </si>
  <si>
    <t>Schweizersholz 9223</t>
  </si>
  <si>
    <t>Gotthaus 9225</t>
  </si>
  <si>
    <t>Buchs SG 9470</t>
  </si>
  <si>
    <t>Ennetbühl 9651</t>
  </si>
  <si>
    <t>household</t>
  </si>
  <si>
    <t>is_main</t>
  </si>
  <si>
    <t>contact_role_id</t>
  </si>
  <si>
    <t>salutation_id</t>
  </si>
  <si>
    <t>title_id</t>
  </si>
  <si>
    <t>first_name</t>
  </si>
  <si>
    <t>last_name</t>
  </si>
  <si>
    <t>birth_date</t>
  </si>
  <si>
    <t>phone</t>
  </si>
  <si>
    <t>mobile</t>
  </si>
  <si>
    <t>street</t>
  </si>
  <si>
    <t>zip</t>
  </si>
  <si>
    <t>city</t>
  </si>
  <si>
    <t>state</t>
  </si>
  <si>
    <t>country_id</t>
  </si>
  <si>
    <t>mr</t>
  </si>
  <si>
    <t>Freddy</t>
  </si>
  <si>
    <t>Müller</t>
  </si>
  <si>
    <t>079 568 42 12</t>
  </si>
  <si>
    <t>Langacher 45</t>
  </si>
  <si>
    <t>Uster</t>
  </si>
  <si>
    <t>ZH</t>
  </si>
  <si>
    <t>ch</t>
  </si>
  <si>
    <t>mrs</t>
  </si>
  <si>
    <t>ms</t>
  </si>
  <si>
    <t>AG</t>
  </si>
  <si>
    <t>Zürich</t>
  </si>
  <si>
    <t>description</t>
  </si>
  <si>
    <t>talking_points</t>
  </si>
  <si>
    <t>document_type_id</t>
  </si>
  <si>
    <t>document_category_id</t>
  </si>
  <si>
    <t>document_status_id</t>
  </si>
  <si>
    <t>document_client_visibility_id</t>
  </si>
  <si>
    <t>template_document</t>
  </si>
  <si>
    <t>metadata_form_def_id</t>
  </si>
  <si>
    <t>url</t>
  </si>
  <si>
    <t>form_id</t>
  </si>
  <si>
    <t>questionnaire_id</t>
  </si>
  <si>
    <t>calculator_id</t>
  </si>
  <si>
    <t>content_type_id</t>
  </si>
  <si>
    <t>payload</t>
  </si>
  <si>
    <t>insert into migr_obj_document_v(tenant, owner, key, name, description, talking_points, document_type_id, document_category_id, document_status_id, document_client_visibility_id, template_document, metadata_form_def_id, url, form_id, questionnaire_id, calculator_id, content_type_id, payload) values</t>
  </si>
  <si>
    <t>company.solutions</t>
  </si>
  <si>
    <t>Investment Solutions</t>
  </si>
  <si>
    <t>standalone</t>
  </si>
  <si>
    <t>marketing</t>
  </si>
  <si>
    <t>readonly.done</t>
  </si>
  <si>
    <t>private</t>
  </si>
  <si>
    <t>https://eligamo.bitbucket.io/demo/std/info_investmentSolution.pdf</t>
  </si>
  <si>
    <t>pdf</t>
  </si>
  <si>
    <t>company.cio</t>
  </si>
  <si>
    <t>CIO View</t>
  </si>
  <si>
    <t>https://eligamo.bitbucket.io/demo/std/info_CIO.pdf</t>
  </si>
  <si>
    <t>general.kyc</t>
  </si>
  <si>
    <t>KYC Questionnaire</t>
  </si>
  <si>
    <t>template</t>
  </si>
  <si>
    <t>gather</t>
  </si>
  <si>
    <t>public</t>
  </si>
  <si>
    <t>test.demo</t>
  </si>
  <si>
    <t>questionnaire</t>
  </si>
  <si>
    <t>general.needs</t>
  </si>
  <si>
    <t>Your Needs</t>
  </si>
  <si>
    <t>financing.needs</t>
  </si>
  <si>
    <t>Your Financing Needs</t>
  </si>
  <si>
    <t>fidleg</t>
  </si>
  <si>
    <t>Fidleg Questionnaire</t>
  </si>
  <si>
    <t>mortgage.buyCapacity</t>
  </si>
  <si>
    <t>Buying Capacity Calculator</t>
  </si>
  <si>
    <t>education</t>
  </si>
  <si>
    <t>mortgage.buying-capacity</t>
  </si>
  <si>
    <t>calculator</t>
  </si>
  <si>
    <t>{ }</t>
  </si>
  <si>
    <t>investment.savings</t>
  </si>
  <si>
    <t>Savings Calculator</t>
  </si>
  <si>
    <t>{ "initialContribution": 10000,  "monthlyContribution": 500, "durationInYears": 10, "annualYield": 5 }</t>
  </si>
  <si>
    <t>inheritance.inheritance</t>
  </si>
  <si>
    <t>Inheritance Calculator</t>
  </si>
  <si>
    <t>{"contacts":[{"id":"peter","salutation":"mr","firstName":"Peter","spouse":"maria"},{"id":"maria","salutation":"mrs","firstName":"Maria","spouse":"peter"},{"id":"mike","salutation":"mr","firstName":"Mike","father":"peter"},{"id":"thomas","salutation":"mr","firstName":"Thomas","mother":"maria","father":"peter","spouse":"tiara"},{"id":"tiara","salutation":"mrs","firstName":"Tiara","spouse":"thomas"},{"id":"frederic","salutation":"mr","firstName":"Frederic","mother":"tiara"},{"id":"anne","salutation":"ms","firstName":"Anne","mother":"tiara","father":"thomas"},{"id":"piotr","salutation":"mr","firstName":"Piotr","father":"thomas"},{"id":"karin","salutation":"ms","firstName":"Karin","mother":"maria","father":"peter"}],"focusContact":"thomas"}</t>
  </si>
  <si>
    <t>mortgage.buyVsRent</t>
  </si>
  <si>
    <t>Infobroschüre Kaufen oder Mieten</t>
  </si>
  <si>
    <t>mortgage.pillar2ForMortgage</t>
  </si>
  <si>
    <t>Vorbezug 2. Säule für Wohneigentum</t>
  </si>
  <si>
    <t>https://eligamo.bitbucket.io/demo/std/factSheet_3rdpillar.pdf</t>
  </si>
  <si>
    <t>advisoryContract</t>
  </si>
  <si>
    <t>Advisory Contract</t>
  </si>
  <si>
    <t>contract</t>
  </si>
  <si>
    <t>generic</t>
  </si>
  <si>
    <t>unknown</t>
  </si>
  <si>
    <t>product.factsheet</t>
  </si>
  <si>
    <t>Product Factsheet</t>
  </si>
  <si>
    <t>protocol</t>
  </si>
  <si>
    <t>Meeting Protocol</t>
  </si>
  <si>
    <t>company.presentation</t>
  </si>
  <si>
    <t>GEA Unternehmen</t>
  </si>
  <si>
    <t>https://www.g-e-a.ch/unternehmen-1/</t>
  </si>
  <si>
    <t>company.values</t>
  </si>
  <si>
    <t>GEA Dienstleistungen</t>
  </si>
  <si>
    <t>https://www.g-e-a.ch/dienstleistungen/</t>
  </si>
  <si>
    <t>inheritance.kyc</t>
  </si>
  <si>
    <t>Fragebogen Nachlass</t>
  </si>
  <si>
    <t>inheritance.factsheet</t>
  </si>
  <si>
    <t>Factsheet Erbrecht</t>
  </si>
  <si>
    <t>https://www.admin.ch/opc/de/classified-compilation/19070042/index.html#index3</t>
  </si>
  <si>
    <t>advisoryAgreement</t>
  </si>
  <si>
    <t>Advisory Agreement</t>
  </si>
  <si>
    <t>https://vanadys-my.sharepoint.com/personal/juan_espigares_vanadys_com/_layouts/15/Doc.aspx?sourcedoc={1400106d-b871-4130-9ad8-91ecb8f20e51}&amp;amp;action=embedview</t>
  </si>
  <si>
    <t>doc</t>
  </si>
  <si>
    <t>case_stage_id</t>
  </si>
  <si>
    <t>areas</t>
  </si>
  <si>
    <t>contact</t>
  </si>
  <si>
    <t>lead_source_id</t>
  </si>
  <si>
    <t>lead_rating_id</t>
  </si>
  <si>
    <t>subject</t>
  </si>
  <si>
    <t>lead1</t>
  </si>
  <si>
    <t>lead.new</t>
  </si>
  <si>
    <t>real_estate</t>
  </si>
  <si>
    <t>referral</t>
  </si>
  <si>
    <t>warm</t>
  </si>
  <si>
    <t>SMOVIE Referral</t>
  </si>
  <si>
    <t>Martin</t>
  </si>
  <si>
    <t>Kommer</t>
  </si>
  <si>
    <t>martin_kommer@gmail.ch</t>
  </si>
  <si>
    <t>Signup for smovie on HYPOTHEK ZURÜCKZAHLEN? Frage der Finanzplanung: Hypothek zurückzahlen bis zur Pensionierung?</t>
  </si>
  <si>
    <t>lead2</t>
  </si>
  <si>
    <t>real_estate,investment,other</t>
  </si>
  <si>
    <t>crm</t>
  </si>
  <si>
    <t>hot</t>
  </si>
  <si>
    <t>CRM: Periodic Contact</t>
  </si>
  <si>
    <t>Sarah</t>
  </si>
  <si>
    <t>Djulevic</t>
  </si>
  <si>
    <t>079 295 54 65</t>
  </si>
  <si>
    <t>s.djulevic@outlook.de</t>
  </si>
  <si>
    <t>Eggacherweg 24</t>
  </si>
  <si>
    <t>Unterentfelden</t>
  </si>
  <si>
    <t>Please organise your quarterly contact meeting with Sarah Djulevic</t>
  </si>
  <si>
    <t>lead3</t>
  </si>
  <si>
    <t>retirement,inheritance</t>
  </si>
  <si>
    <t>web</t>
  </si>
  <si>
    <t>Web Contact</t>
  </si>
  <si>
    <t>Mirjam</t>
  </si>
  <si>
    <t>Muster</t>
  </si>
  <si>
    <t>mirjiam.muster@gmail.com</t>
  </si>
  <si>
    <t>Request from web contact: "Guten Tag, wollen sie mich bitte zurückrufen für Fragen bzgl Pensionierung und Nachlass. Mfg Mirjam Muster"</t>
  </si>
  <si>
    <t>lead4</t>
  </si>
  <si>
    <t>Annual Review</t>
  </si>
  <si>
    <t>freddy_mueller@gmail.com</t>
  </si>
  <si>
    <t>Trigger annual review</t>
  </si>
  <si>
    <t>ref_doc_id</t>
  </si>
  <si>
    <t>real_estate,investment</t>
  </si>
  <si>
    <t>retirement</t>
  </si>
  <si>
    <t>task_priority_id</t>
  </si>
  <si>
    <t>due_date</t>
  </si>
  <si>
    <t>reminder_date</t>
  </si>
  <si>
    <t>insert into migr_doc_task_v(tenant, owner, case_stage_id, areas, ref_doc_id, household, name, description, task_priority_id, due_date, reminder_date) values</t>
  </si>
  <si>
    <t>task.open</t>
  </si>
  <si>
    <t>Call Christian Stohler</t>
  </si>
  <si>
    <t>low</t>
  </si>
  <si>
    <t>27.03.2021 08:00:00</t>
  </si>
  <si>
    <t>15.02.2021 08:00:00</t>
  </si>
  <si>
    <t>task.in_progress</t>
  </si>
  <si>
    <t>Make reservation at Central Plaza</t>
  </si>
  <si>
    <t>normal</t>
  </si>
  <si>
    <t>12.10.2020 12:00:00</t>
  </si>
  <si>
    <t>20.12.2020 12:00:00</t>
  </si>
  <si>
    <t>task.done</t>
  </si>
  <si>
    <t>Tennis w/ Marco</t>
  </si>
  <si>
    <t>high</t>
  </si>
  <si>
    <t>27.03.2020 14:00:00</t>
  </si>
  <si>
    <t>building_type_id</t>
  </si>
  <si>
    <t>building_sub_type_id</t>
  </si>
  <si>
    <t>building_part_catalog_id</t>
  </si>
  <si>
    <t>building_year</t>
  </si>
  <si>
    <t>currency_id</t>
  </si>
  <si>
    <t>volume</t>
  </si>
  <si>
    <t>area</t>
  </si>
  <si>
    <t>insured_value</t>
  </si>
  <si>
    <t>insured_value_year</t>
  </si>
  <si>
    <t>building_maintenance_strategy_id</t>
  </si>
  <si>
    <t>Villa</t>
  </si>
  <si>
    <t>01</t>
  </si>
  <si>
    <t>05-1</t>
  </si>
  <si>
    <t>N</t>
  </si>
  <si>
    <t>- Das Restaurant befindet sich im EG des Rathauses (Stratus-Nr. 17 05) und sollte für die Investitionsplanung mit diesem zusammen berücksichtigt werden.\n- Der Waren- und Personenaufzug in der Küche wurde letztes Jahr erneuert.\n- Die Küche ist 19-jährig.\n- Der Pizzaofen gehört dem Pächter</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</si>
  <si>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</si>
  <si>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</si>
  <si>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</si>
  <si>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</si>
  <si>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</si>
  <si>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</si>
  <si>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</si>
  <si>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</si>
  <si>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</si>
  <si>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</si>
  <si>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</si>
  <si>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</si>
  <si>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</si>
  <si>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</si>
  <si>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</si>
  <si>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</si>
  <si>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</si>
  <si>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</si>
  <si>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</si>
  <si>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</si>
  <si>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best. Schulhaus Zentrum</t>
  </si>
  <si>
    <t>T02</t>
  </si>
  <si>
    <t>ST02-12</t>
  </si>
  <si>
    <t>C0</t>
  </si>
  <si>
    <t>Schulstrasse 5</t>
  </si>
  <si>
    <t>Diessenhofen</t>
  </si>
  <si>
    <t>Schulhaus Schlattingen</t>
  </si>
  <si>
    <t>Bahnhofstrasse 1</t>
  </si>
  <si>
    <t>Schlattingen</t>
  </si>
  <si>
    <t>Kindergarten Schupfenzelg</t>
  </si>
  <si>
    <t>ST01-4</t>
  </si>
  <si>
    <t>C8</t>
  </si>
  <si>
    <t>Schützenstrasse</t>
  </si>
  <si>
    <t>Laubenhuus</t>
  </si>
  <si>
    <t>T01</t>
  </si>
  <si>
    <t>ST02-11</t>
  </si>
  <si>
    <t>C7</t>
  </si>
  <si>
    <t>Feldistrasse 6/8</t>
  </si>
  <si>
    <t>Altikon</t>
  </si>
  <si>
    <t>Oberstufenschulhaus Feldbach</t>
  </si>
  <si>
    <t>C9</t>
  </si>
  <si>
    <t>Feldbach</t>
  </si>
  <si>
    <t>Steckborn</t>
  </si>
  <si>
    <t>Bauherrschaft: Oberstufenschulgemeinde\nGV-Wert und Volumen inkl. Velounterstand\nAula (200 Plätze)\nAufzug mit Innentür gem. akt. Vorschriften</t>
  </si>
  <si>
    <t>Hub gelb</t>
  </si>
  <si>
    <t>Frauenfelderstrasse 10</t>
  </si>
  <si>
    <t>Seeschulhaus</t>
  </si>
  <si>
    <t>Seestrasse 126</t>
  </si>
  <si>
    <t>Ein Baubeschrieb ist nicht vorhanden.\n1998 und 2000 erfolgte ein Sanierung innen und aussen.</t>
  </si>
  <si>
    <t>Sport- und Mehrzweckhalle</t>
  </si>
  <si>
    <t>T12</t>
  </si>
  <si>
    <t>ST01-9</t>
  </si>
  <si>
    <t>Hub rot</t>
  </si>
  <si>
    <t>Frauenfelderstrasse 8</t>
  </si>
  <si>
    <t>inkl. Pausenhalle; Bj. 1962, Vers.wert: 2''705''000.-\nSanierung wie Hub gelb\nAula: Heizung ohne Thermostaten, tw. keine Storen (aussen) nur Innenverdunklung, Lüftung vorh.</t>
  </si>
  <si>
    <t>Doppelkindergarten</t>
  </si>
  <si>
    <t>Zelgistrasse 8</t>
  </si>
  <si>
    <t>Hub blau</t>
  </si>
  <si>
    <t>Hubstrasse</t>
  </si>
  <si>
    <t>Kellerraum (Musikzimmer) feucht!</t>
  </si>
  <si>
    <t>Schulhaus Isenlauf</t>
  </si>
  <si>
    <t>Badstrasse 3</t>
  </si>
  <si>
    <t>Bremgarten</t>
  </si>
  <si>
    <t>Anbau ''87, Heizzentrale Holzschnitzel ''08, danach Setzungen und Risse\nFenstergläser in Anbau ''95, im Altbau ''95 IV (auf Südseite sind Gläser gedreht), Rafflamellen ''87/''95\nSommerlicher Wärmeschutz ist nicht genügend\nFäkalienpumpe 3-4 Jahre alt\nIn Werkräumen kein zentraler Schlüsselschalter</t>
  </si>
  <si>
    <t>Kindergarten Unterstadt</t>
  </si>
  <si>
    <t>Klosterweg 6</t>
  </si>
  <si>
    <t>IV-Verglasung auf Nordseite\nAkustikdecken im KG\nkein UG vorh.\nNeubau: Beschattungselemente in Holz: Schiebeläden (fkt. n. mehr)\nAltbau: Holzläden</t>
  </si>
  <si>
    <t>Turnhalle</t>
  </si>
  <si>
    <t>Hanflandstr. 5</t>
  </si>
  <si>
    <t>Buchs SG</t>
  </si>
  <si>
    <t>Bühnenmaterialraum, Aussengeräteraum</t>
  </si>
  <si>
    <t>Kindergarten / HW-Wohnung</t>
  </si>
  <si>
    <t>Hanflandstr. 3</t>
  </si>
  <si>
    <t>nicht unterkellert, Hauswartbüro vorhanden</t>
  </si>
  <si>
    <t>Kindergarten-Pavillon Birkenau</t>
  </si>
  <si>
    <t>Birkenaustrasse 12</t>
  </si>
  <si>
    <t>Baujahr gem. Ang. Liegenschaftenverwalter 1966, jedoch eher um 2000 bis 2012\nVermutlich wurde beim Hauptgebäude die Gebäudehülle und tw. der Innenausbau erneuert, Fundament, Böden, Innenwände und Haustechnik grösstenteils neu, tw. original</t>
  </si>
  <si>
    <t>Aula OZ Flös</t>
  </si>
  <si>
    <t>Heldaustrasse 48</t>
  </si>
  <si>
    <t>Rauchabzug im  EG + Saal, Archiv vorhanden</t>
  </si>
  <si>
    <t>Schulanlage / Hallenbad</t>
  </si>
  <si>
    <t>Heldaustrasse 50</t>
  </si>
  <si>
    <t>Boden: Klinker tw. beschädigt wird aber saniert, Kochschule + Unterrichtsraum, Materialraum , Grundwasserpumpe, Kühlung der Aula\nBaujahr gem. Ang. Liegenschaftenverwalter 1972, jedoch eher 2011</t>
  </si>
  <si>
    <t>Kindergarten-Pavillon</t>
  </si>
  <si>
    <t>Flösweg 3</t>
  </si>
  <si>
    <t>Schulhaus Kappeli</t>
  </si>
  <si>
    <t>Volksgartenstrasse 12</t>
  </si>
  <si>
    <t>Materialraum, Therapieraum, Schulküche (wird nicht mehr genutzt), Gruppenraum im UG: feucht, Hauswartraum vorhanden\nBaujahr Parkgarage: 1996</t>
  </si>
  <si>
    <t>Wohn- und Geschäftshaus</t>
  </si>
  <si>
    <t>Bergfeldstrasse 8</t>
  </si>
  <si>
    <t>Hinterkappelen</t>
  </si>
  <si>
    <t>NW</t>
  </si>
  <si>
    <t>Ehemalige Primarschule\nIm EG Praxis mit Mieterausbau (Oberflächen, Klimagerät, Beleuchtung, Einbauten)\nWärmepumpe wurde ersetzt, Oel-Heizung wird nur im Bedarfsfall genutzt\nWC in Praxis: muss mehrmals spülen bis ok.\nLehrerwohnung: B: PVC, Linol, Platten</t>
  </si>
  <si>
    <t>Feuerwehrmagazin/3 Wohnungen</t>
  </si>
  <si>
    <t>Dorfstrasse 45</t>
  </si>
  <si>
    <t>Fenster in Wohnung auf Südseite ist im Winter beschlagen (IV noch intakt?)\nSchlauchwasch- und Trocknungsanlage, Druckluft ok.\nDie Küchen wurden 2013 in allen drei Wg. saniert.\nLüftungsanlage inkl. Heizung\nKompressor</t>
  </si>
  <si>
    <t>Schulhaus, Pausenhalle , Kita</t>
  </si>
  <si>
    <t>Schulstrasse 4</t>
  </si>
  <si>
    <t>Lüftung f. WC und Fumoir\nSanierung aussen und innen 2004\nWärmetechn. Sanierung 4.5 Mio geplant für ges. Schulanlage\nGeländehöhen zu tief\nSchiebetüren in Werkräumen\nFeuerleiter vorh.\nWindfang alt, undichte Türen\nIm Anbau Kita mit eigener Küche, Mansardendach ausgebaut, Böden Linol\nDach innen Gipskarton, gestrichen\nWC: ältere Apparate, aber funktionierend\nTreppe aus Kunststein\nEinbauschränke\nSimse Naturst.\nWände gestr./verputzt</t>
  </si>
  <si>
    <t>Turnhalle und Lehrschwimmbecken</t>
  </si>
  <si>
    <t>ST07-38</t>
  </si>
  <si>
    <t>Turnhallenboden neu\nHeizung erfolgt über Lüftung\nLehrschwimmbecken: Lüftung neu, W: Keramik tw. neu\nWarmwasseraufbereitung z.T. neu (''97 + ''08) Wärmetauscher, Abwasser\nDruckluftsteuerung</t>
  </si>
  <si>
    <t>Wohnhaus (2 Wohnungen)</t>
  </si>
  <si>
    <t>Schulstrasse 6</t>
  </si>
  <si>
    <t>Anbau Wintergarten ca. 2006\nBadsanierung 2014</t>
  </si>
  <si>
    <t>Schulhaus</t>
  </si>
  <si>
    <t>Schulstrasse 7</t>
  </si>
  <si>
    <t>Bibliothek vor wenigen Jahren saniert.\nEin Klassenzimmer mit Linolboden\nSolaranlage auf Steildach(?)</t>
  </si>
  <si>
    <t>Schulhaus/ZS-Anlage/Verbindungsgang</t>
  </si>
  <si>
    <t>Schulstrasse 9</t>
  </si>
  <si>
    <t>Ausbau ähnlich wie Schulstr. 4\nSchulküche wird ''13 saniert</t>
  </si>
  <si>
    <t>Jugendtreff (Pavillon)</t>
  </si>
  <si>
    <t>T10</t>
  </si>
  <si>
    <t>ST08-43</t>
  </si>
  <si>
    <t>C29</t>
  </si>
  <si>
    <t>Araweg 9</t>
  </si>
  <si>
    <t>In Wohlen stark kalkhaltiges Wasser</t>
  </si>
  <si>
    <t>Wohnhaus (private Kindertagesstätte)</t>
  </si>
  <si>
    <t>Hofenstrasse 54</t>
  </si>
  <si>
    <t>Primarschule/Doppelturnhalle/KZ/WR</t>
  </si>
  <si>
    <t>Kappelenring 36/36a</t>
  </si>
  <si>
    <t>Dachsanierung ''97; 2.4 Mio. Fr. (davon 400T für Brandschutzmassnahmen)\nFassaden: Fugen neu, neu gestrichen\nFenster: Beschläge tw. neu\nIn Vorraum TH finden Gemeindeversammlungen statt (Bühne)\n\nTw. Klassenzimmer unterteilt in Gruppenräume (Spezialräume Logopädie ok)\nTH: neue Böden 2018, Beleuchtung, Audioanlage mangelhaft, *Fenster werden nicht ersetzt</t>
  </si>
  <si>
    <t>Altes Schulhaus/Doppelkindergarten/Klassenzimmer/2 Whg.</t>
  </si>
  <si>
    <t>Schulgasse 14</t>
  </si>
  <si>
    <t>Wohlen</t>
  </si>
  <si>
    <t>Tagesschule, Basisstufe\nDachraum mit Mansardezimmer und 2-Zi-Wg.: B: Kugelgarn, W: Täfer, D: Täfer\nBretterboden in Estrich\nGewölbekeller</t>
  </si>
  <si>
    <t>Schulhaus, Pausenhalle, ZS-Anlage</t>
  </si>
  <si>
    <t>Schulgasse 16</t>
  </si>
  <si>
    <t>Doppelturnhalle</t>
  </si>
  <si>
    <t>Schulgasse 18</t>
  </si>
  <si>
    <t>Kontrolle der heruntergehängten Decke wird empfohlen (Aufhängungen im Hohlraum)</t>
  </si>
  <si>
    <t>Aufbahrungsgebäude, Abdankungshalle</t>
  </si>
  <si>
    <t>T09</t>
  </si>
  <si>
    <t>ST03-18</t>
  </si>
  <si>
    <t>Hauptstrasse 22</t>
  </si>
  <si>
    <t>einzelne Räume wurden stillgelegt</t>
  </si>
  <si>
    <t>Verwaltungsgebäude (Gemeindehaus)</t>
  </si>
  <si>
    <t>T06</t>
  </si>
  <si>
    <t>ST06-35</t>
  </si>
  <si>
    <t>C21</t>
  </si>
  <si>
    <t>Hauptstrasse 26</t>
  </si>
  <si>
    <t>früher: Gemeindehaus und Wohnhaus\nGesamtsanierung ''85 (Obergeschosse und Dach, therm. Isol. und Ersatz Fenster)\nErweiterung und Sanierung ''07 (erw. therm. Isol.; Minergie)\nErsatz Fensterbeschläge ''14</t>
  </si>
  <si>
    <t>Schützenhaus</t>
  </si>
  <si>
    <t>ST10-45</t>
  </si>
  <si>
    <t>Schützenweg 50</t>
  </si>
  <si>
    <t>Murzelen</t>
  </si>
  <si>
    <t>Munitionsraum mit Panzertüre</t>
  </si>
  <si>
    <t>Velounterstand</t>
  </si>
  <si>
    <t>T13</t>
  </si>
  <si>
    <t>ST01-2</t>
  </si>
  <si>
    <t>Schülerweg 13</t>
  </si>
  <si>
    <t>Uettligen</t>
  </si>
  <si>
    <t>*Gläser werden/wurden etappenweise ersetzt</t>
  </si>
  <si>
    <t>Schülerweg 14</t>
  </si>
  <si>
    <t>Turnhallenboden wurde ersetzt ''17\nTreppenlift\nGeräteschuppen für Sprungmatten mit Riffelblechen im Aussenbereich an Fassade angebaut\nBei Duschen Wasserschaden (Fugen müssen periodisch ersetzt werden)</t>
  </si>
  <si>
    <t>Primarschulhaus, ged. Pausenhalle, Anbau Nord</t>
  </si>
  <si>
    <t>Schülerweg 15</t>
  </si>
  <si>
    <t>In Investitionsplan: Ersatz Holzfenster\nP.. Ludothek wurde nachträglich angebaut mit Duripaneel\nInnere Verdunklungen\nTagesschule im UG\nAnbau ca. ''04\nWassereintritt in Bibliothek (Deckenverkl. und Parkett beschädigt)</t>
  </si>
  <si>
    <t>Turnhalle/Hauswartwhg./Heizzentrale</t>
  </si>
  <si>
    <t>Schülerweg 16</t>
  </si>
  <si>
    <t>Lüftung für Holzsschnitzel (wegen Gärung)\nTore Geräteraum TH ok\nRadiatoren in TH o. Thermostaten\nHW-Wohnung:\n B: Linol, Parkett in WZ, Teppich UG\n W: Putz, gestr.\n D: Putz, gestr., Täfer in Kü, Pavatex, gestr.\n Heizverteilung: Radiatoren m. Thermostaten\n Balkon: Untersicht Holz i.O., Bodenablauf vermoost, Stütze verputzt (Putzschäden), Risse in Fass. über Balkon\n Fenster (''00): IV, Küche Metall, Einbauschränke, Vorhangbretter, Simse</t>
  </si>
  <si>
    <t>Oberstufenschulhaus/Aula</t>
  </si>
  <si>
    <t>Schülerweg 18</t>
  </si>
  <si>
    <t>Gebäudehülle wie Schülerweg 15\nAnbau ''91 Erweiterungen\nAufzug im Anbau\nKüche bei Mittagstisch im UG, bei Mittagstisch nur GSP\nim UG neu elektrische Storen, zusätzlich innere Verdunkelungen\nLehrerzimmer; neuer Boden (Parkett), Deckenbeleuchtung bei Fenster</t>
  </si>
  <si>
    <t>Alpenblickweg 10</t>
  </si>
  <si>
    <t>Rathaus</t>
  </si>
  <si>
    <t>ST07-40</t>
  </si>
  <si>
    <t>C16</t>
  </si>
  <si>
    <t>Maienfeld</t>
  </si>
  <si>
    <t>Alte Turnhalle</t>
  </si>
  <si>
    <t>Kindergarten Basadingen</t>
  </si>
  <si>
    <t>Schulstr. 38</t>
  </si>
  <si>
    <t>Sporthalle</t>
  </si>
  <si>
    <t>C33</t>
  </si>
  <si>
    <t>Badstrasse 5</t>
  </si>
  <si>
    <t>Hauswartbüro vorhanden, Dachraum konnte nicht besichtigt werden</t>
  </si>
  <si>
    <t>Schulanlage Staffeln</t>
  </si>
  <si>
    <t>Schulhausstrasse 6</t>
  </si>
  <si>
    <t>Hermetschwil</t>
  </si>
  <si>
    <t>-Glasvordach, Türe Gebäuderückseite: Einfachverglasung, Schiebetüre aus Holz - Materialraum, Glastüre, Lagerraum, Geräteraum - Glasfenster werden mit der Zeit blind, Werkraum</t>
  </si>
  <si>
    <t>Primarschulanlage Halden; Schulhaus, Wohnungen</t>
  </si>
  <si>
    <t>Schulstrasse 10</t>
  </si>
  <si>
    <t>Halden</t>
  </si>
  <si>
    <t>Schulhaus (Altbau)</t>
  </si>
  <si>
    <t>Hoffnungsgut</t>
  </si>
  <si>
    <t>Bischofszell</t>
  </si>
  <si>
    <t>Feuchteschäden Boden/Wände UG mit Rostflecken. Es gab in der Vergangenheit geologische Probleme, ein geologischer Bericht ist verfügbar. Der Boden im Keller hebt sich. Einige Geländer h&lt;90 cm. DasGebäude wurde vor wenigen Jahren komplett saniert/umgebaut.</t>
  </si>
  <si>
    <t>Schulhaus (Neubau)</t>
  </si>
  <si>
    <t>Gebäude wurde vor wenigen Jahren komplett saniert/umgebaut</t>
  </si>
  <si>
    <t>Turnhallen, Wohnung</t>
  </si>
  <si>
    <t>Garagen, Abstellgebäude</t>
  </si>
  <si>
    <t>C35</t>
  </si>
  <si>
    <t>Kindergartenpavillon, Gartenhaus</t>
  </si>
  <si>
    <t>Hoffnungsgut/(Thurblick)</t>
  </si>
  <si>
    <t>Bischoffszell</t>
  </si>
  <si>
    <t>Schulhaus, Velounterstand</t>
  </si>
  <si>
    <t>Obertor 4</t>
  </si>
  <si>
    <t>Abklärung Asbest bei Spritzputzdecken und Geläderhöhen</t>
  </si>
  <si>
    <t>Kindergarten Bitzi, Gerätehaus</t>
  </si>
  <si>
    <t>Turnerweg 4</t>
  </si>
  <si>
    <t>Schulhaus Altbau</t>
  </si>
  <si>
    <t>Sandbänkli 4</t>
  </si>
  <si>
    <t>Aula</t>
  </si>
  <si>
    <t>Sandbänkli</t>
  </si>
  <si>
    <t>Schulhaus, Garage, Gerätehaus, Containerhaus, Gargengerättehaus</t>
  </si>
  <si>
    <t>Bruggfeld/Rofenstrasse 20</t>
  </si>
  <si>
    <t>Sitterdorf</t>
  </si>
  <si>
    <t>Dazugehörige Umgebungsgebäude: Garagengebäude aus Betonsteinen und Pultdach aus Welleternit. Containerraum aus Holz.\nHW-Wohnung: Risse in der Aussenwand, durch mehrere Wände verlaufend. Anstrich bei der Treppe der HW-Wohnung blättert ab.\nAula: Absenkung des Bodens, Innenbeschattung defekt.\nAbstand zwischen Handlauf und Traverse ist zu gross (Sicherheitsrisiko).</t>
  </si>
  <si>
    <t>Garage</t>
  </si>
  <si>
    <t>Schulhaus Neubau, Pausenunterstand</t>
  </si>
  <si>
    <t>Sandbäkli 4</t>
  </si>
  <si>
    <t>Der Pausenunterstand besteht aus Rohbeton und hat Holzeinbau mit Verglasungen.</t>
  </si>
  <si>
    <t>Primarschulanlage Schulhaus alt</t>
  </si>
  <si>
    <t>Kirchstrasse</t>
  </si>
  <si>
    <t>Zihlschlacht</t>
  </si>
  <si>
    <t>Aufsteigende Feuchtigkeit im Keller</t>
  </si>
  <si>
    <t>Primarschulanlage Schulhaus</t>
  </si>
  <si>
    <t>St. Gallerstrasse 4</t>
  </si>
  <si>
    <t>Kindergarten</t>
  </si>
  <si>
    <t>St. Gallerstrasse 6</t>
  </si>
  <si>
    <t>Rathausplatz 1</t>
  </si>
  <si>
    <t>Musterstadt</t>
  </si>
  <si>
    <t>Klinkerboden und Decke haben Risse - Stadtratssaal: Holz-Metallfenster 2004 - Holztüren mit Türrahmen, Holztreppen im OG, Finanzabteilung: schlechte Isolation da Zugerscheinungen im Winter und im Sommer zu heiss, Abstellkammer, Materialraum, Glasbausteine, Teeküche</t>
  </si>
  <si>
    <t>Primarschulanlage Schulhaus, Turnhalle</t>
  </si>
  <si>
    <t>Hoferberg</t>
  </si>
  <si>
    <t>Gotthaus</t>
  </si>
  <si>
    <t>neue Beleuchtung 2012</t>
  </si>
  <si>
    <t>Primarschulanlage Schulhaus, Wohnungen</t>
  </si>
  <si>
    <t>Die Garagen bestehen aus Mauerwerk und einem Betonboden. Das Flachdach ist bepflanzt aber vermoost.</t>
  </si>
  <si>
    <t>Primarschulanlage Schulpavillon</t>
  </si>
  <si>
    <t>Blidegg</t>
  </si>
  <si>
    <t>Primarschulanlage Schulhaus, Velounterstand</t>
  </si>
  <si>
    <t>Blidegg 4</t>
  </si>
  <si>
    <t>Der Velounterstand besteht aus einem Metallgerüst und einem Eternitwellendach.</t>
  </si>
  <si>
    <t>Kindergarten, Spielhaus und Anbau</t>
  </si>
  <si>
    <t>Ibergstrasse</t>
  </si>
  <si>
    <t>Das Sielhaus der Liegenschaft ist aus Holz und hat ein Kiesdach. Der Boden ist aus Rohbeton und hat eine Beleuchtung. Es sind keine Mängel sichtbar</t>
  </si>
  <si>
    <t>Primarschulanlage Mehrzweckgebäude</t>
  </si>
  <si>
    <t>St. Gallerstrasse</t>
  </si>
  <si>
    <t>Dia Aula beinhaltet eine Stereoanlage. Die Sprossenwand in der Turnhalle ist nicht versetzt</t>
  </si>
  <si>
    <t>Dienstgebäude</t>
  </si>
  <si>
    <t>Badstrasse 1</t>
  </si>
  <si>
    <t>-Dusche im Materialraum wird nicht mehr gebraucht  - UG: Materialraum</t>
  </si>
  <si>
    <t>Pavillon Hilfsschule</t>
  </si>
  <si>
    <t>Primarschulanlage Schulhaus Mittelbau</t>
  </si>
  <si>
    <t>Kindergarten Kapuzinerhügel</t>
  </si>
  <si>
    <t>Kapuzinerhügel 5</t>
  </si>
  <si>
    <t>Reussbrücke-Saal, Zwischenbau</t>
  </si>
  <si>
    <t>Wohlerstrasse</t>
  </si>
  <si>
    <t>Umbau/Sanierung ''99\nDachraum gem. Hauswart i.O.</t>
  </si>
  <si>
    <t>Feuerwehrlokal, SR und Wg.</t>
  </si>
  <si>
    <t>T14</t>
  </si>
  <si>
    <t>ST07-37</t>
  </si>
  <si>
    <t>C37</t>
  </si>
  <si>
    <t>Kreuzmattstrasse 8</t>
  </si>
  <si>
    <t>Casino</t>
  </si>
  <si>
    <t>ST11-47</t>
  </si>
  <si>
    <t>energetisch und akustisch mangelhaft\nWindfang konzeptionell ungenügend</t>
  </si>
  <si>
    <t>Stadtschulhaus</t>
  </si>
  <si>
    <t>Obertorplatz</t>
  </si>
  <si>
    <t>Brüstung/Geländerhöhe: 89cm\nFlachdach: Versicherungsfall (Folie spröde)</t>
  </si>
  <si>
    <t>Promendenschulhaus</t>
  </si>
  <si>
    <t>Promenade</t>
  </si>
  <si>
    <t>Brüstungshöhe Treppenhaus, auch in Anbau mangelhaft. Doku "Gefährdungen" von ''05 vorhanden.\nLüftung Schulküche: Zuluft wird nicht mehr gebraucht seit Umbau.\nFenster Anbau z.T. 3-fach-Verglasung.</t>
  </si>
  <si>
    <t>Gartenschulhaus</t>
  </si>
  <si>
    <t>Gartenstrasse</t>
  </si>
  <si>
    <t>Turnhalle Bärenmatt</t>
  </si>
  <si>
    <t>Sportstrasse</t>
  </si>
  <si>
    <t>Geräteraum: Tor nicht sicherheitskonform (geht nach aussen auf).</t>
  </si>
  <si>
    <t>Kindergarten Haldengüetli</t>
  </si>
  <si>
    <t>Bernrainstr. 26</t>
  </si>
  <si>
    <t>Wigoltingen</t>
  </si>
  <si>
    <t>Hauswart: Hr. Gubler\nNiedrige Raumhöhen in Kindergartenräumen</t>
  </si>
  <si>
    <t>Kindergarten Käsernstrasse</t>
  </si>
  <si>
    <t>Käsernstrasse 1</t>
  </si>
  <si>
    <t>Aadorf</t>
  </si>
  <si>
    <t>Altes Schulhaus Kindergarten</t>
  </si>
  <si>
    <t>Schulhaus/Hausw.whg./Turnhalle/ZS</t>
  </si>
  <si>
    <t>Staatsstrasse 76</t>
  </si>
  <si>
    <t>Säriswil</t>
  </si>
  <si>
    <t>Dachsanierung inkl. Wärmedämmung ist im Investitionsplan; Ziegel sind nicht mehr erhältlich\nGeländererhöhungen ''11\nGeländer im Altbauteil: Höhen mögl.w. zu niedrig (Überprüfen)\nHauswartwohnung im DG\nIm Gebäudeversicherungswert sind das Schulhaus sowie die Turnhalle enthalten. Die beiden Liegenschaften unterscheiden sich bezüglich des Gebäudetyps sowie des Gebäudealters. Diesem Umstand wird mit gemittelten Werten bei den entsprechenden Bauteilen Rechung getragen.</t>
  </si>
  <si>
    <t>Kulturelles Zentrum Reberhaus</t>
  </si>
  <si>
    <t>ST06-36</t>
  </si>
  <si>
    <t>Lindenstrasse 4</t>
  </si>
  <si>
    <t>Umnutzung Bauernhaus in Kulturzentrum 1987\nTreppen und Niveaulift\nKüche im Schrank zu Stuben und Saal (m. GSP, Kaffeemasch. u. mob. Backofen)</t>
  </si>
  <si>
    <t>Feuerwehrmagazin/Schulungsraum</t>
  </si>
  <si>
    <t>Ahornweg 7</t>
  </si>
  <si>
    <t>Fluchttreppe in Stahl\nKein UG</t>
  </si>
  <si>
    <t>Wohnhaus (Musikschule)</t>
  </si>
  <si>
    <t>ST05-26</t>
  </si>
  <si>
    <t>Schulhausstrasse 4</t>
  </si>
  <si>
    <t>Holztreppen, Geländer zu niedrig</t>
  </si>
  <si>
    <t>Schulhaus Grof</t>
  </si>
  <si>
    <t>Schulhausstrasse 10</t>
  </si>
  <si>
    <t>Die Höhe der Geländer ist in Ordnung, Fassade renoviert ca. 2000 - SL-Büro seit 2005, Neubauteil mit Pressspanplatten, Holztreppen verkleidet mit Pavarec, EDV Zimmer im DG mit Stahltüren, Erdverlegte Öltänke (stillgelegt) unter Pausenplatz</t>
  </si>
  <si>
    <t>OZ Grof Neubau</t>
  </si>
  <si>
    <t>Schulhausstrasse 30</t>
  </si>
  <si>
    <t>Glas-Metallvordach auf dem Pausenplatz - Geländer nachträglich auf richtige Höhe angepasst, Fassade: Feuchtigkeit von aussen Bereich Decke UG, Ursache Rostflecken an Untersicht SO-Ecke sollte unbedingt abgeklärt werden (allenfalls Rost von Armierungseisen: Tragsicherheit!), Notausgang Singsaal: vermutlich mangelhaft</t>
  </si>
  <si>
    <t>OZ Grof Altbau</t>
  </si>
  <si>
    <t>Schulhausstrasse 27</t>
  </si>
  <si>
    <t>Holzfenster haben keine Verdichtungswippen (''78) , Geländehöhe wurde aufgedoppelt,  Dachgeschoss: ehemalige Wohnung, jetzt Umnutzung für Musikunterricht</t>
  </si>
  <si>
    <t>Turnhalle Buchserbach</t>
  </si>
  <si>
    <t>Turnhallenstrasse</t>
  </si>
  <si>
    <t>grösserer Aussengeräteraum angebaut</t>
  </si>
  <si>
    <t>Klassenzimmer Buchserbach</t>
  </si>
  <si>
    <t>Turnhallenstrasse 2</t>
  </si>
  <si>
    <t>Decke: Spritzputz, Asbestabklärung notwendig, Absturzsicherung im Treppenhaus über gesamte Raumhöhe</t>
  </si>
  <si>
    <t>Altes Gewerbeschulhaus Buchserbach</t>
  </si>
  <si>
    <t>ST03-16</t>
  </si>
  <si>
    <t>Turnhallenstrasse 4</t>
  </si>
  <si>
    <t>Im EDV-Raum DG: Klimagerät</t>
  </si>
  <si>
    <t>Kindergarten Altendorf</t>
  </si>
  <si>
    <t>Kreuzgasse 14</t>
  </si>
  <si>
    <t>Schulhaus (Neubau) Räfis</t>
  </si>
  <si>
    <t>Churerstrasse 117</t>
  </si>
  <si>
    <t>Die offene Fuge (s. Innenausbau Oberflächen) sollte mit eingem geeigneten Fugenmaterial gefüllt werden. Computerraum, Rauchabzugssteuerung, begehbare Wandschränke, Adresse gem. Geoportal.ch: Churerstrasse 117, nicht 119, wie bei GV-Ausweis angegeben. Baujahr gem. Ang. Liegenschaftenverwalter 1971, jedoch eher 1998</t>
  </si>
  <si>
    <t>Schwarzschloss</t>
  </si>
  <si>
    <t>Pfarrgasse 1</t>
  </si>
  <si>
    <t>Primarschulanlage: Schulhaus, Garage, Velounterstand</t>
  </si>
  <si>
    <t>Hauptstrasse</t>
  </si>
  <si>
    <t>Hauptwil</t>
  </si>
  <si>
    <t>Sicherheitsrisiko Geländer abklären und allenfalls beheben. Grosse Unterscheide im Zustand zw. Neubau und Altbau vorhanden.</t>
  </si>
  <si>
    <t>Hohentannen</t>
  </si>
  <si>
    <t>Schulpavillon</t>
  </si>
  <si>
    <t>Der Dachraum konnte nicht besichtigt werden.</t>
  </si>
  <si>
    <t>Schulhaus (Altbau) Räfis</t>
  </si>
  <si>
    <t>Churerstrasse 119</t>
  </si>
  <si>
    <t>Glockenturm weitgehend im Originalzustand mit Uhrwerk vorhanden, Geländer ev. zu tief, Verbindungsleitungen</t>
  </si>
  <si>
    <t>Magazin</t>
  </si>
  <si>
    <t>Adresse müsste gem. Geoportal.ch sein: Stationsstrasse, nicht Churerstrasse 119, wie bei GV-Ausweis angegeben. Baujahr gem. Ang. Liegenschaftenverwalter: 1919, vermutlich 1987</t>
  </si>
  <si>
    <t>Kindergarten Kappeli mit Wohnung und Garage</t>
  </si>
  <si>
    <t>Volksgartenstrasse 1</t>
  </si>
  <si>
    <t>Aussenwand Bad: KS-Wand mit Verfärbung, Waschmaschine, Malraum, Geländerhöhe des Balkons ev. zu niedrig, Geräteraum</t>
  </si>
  <si>
    <t>Schulhaus Hanfland</t>
  </si>
  <si>
    <t>Das oberste Geschoss ist ein Holzbau (es wurde aufgestockt), Ausbau neuwertig, Geländerhöhe muss überprüft werden, Bibliothek, Materialraum, Malkeller, Werkraum</t>
  </si>
  <si>
    <t>MFH</t>
  </si>
  <si>
    <t>Promenadenstrasse 13</t>
  </si>
  <si>
    <t>EG: Waschküchen, UG: Kellerräume, Notstromaggregat, Entsalzungsanlage, 2 Veloräume\nWasserschaden im Keller (Mai 2013)</t>
  </si>
  <si>
    <t>Kindergarten Fuchsächer</t>
  </si>
  <si>
    <t>Promenadenstrasse 15</t>
  </si>
  <si>
    <t>Materialraum, Vordach aus Metall-Glas, nicht unterkellert</t>
  </si>
  <si>
    <t>Gewerbe und Garage</t>
  </si>
  <si>
    <t>Zugerstrasse 16/18/20</t>
  </si>
  <si>
    <t>Wohnung an der Zugerstrasse 16: Anstrich an Decke im Schlafzimmer und Stube blättert tw. ab, Umbau im 1995 - Risse wegen Erdbeben 2012, EG: Metall-Windfang - UG: WM, Tumbler, Wasseraufbereitungsanlage, Fenster mit Einfachverglasung, Veloraum - Wohnung an der Zugerstrasse 18: Küche 1995, Kühlschrank, GS, Abstellraum auf dem Balkon, Böden UG: Überzug gestrichen</t>
  </si>
  <si>
    <t>Oberer Zoll ganzes Haus</t>
  </si>
  <si>
    <t>C6</t>
  </si>
  <si>
    <t>Obertorplatz 3</t>
  </si>
  <si>
    <t>Nutzung als Praxis im EG, im OG Verwaltung, Umbau im 2005 - Archiv Stadtmusik - Materialraum - Wohnung im OG konnte nicht besichtigt werden\nDas Gebäude wurde im Jahr 1979 saniert.</t>
  </si>
  <si>
    <t>Zeughaus</t>
  </si>
  <si>
    <t>Schellenhausplatz</t>
  </si>
  <si>
    <t>-grosse Sanierung im 1979 - Teppich im OG wird ersetzt - Holztreppe im Estrich: Gelände ist mit Plexiglas gesichert - Vorhänge als Innenbeschattung - Zugang Bibliothek: Holzfassade - Treppenaufgang: Fenster tw. IV (''08) \n-Berechnungen müssen erst ab 2015 gemacht werden, nicht unterkelllert</t>
  </si>
  <si>
    <t>Schellenhaus</t>
  </si>
  <si>
    <t>Wohnung: wird jetzt für die Leitung als Büro genutzt - UG: Küche, Holzbalkendecke, Wärmelüfter, Bürgerkeller mit Holzplatten - Sanierung im 2006 - Lagerraum, Fluchtweg - Materialaufzug, Brandschutzdecken im Estrich</t>
  </si>
  <si>
    <t>Wohnhaus (3 Whg.)</t>
  </si>
  <si>
    <t>Murzelenstrasse 80</t>
  </si>
  <si>
    <t>Urspr. Lehrerhaus\nAusgebauter Dachraum, isol.\nDecke gegen UG wurde isoliert ca. 2000</t>
  </si>
  <si>
    <t>Garagen/Aussengeräteraum Schule</t>
  </si>
  <si>
    <t>Murzelenstrasse 82A</t>
  </si>
  <si>
    <t>ZS-Lager/BSA/Einstellhalle/Rasenspielfeld</t>
  </si>
  <si>
    <t>ST03-19</t>
  </si>
  <si>
    <t>Schülerweg 11</t>
  </si>
  <si>
    <t>4 Wartungen pro Jahr durch ZS (2 gr. u. 2 kl.)\n\nUNG: XXX bei Hartbeton (s. Foto) auf Parkplätzen</t>
  </si>
  <si>
    <t>Doppelkindergarten/Musikschule/Jugendtr.</t>
  </si>
  <si>
    <t>Schülerweg 12</t>
  </si>
  <si>
    <t>Küche im Jugendtreff für Begehung nicht zugängig; gem. Hauswart ist Küche in schlechtem Zustand\nEhem. Heizraum ist neu Schlagzeugraum; neue Fenster, Teppich, Beleuchtung, Wände, Decken (Akustikpl.)\nLehrerzimmer im UG mit Küche\nEntfeuchtungsanlage Schlagzeugraum ist neu\nJugendraum: neu: nur Unterlagsboden (Parkett wurde ersetzt)</t>
  </si>
  <si>
    <t>Pavillon</t>
  </si>
  <si>
    <t>Primarschulanlage Kenzenau; Schulhaus, Wohnungen, Garage</t>
  </si>
  <si>
    <t>Waldplatzstrasse</t>
  </si>
  <si>
    <t>Schweizersholz</t>
  </si>
  <si>
    <t>Die Kellerräume wurden ausgebaut jedoch besteht aufsteigende Feuchtigkeit.\nLeitungen im Bad der Wohnung frieren im Winter ein.</t>
  </si>
  <si>
    <t>Kornhaus</t>
  </si>
  <si>
    <t>Spiegelgasse 9</t>
  </si>
  <si>
    <t>Putzraum, Boiler, Materialraum - Risse an den Wänden im Kniestock, nicht unterkellert</t>
  </si>
  <si>
    <t>Haus an der Reuss</t>
  </si>
  <si>
    <t>Schulgasse 8</t>
  </si>
  <si>
    <t>Es konnte nur die Wohnung im DG besichtigt werden, Trocknungsraum, Geräteraum, Bastellraum, Veloraum, Estrich konnte nicht besichtigt werden</t>
  </si>
  <si>
    <t>Werkhof mit Wohnungen</t>
  </si>
  <si>
    <t>ST05-31</t>
  </si>
  <si>
    <t>Im Spilhof 6</t>
  </si>
  <si>
    <t>-Wohnung war bis 2000 eine Kanzlei \nWäscheraum, Wasserverteilung, WM, Tumbler</t>
  </si>
  <si>
    <t>Werkhof Neubau</t>
  </si>
  <si>
    <t>Augraben 1</t>
  </si>
  <si>
    <t>Chemieraum, Reinigungsraum im EG, Schmutzschleuse, Werkstatt</t>
  </si>
  <si>
    <t>Bauamtsmagazin, Werkhof Altbau</t>
  </si>
  <si>
    <t>Klosterweg 2</t>
  </si>
  <si>
    <t>Garagentor aus Holz, Lagerraum, nicht wärmegedämmt\nDer Rohbau sowie die Fassade werden aus denkmalpflegerischen und nutzungsbedingten Gründen nicht besser instandgesetzt.</t>
  </si>
  <si>
    <t>Klarakloster</t>
  </si>
  <si>
    <t>ST05-28</t>
  </si>
  <si>
    <t>Klosterweg 8</t>
  </si>
  <si>
    <t>-Schmutzschleuse - Lagerraum, Werkstatt, Jugendraum, tw. Risse auf der Innenseite der Fassadenwände, Ölheizung im EG Wohnteil</t>
  </si>
  <si>
    <t>Haberhaus Polizeiposten</t>
  </si>
  <si>
    <t>Rathausplatz 4</t>
  </si>
  <si>
    <t>Zweistöckige Wohnung: in gutem Zustand (konnte nicht besichtigt werden) - UG: Keller, Materialraum, Boiler, Lavabo, Reinigungsraum- Wassereinbruch im Keller Mai (''13)</t>
  </si>
  <si>
    <t>Ortsmuseum</t>
  </si>
  <si>
    <t>ST03-20</t>
  </si>
  <si>
    <t>Reussgasse 14A</t>
  </si>
  <si>
    <t>-Risse in den Platten auf dem WC, nicht unterkellert</t>
  </si>
  <si>
    <t>Parkgarage</t>
  </si>
  <si>
    <t>ST02-14</t>
  </si>
  <si>
    <t>Rathausplatz 3</t>
  </si>
  <si>
    <t>-Garageneinfahrt wegen neuer Bodenheizung undicht - Materialraum, Entsorgungsraum, Archiv, Radiatoren mit Thermostaten</t>
  </si>
  <si>
    <t>Friedhofhalle</t>
  </si>
  <si>
    <t>Friedhofstrasse</t>
  </si>
  <si>
    <t>-Schmutzschleuse, Sargwagen, Materialraum, nicht unterkellert</t>
  </si>
  <si>
    <t>Zivilschutzanlage</t>
  </si>
  <si>
    <t>C38</t>
  </si>
  <si>
    <t>Dornackerweg 6</t>
  </si>
  <si>
    <t>Huttwil</t>
  </si>
  <si>
    <t>Mobile Entfeuchter vorh.</t>
  </si>
  <si>
    <t>Schulhaus mit Turnhalle</t>
  </si>
  <si>
    <t>Mülibachstrasse 18</t>
  </si>
  <si>
    <t>Waltalingen</t>
  </si>
  <si>
    <t>- Holzboden Estrich\n- Dusche TH: CHF 70`000 für Lüftung, in Betriebnahme: 28.10.2015, Lüftungsaggregat befindet sich im ehemaligen Tankraum\n- neue Veloständer</t>
  </si>
  <si>
    <t>Haus Mülibach</t>
  </si>
  <si>
    <t>Mülibachstrasse 20</t>
  </si>
  <si>
    <t>Guntalingen</t>
  </si>
  <si>
    <t>- Elektroboiler für EG ist im DG\n- 2 Wohnungen im OG: Küche sehr klein und alt (''02 saniert)</t>
  </si>
  <si>
    <t>Wohnhaus mit Schopf</t>
  </si>
  <si>
    <t>Unterdorf 10</t>
  </si>
  <si>
    <t>Unterstammheim</t>
  </si>
  <si>
    <t>- auf Balkon rostige Abschlussbleche auf Brüstungen\n-z. T. Naturkeller</t>
  </si>
  <si>
    <t>Bahnhofstrasse 7</t>
  </si>
  <si>
    <t>- die Duschanlagen sind im Jahr 2015 repariert worden, jedoch ist unter den Plattenbelägen hohe Feuchtigkeit vorhanden. Gemäss Angaben des Fachmannes sind sie noch max. 2 Jahre für den Betrieb geeignet.\n- gesamthaft wurden CHF 300`000 investiert für neuen Boden TH, Geräteraumtore, Fenster, Belichtung etc.</t>
  </si>
  <si>
    <t>Schulhausanlage</t>
  </si>
  <si>
    <t>-Sockelbereich ok\n-Unterstand II: Fassade aus Sichtmauerwerk\n-Aussentüre auf Paniktüre umgerüstet\n-Treppengeländer sehr tief (80cm)\n-im UG vermutlich Asbest-Platten\n-Pausenhalle neu gestrichen für CHF 5`000.-\n\n- Begehung mit Herrn B. Frei (Hauswart)</t>
  </si>
  <si>
    <t>EFH Leukens</t>
  </si>
  <si>
    <t>Eggstrasse 68</t>
  </si>
  <si>
    <t>Wetzikon</t>
  </si>
  <si>
    <t>Das Flachdach und die Fassaden wurden unlängst renoviert, jedoch nicht wärmetechnisch.\nAn der Zimmerdecke unter dem Dach sind in regelmässigen Abständen Farbveränderungen vorhanden. Diese sind wahrscheinlich auf Wärmebrücken, durch die auf die Betondecke des Flachdachs aufliegenden Betonelemente, zurückzuführen. Allenfalls könnten auch Spalten, der in die Zimmerdecke integrierten Wäremdämmplatten, dafür verantwortlich sein.\n\nDer Bastelraum im Keller ist teilweise gedämmt und weist verhältnismässig grosse Fenster auf.\n\nGemeinsamer Luftschutzraum und Tiefgarage vorhanden.</t>
  </si>
  <si>
    <t>Pumpwerk, Elektrizität</t>
  </si>
  <si>
    <t>T05</t>
  </si>
  <si>
    <t>ST01-3</t>
  </si>
  <si>
    <t>Lochmühleweg 2a</t>
  </si>
  <si>
    <t>Ein Teil des Gebäudes konnte nicht besichtigt werden (EW)</t>
  </si>
  <si>
    <t>Restaurant</t>
  </si>
  <si>
    <t>ST05-30</t>
  </si>
  <si>
    <t>Marktgasse 2</t>
  </si>
  <si>
    <t>Verwaltungsgebäude</t>
  </si>
  <si>
    <t>Marktgasse 4</t>
  </si>
  <si>
    <t>Umbau im 2. OG ist geplant.</t>
  </si>
  <si>
    <t>Schulanlage Schwarzenbach</t>
  </si>
  <si>
    <t>Neuhausstrasse 15</t>
  </si>
  <si>
    <t>- Garderoben wurden im 2016 ersetzt.\n- Die Gebäudehülle wurde im 1994 isoliert.\n- Ehemaliger Velokeller neben Garage</t>
  </si>
  <si>
    <t>Berufsschulhaus</t>
  </si>
  <si>
    <t>Oberdorfstrasse 4</t>
  </si>
  <si>
    <t>Treppengeländer 90cm</t>
  </si>
  <si>
    <t>Velokeller</t>
  </si>
  <si>
    <t>Oberdorfstrasse 5</t>
  </si>
  <si>
    <t>- Gehört zur Berufsschule</t>
  </si>
  <si>
    <t>Schulhaus Städtli</t>
  </si>
  <si>
    <t>Oberdorfstrasse 11a</t>
  </si>
  <si>
    <t>- Zivilschutzraum alte Turnhalle\n- Estrichboden isoliert (''06)\n- Alter Oeltank wird im Frühling ausgebaut\n- Dach wurde in den 90er Jahren saniert</t>
  </si>
  <si>
    <t>Werkhof</t>
  </si>
  <si>
    <t>Oberdorfstrasse 13/15/15b</t>
  </si>
  <si>
    <t>- 1999 Innenausbau\n- Neues Sektionaltor im Jahr 2017</t>
  </si>
  <si>
    <t>Wasserversorgung</t>
  </si>
  <si>
    <t>ST02-15</t>
  </si>
  <si>
    <t>Buchenweg 6b</t>
  </si>
  <si>
    <t>Pumpen sind nicht mehr in Betrieb, Nebengebäude Baujahr 1921/22</t>
  </si>
  <si>
    <t>Pumpwerk</t>
  </si>
  <si>
    <t>Huttwilwald 1a</t>
  </si>
  <si>
    <t>Dornackerweg 2a/b</t>
  </si>
  <si>
    <t>innere Schlüecht 5a</t>
  </si>
  <si>
    <t>Möhrenweid 1a</t>
  </si>
  <si>
    <t>- An diesem Ort gibt es kein Quellwasser mehr.\n- Vor 5-6 Jahren wurden der Boden sowie die Wände renoviert</t>
  </si>
  <si>
    <t>Garage Feuerwehr</t>
  </si>
  <si>
    <t>Moostrasse 2a</t>
  </si>
  <si>
    <t>Hanffeldstrasse 18</t>
  </si>
  <si>
    <t>Oberstammheim</t>
  </si>
  <si>
    <t>Clubhaus FC Buchs</t>
  </si>
  <si>
    <t>ST03-22</t>
  </si>
  <si>
    <t>Rheinau</t>
  </si>
  <si>
    <t>Restaurant mit Industrieküche</t>
  </si>
  <si>
    <t>Schiessanlage</t>
  </si>
  <si>
    <t>Buchersplatz</t>
  </si>
  <si>
    <t>Restaurant akustisch nicht gut.</t>
  </si>
  <si>
    <t>Freibad Rheinau</t>
  </si>
  <si>
    <t>ST05-29</t>
  </si>
  <si>
    <t>Buchserau</t>
  </si>
  <si>
    <t>Bezirksgefängnis Wohnhaus</t>
  </si>
  <si>
    <t>Brunnenweg 1</t>
  </si>
  <si>
    <t>Das Gebäude steht wahrscheinlich unter Schutz. Erhaltenswerte Bauteile (auch Fenster und Beschläge) sind mit der Kant. Denkmalpflege abzuklären.\nBad mit Metallfenster im UG\nAngebauter Holzschuppen</t>
  </si>
  <si>
    <t>Haslernstrasse 20</t>
  </si>
  <si>
    <t>Weiningen</t>
  </si>
  <si>
    <t>Hermetsbüel Primar</t>
  </si>
  <si>
    <t>Hermetsbüelweg 16</t>
  </si>
  <si>
    <t>Hittnau</t>
  </si>
  <si>
    <t>* Risse im Mauerwerk beobachten!\n**Wassereintritt bei der Dachuntersicht, möglicherweise von der darüber liegenden Rinne.</t>
  </si>
  <si>
    <t>Bahnhofstrasse 8</t>
  </si>
  <si>
    <t>- Baujahr Anbau: (''03)\n- Anbau Süd (KZ) mit TH (''02) und Bibliothek\n- Velounterstand: Sichtbeton, Metalldach (wurde erneuert da altes Glasdach defekt)\n- überdachter Pausenbereich: soll bei Sanierung neu gemacht werden, Gläser tw. zersprungen und undicht, Gläser können nicht gut gereinigt werden, im Sommer staut sich die Hitze unter dem Dach\n- Schulküchen im ''08 saniert, Boden aus Kautschuk mit Antirutschbeschichtung, muss neu gemacht werden\n- Geländerhöhe 90cm\n- Staketenabstand: 14.5 cm, zu breit!\n\nGerätehaus: Flachdach, Kiesklebdach, Untersichten aus Holz, Elektro: Licht, Steckdosen; in gutem Zustand\n\n- Begehung mit Herrn B.Frei (Hauswart)</t>
  </si>
  <si>
    <t>MFH Sonnegg 42 + 44</t>
  </si>
  <si>
    <t>Sonneggstrasse 42 + 44</t>
  </si>
  <si>
    <t>UG: Im Putz sind einzelne Abplatzungen und Rostflecken auf dem Boden und an den Wänden vorhanden. Zudem ist ein grösserer Riss sichtbar.\n- Im Keller dringt Wasser ein.</t>
  </si>
  <si>
    <t>- vor Haupteingang auf Platz wurden neu Rillen für Wasserabfluss gemacht (CHF 10`000), da vorher bei starkem Regen Wasser durch die Tür ins Innere floss\n\n- Begehung mit Herrn B. Frei (Hauswart)</t>
  </si>
  <si>
    <t>C22</t>
  </si>
  <si>
    <t>St. Gallerstrasse 2</t>
  </si>
  <si>
    <t>Klimagerät wurde aufgehängt im Serverraum.\nGeländer 95cm.\n1.OG: 2011 Schalter Einbau</t>
  </si>
  <si>
    <t>C36</t>
  </si>
  <si>
    <t>Stadt ist Mehrheitsaktionärin\nIm 4. UG Raum bei der Treppe sind Spuren von Feuchtigkeitsschäden vorhanden (bereits behoben?).\nDie 6 Oblichter über der Ausfahrt sind undicht (Hagelschäden), die Öffnungen werden zugemauert.\nTreppengeländer nicht konform\nTreppe beim Brunnen verrostet wegen der für den Brunnen verwendeten Säure\nRaum Swisscom (Unterhalt durch Swisscom)\nSchutzraum mit Küche und Wassertank\nDiv. Räume sind vermietet (und konnten tw. nicht besichtigt werden)</t>
  </si>
  <si>
    <t>Mehrzweckhalle</t>
  </si>
  <si>
    <t>Jakob Stutz-Str 60</t>
  </si>
  <si>
    <t>Hauswartwohnung</t>
  </si>
  <si>
    <t>Hermetsbüelweg 8</t>
  </si>
  <si>
    <t>Turnhalle Hermetsbüel</t>
  </si>
  <si>
    <t>Hermetsbüelweg 24</t>
  </si>
  <si>
    <t>Gebäude wurde im 2010 umfassend saniert.\nEntlüftung WC wird saniert.</t>
  </si>
  <si>
    <t>Dorfschule</t>
  </si>
  <si>
    <t>Hermetsbüelweg 9</t>
  </si>
  <si>
    <t>Kiga Oberhittnau, Wohnung/Garage</t>
  </si>
  <si>
    <t>Wetzikerstrasse 20</t>
  </si>
  <si>
    <t>Über dem Eingang sind die Jahreszahlen 1879 und 1932 angeschrieben. Möglicherweise wurde das Schulhaus 1932 umgebaut.</t>
  </si>
  <si>
    <t>Kiga Unterhittnau und Wohnung</t>
  </si>
  <si>
    <t>Jakob Stutz-Str. 7</t>
  </si>
  <si>
    <t>Garagen mit Flachdach ext. begrünt</t>
  </si>
  <si>
    <t>Kiga Sonne</t>
  </si>
  <si>
    <t>Jakob Stutz-Str 7A</t>
  </si>
  <si>
    <t>altes Postlokal</t>
  </si>
  <si>
    <t>ST02-10</t>
  </si>
  <si>
    <t>C20</t>
  </si>
  <si>
    <t>Henggart</t>
  </si>
  <si>
    <t>Bahnhofstrasse 4</t>
  </si>
  <si>
    <t>Bahnhofstrasse 6</t>
  </si>
  <si>
    <t>Garagen angebaut\nDie Büros und das Dachgeschoss wurden komplett saniert. Der Ausbau ist daher in einem sehr guten Zustand.</t>
  </si>
  <si>
    <t>Garagen / Tankraum / Parkplatz</t>
  </si>
  <si>
    <t>ST04-24</t>
  </si>
  <si>
    <t>Marktgasse 5b</t>
  </si>
  <si>
    <t>- Die Garage mit der Nr. 5d enthält einen Öltank.\n- Garage 5c: wesentlicher Schaden, über die Dilatationsfuge dringt Wasser ein\n- Die Garagen sind gefüllt mit verschiedenen Materialien (Stromkabel etc.)</t>
  </si>
  <si>
    <t>Turnhalle, Sportplatz</t>
  </si>
  <si>
    <t>Dornackerweg 2</t>
  </si>
  <si>
    <t>- Fassade ist ungenügend gedämmt und wird saniert\n- Sep. Aussengebäude mit Garderoben und Duschen, Fass. aus Holzwerkstoff- oder Zementplatten</t>
  </si>
  <si>
    <t>Friedhof, Leichenhalle</t>
  </si>
  <si>
    <t>Friedhofweg 31a/37a</t>
  </si>
  <si>
    <t>bei 31a: Dach mit Ziegeleindeckung ohne Unterdach, Fassade: Mauerwerk, verputzt, Dachrinnen rostig</t>
  </si>
  <si>
    <t>Sekundarschulhaus</t>
  </si>
  <si>
    <t>Hofmattstrasse 5/5a</t>
  </si>
  <si>
    <t>- Hauswart: Herr Hansruedi Bühler\n- Schlechte Klimatisierung der Sekretariatsräume\n- Serverraum: Die Deckendämmung ist nicht komplett\n- Beim Mittelbau (Eingangshalle) tw. noch Baumängel vorhanden (die Dämmung beim Storenkasten löst sich, der Vorplatz wird gegen die Fassade entwässert, die Blechabdeckungen bei der Glasfront aussen lösen sich, es bildet sich ausserdem Kondenswasser)</t>
  </si>
  <si>
    <t>Willimatt 2a</t>
  </si>
  <si>
    <t>Wohnhaus und Vereinslokal</t>
  </si>
  <si>
    <t>Spitalstrasse 14</t>
  </si>
  <si>
    <t>- Gemäss Herr Rauch, muss die Westseite des Gebäudes dringend saniert werden.</t>
  </si>
  <si>
    <t>Magazin, Museum</t>
  </si>
  <si>
    <t>T03</t>
  </si>
  <si>
    <t>ST01-6</t>
  </si>
  <si>
    <t>C14</t>
  </si>
  <si>
    <t>Spitalstrasse 54a</t>
  </si>
  <si>
    <t>Schulhaus Nyffel</t>
  </si>
  <si>
    <t>Nyffel 26</t>
  </si>
  <si>
    <t>Die Innenwände bei den Fenstern gedämmt.\nDas Treppengeländer weist eine zu geringe Höhe auf (80cm).</t>
  </si>
  <si>
    <t>Schulhaus HPS Schüpbach</t>
  </si>
  <si>
    <t>ST05-27</t>
  </si>
  <si>
    <t>Bernstrasse 78</t>
  </si>
  <si>
    <t>- Kühlräume und gewerbliche Küche gehören nicht zum Schulhaus -&gt; separate Rechnung.</t>
  </si>
  <si>
    <t>Werkhalle (Werkhof)</t>
  </si>
  <si>
    <t>Langäulistrasse 20</t>
  </si>
  <si>
    <t>Die Halle ist eine Metallkonstruktion.\nDach Halle: Sandwichpaneldach</t>
  </si>
  <si>
    <t>Mehrzweckgebäude</t>
  </si>
  <si>
    <t>Bahnhofstrasse 2</t>
  </si>
  <si>
    <t>- Im Untergeschoss ist eine aufsteigende Feuchtigkeit ersichtlich. Dies kommt vermutlich von der Strassenseite.\n- Das Quellwasser kommt aus dem Untergeschoss\n- Das Unterdach wurde neu gebaut</t>
  </si>
  <si>
    <t>Geschäftshaus</t>
  </si>
  <si>
    <t>- Metallstütze\n- Die Einbauschränke sowie der Besprechungsraum sind Mieterausbau.</t>
  </si>
  <si>
    <t>Sanierung Schulhaus Zentrum</t>
  </si>
  <si>
    <t>Schulhaus und Kindergarten</t>
  </si>
  <si>
    <t>Unterdorf 8</t>
  </si>
  <si>
    <t>- Riss im DG Altbau sollte beobachtet werden (Risssiegel)\n- Baujahre der drei Gebäudeteile: Kindergarten 1847 / Anbau 1984 / Anbau 1995 / Zwischenbau 2017\n- im Anbau wurde eine Treppe eingebaut (brandschutztechnisch war dies erforderlich), welche die beiden Kindergärten im EG und OG verbindet\n\nGV-Wert und Kubatur gemäss neuer Schätzung vom 12.04.2018</t>
  </si>
  <si>
    <t>Dorfstrasse 39</t>
  </si>
  <si>
    <t>Wohnhaus / Scheune</t>
  </si>
  <si>
    <t>Buchenweg 5</t>
  </si>
  <si>
    <t>Angebauter Schuppen, die Lukarnen sind stark verwitert</t>
  </si>
  <si>
    <t>Feuerwehrmagazin</t>
  </si>
  <si>
    <t>Hoffmattstrasse 3</t>
  </si>
  <si>
    <t>Oberdorfstrasse 11c</t>
  </si>
  <si>
    <t>Angebauter Schuppen</t>
  </si>
  <si>
    <t>Lindenstrasse 21</t>
  </si>
  <si>
    <t>- Der Dieseltankraum sowie der Notstromaggregat sind ausser Betrieb.</t>
  </si>
  <si>
    <t>Wohnhaus und Büros</t>
  </si>
  <si>
    <t>Oberdorfstrasse 19</t>
  </si>
  <si>
    <t>- Das UG wird vom Militärdienst gemietet und wurde neu ausgebaut</t>
  </si>
  <si>
    <t>Kindergarten Kappelenring</t>
  </si>
  <si>
    <t>Kappelenring 34a</t>
  </si>
  <si>
    <t>Das Flachdach hängt im Bereich der Eingänge leicht durch, das Dachwasser fliesst dort vermutlich über die Dachkante (Wasserspuren am Boden und Dachrandabschluss); Dachkonstruktion vermutlich in diesem Bereich über dem Eingang zu schwach (Abklärung empfohlen, im Winter bei Schneelast beobachten)\n\nIm Sommer zu heiss.</t>
  </si>
  <si>
    <t>Schulhaus/Kindergarten/Hauswartwohnung</t>
  </si>
  <si>
    <t>Murzelenstrasse 82</t>
  </si>
  <si>
    <t>Schulleiterbüro eingebaut\nIm Windfang wurden die inneren Türen demontiert\nKindergarten: Zwischengeschoss eingebaut\nHW-Wohnung: Estrich neu, isoliert mit Leitertreppe, (Boden) ''14 \nSanitär: Druck fällt tw. zusammen K+W, Küche neu ''14, Bad: ung. 40 Jahre alt (nur WC ausgewechselt)\nSchulzimmer: (1 Zi: neuer Boden Linol) neue Beleuchtung im EG und OG\nKindergarten: Fensterfront ist nicht dicht (Fenterflügel wurden gerichtet), Regen drückt rein, Zugluft\nFassade aussen: Holzfensterbänke/-schwellen tw. morsch\nZugseile innen ev. nachspannen, Holzverzapfungen bei Balken ev. feucht (dunkel und Rost bei Metallverbindungen)\nAufsteigende Feuchtigkeit im Treppenhaus\nBoden UG neu\nDecken und Wände neu gestrichen im EG und OG\nneu Mittagstisch\nProbleme mit Fliegen; ev. Luftzug bei Storenkästen</t>
  </si>
  <si>
    <t>Janus Schulhaus Zentrum</t>
  </si>
  <si>
    <t>Ferienhaus</t>
  </si>
  <si>
    <t>ST04-25</t>
  </si>
  <si>
    <t>Obere Laui 1665</t>
  </si>
  <si>
    <t>Ennetbühl</t>
  </si>
  <si>
    <t>Wohnfläche: 105m2\nGGF: 79m2\n\n*Gemäss Nachbar asbesthaltig (das Nachbarhaus wurde gleichzeitig erstellt); Dachsanierung CHF 30''000.-</t>
  </si>
  <si>
    <t>Testgebäude1</t>
  </si>
  <si>
    <t>Teststrasse.</t>
  </si>
  <si>
    <t>Garage (Nebengebäude)</t>
  </si>
  <si>
    <t>Schulgasse 14a</t>
  </si>
  <si>
    <t>Murzelenstrasse 84</t>
  </si>
  <si>
    <t>In Investitionsplan: Ersatz Fensterfront und Isolation Dach\nFenstersanierung und Decke ist im IP\nMalerarbeiten im ''13\nDuschen: Armaturen neu (''13)\nWW-Leitung tw. neu\nUG: Beleuchtung neu (ausser Turnhalle)\nFenster im WC wurden ersetzt: Holz/Metall (''16)\nGeländer wird neu gemacht</t>
  </si>
  <si>
    <t>Turnhalle Dorf</t>
  </si>
  <si>
    <t>Dorfstrasse 18</t>
  </si>
  <si>
    <t>Kaiseraugst</t>
  </si>
  <si>
    <t>Hauswart: Samuel Baumann\nVerbindung zum Schulhaus mit Metallstützen und Flachdach\nUntersicht Dach: Heraklit\nBühne Parkett: Starke Abnützungsspuren\nSanierung 2007\nAudioanlage nicht mitversichert</t>
  </si>
  <si>
    <t>Schulhaus Dorf inkl. Blockheizkraftwerk</t>
  </si>
  <si>
    <t>Dorfstrasse 20</t>
  </si>
  <si>
    <t>Rennovation innen vor ca. 12-13 Jahren inkl. Beleuchtung</t>
  </si>
  <si>
    <t>Löwenparking</t>
  </si>
  <si>
    <t>Kastellstrasse 3</t>
  </si>
  <si>
    <t>Parkuhr nicht im Versicherungswert enthalten</t>
  </si>
  <si>
    <t>Kindergarten Dorf</t>
  </si>
  <si>
    <t>Dorfstrasse 19</t>
  </si>
  <si>
    <t>Geräteschopf</t>
  </si>
  <si>
    <t>ST01-8</t>
  </si>
  <si>
    <t>Wohnhaus Dorfstr. 27</t>
  </si>
  <si>
    <t>Dorfstrasse 27</t>
  </si>
  <si>
    <t>3 Wohnungen\nWW wurde neu gemacht\nKaltwasser-Steigleitungen sind alt</t>
  </si>
  <si>
    <t>Schulhaus Liebrüti</t>
  </si>
  <si>
    <t>C10</t>
  </si>
  <si>
    <t>Hintere Liebrüti</t>
  </si>
  <si>
    <t>HW: Udo Vici\nInteraktive Wandtafeln nicht im Versicherungswert eingerechnet</t>
  </si>
  <si>
    <t>Pavillon Liebrüti</t>
  </si>
  <si>
    <t>Turnhalle Liebrüti</t>
  </si>
  <si>
    <t>Erweiterung und Sanierung 1998</t>
  </si>
  <si>
    <t>Gerätehaus Liebrüti</t>
  </si>
  <si>
    <t>Hintere Liebrüti, Böttmeweg</t>
  </si>
  <si>
    <t>Kindergarten Heimstrasse</t>
  </si>
  <si>
    <t>Heimstrasse 1</t>
  </si>
  <si>
    <t>KIGA Schwarzackerstrasse</t>
  </si>
  <si>
    <t>Schwarzackerstrasse 59</t>
  </si>
  <si>
    <t>Das Flachdach konnte nicht besichtigt werden. Für alle Elemente der Gebäudehülle u.a. Elemente, deren Unterhalt über die Miete finanziert werden, sind die Reinvestationskosten für das ganze Gebäude enthalten. In der Regel werden diese Kosten von allen Mietern resp. vom Vermieter getragen.</t>
  </si>
  <si>
    <t>KIGA Liebrütistrasse</t>
  </si>
  <si>
    <t>Liebrütistrasse 14</t>
  </si>
  <si>
    <t>Für alle Elemente der Gebäudehülle u.a. Elemente, deren Unterhalt über die Miete finanziert werden, sind die Reinvestationskosten für das ganze Gebäude enthalten. In der Regel werden diese Kosten von allen Mietern resp. vom Vermieter getragen.\nDas Flachdach konnte nicht besichtigt werden</t>
  </si>
  <si>
    <t>Im Hui</t>
  </si>
  <si>
    <t>Rümlang</t>
  </si>
  <si>
    <t>(Vereinshaus Kleingärten)</t>
  </si>
  <si>
    <t>ST05-32</t>
  </si>
  <si>
    <t>Im Liner</t>
  </si>
  <si>
    <t>Objekt wurde nicht aufgenommen</t>
  </si>
  <si>
    <t>Abdankungshalle</t>
  </si>
  <si>
    <t>Friedhof</t>
  </si>
  <si>
    <t>Erweiterungsbau 2011/12</t>
  </si>
  <si>
    <t>Geräteraum</t>
  </si>
  <si>
    <t>Camping, Kiosk</t>
  </si>
  <si>
    <t>T11</t>
  </si>
  <si>
    <t>ST09-44</t>
  </si>
  <si>
    <t>C30</t>
  </si>
  <si>
    <t>Lochmatt, Strandbadweg 59</t>
  </si>
  <si>
    <t>Kälteanlagen und mobile Kücheneinrichtungen sind nicht im Versicherungswert enthalten</t>
  </si>
  <si>
    <t>WC-Gebäude</t>
  </si>
  <si>
    <t>Lochmatt</t>
  </si>
  <si>
    <t>Garderobengebäude</t>
  </si>
  <si>
    <t>Badmeisterhäuschen</t>
  </si>
  <si>
    <t>Betriebsgebäude</t>
  </si>
  <si>
    <t>Das Gebäude ist zumindest teilweise erhaltenswert (auch alte Beschläge und Radiatoren) und steht möglicherweise unter Denkmalschutz.\nTrafostation im UG gehört zu den Elektrizitätswerke Buchs SG\nDas Haus ist als Musikschule vermietet.\nDIe Teppiche bestehen überall aus Kugelgarn</t>
  </si>
  <si>
    <t>Bibliothek und altes Pfarrhaus</t>
  </si>
  <si>
    <t>ST03-17</t>
  </si>
  <si>
    <t>Kirchgasse 2</t>
  </si>
  <si>
    <t>Bibliothek mit Anbau von 1988</t>
  </si>
  <si>
    <t>Logopädie mit Wohnung</t>
  </si>
  <si>
    <t>Schulhausstrasse 12</t>
  </si>
  <si>
    <t>Fenster sind niedrig eingesetzt</t>
  </si>
  <si>
    <t>Feuerwehr- &amp; Zivilschutzanlage</t>
  </si>
  <si>
    <t>Volksgartenstrasse 38</t>
  </si>
  <si>
    <t>Gebäude vierteilig.\nMittelteil aus dem Jahr 1983</t>
  </si>
  <si>
    <t>Kindertagesstätte und Pavillon</t>
  </si>
  <si>
    <t>Aeulistrasse 12</t>
  </si>
  <si>
    <t>nicht unterkellert\nRenovation Herbst 2013\nBeim alten Hausteil fehlt ein Blitzschutz</t>
  </si>
  <si>
    <t>Internationale Schule Rheintal</t>
  </si>
  <si>
    <t>Aeulistrasse 10</t>
  </si>
  <si>
    <t>Schulanlage mit mehrere Gebäuden\nFenster im Treppenhaus sind nicht sicherheitskonform\nEinige Holzfenster sind veraltet\nProbleme mit Grundwasser, es wurden Betoninjektionen gemacht\nKlimagerät (Mieterausbau)\nGaragenbox</t>
  </si>
  <si>
    <t>Gemeindehaus inkl. Wohnung Hauswart und Feuerwehrmagazin Dorf</t>
  </si>
  <si>
    <t>Dorfstrasse 17</t>
  </si>
  <si>
    <t>Altbau UG, ehem. LS-Raum: Feuchteproblem, OGA-Raum: Wassereintritt (wird behoben)\nWohnung: B: Keramik, Parkett, W, D: Putz, Fenster: IV 2-fach verglast\nWestfassade: Riss in Mauerwerk, Gefahr von Eindringen von Feuchtigkeit\nSanierungsarbeiten für 2019 budgetiert</t>
  </si>
  <si>
    <t>Chlorgasgebäude</t>
  </si>
  <si>
    <t>Asylbewerberunterkunft</t>
  </si>
  <si>
    <t>ST01-1</t>
  </si>
  <si>
    <t>Rinaustrasse 26</t>
  </si>
  <si>
    <t>Für den laufenden Unterhalt ist eine externe Firma beauftragt (Servicevertrag).\nDas Mobiliar ist im Versicherungswert nicht enthalten.</t>
  </si>
  <si>
    <t>Rinaustrasse 28</t>
  </si>
  <si>
    <t>Wohnhaus</t>
  </si>
  <si>
    <t>Allmendgasse 13</t>
  </si>
  <si>
    <t>Lötscher-Scheune</t>
  </si>
  <si>
    <t>T04</t>
  </si>
  <si>
    <t>Kirchgasse 21</t>
  </si>
  <si>
    <t>Fährihäuschen / Stübli</t>
  </si>
  <si>
    <t>ST10-46</t>
  </si>
  <si>
    <t>Kirchgasse 19</t>
  </si>
  <si>
    <t>Konnten das Dach nicht besichtigen.</t>
  </si>
  <si>
    <t>Fährianlagestelle</t>
  </si>
  <si>
    <t>ST12-49</t>
  </si>
  <si>
    <t>Rheinuferweg</t>
  </si>
  <si>
    <t>Zollhaus</t>
  </si>
  <si>
    <t>ST06-34</t>
  </si>
  <si>
    <t>SItzbank aus Holz</t>
  </si>
  <si>
    <t>Pumpenhaus</t>
  </si>
  <si>
    <t>Wartehäuschen Fähri / Werkhaus</t>
  </si>
  <si>
    <t>ST07-41</t>
  </si>
  <si>
    <t>Das Gebäude konnte nicht besichtigt werden. Nutzung nicht genau bekannt; das Gebäude dient möglicherweise der Wartung des Fährbetriebs.</t>
  </si>
  <si>
    <t>Pumpihaus Clubhaus Rheingenossen</t>
  </si>
  <si>
    <t>Bootshaus Lochmatt</t>
  </si>
  <si>
    <t>Rheinuferweg Ergolzbucht</t>
  </si>
  <si>
    <t>Landgasthof Adler + Autounterstand</t>
  </si>
  <si>
    <t>ST01-7</t>
  </si>
  <si>
    <t>Dorfstrasse 35</t>
  </si>
  <si>
    <t>Im Keller: Wasser eindringung über Platz (Garage), feucht trotz Klimaanalage\nKühlzellen sind nicht im Versicherungswert enthalten</t>
  </si>
  <si>
    <t>Kinderkrippe</t>
  </si>
  <si>
    <t>Violahof</t>
  </si>
  <si>
    <t>Küche: Gewerbliche Küche mit Lüftungsanlage, Wand: Keramikplatten Boden: Linol</t>
  </si>
  <si>
    <t>Jugendhaus inkl. ehemaliger Polizeiposten</t>
  </si>
  <si>
    <t>ST08-42</t>
  </si>
  <si>
    <t>C23</t>
  </si>
  <si>
    <t>Flachdach konnte nicht besichtigt werden</t>
  </si>
  <si>
    <t>Pfadihaus</t>
  </si>
  <si>
    <t>Wassereintritt vorhanden, ungeklärt bei Balken</t>
  </si>
  <si>
    <t>KIGA Rosenweg</t>
  </si>
  <si>
    <t>Rosenweg 18</t>
  </si>
  <si>
    <t>Das Dach konnte nicht besichtigt werden. Für alle Elemente der Gebäudehülle u.a. Elemente, deren Unterhalt über die Miete finanziert werden, sind die Reinvestationskosten für das ganze Gebäude enthalten. In der Regel werden diese Kosten von allen Miteigentümern gemeinsam getragen.</t>
  </si>
  <si>
    <t>Käsereistrasse 10</t>
  </si>
  <si>
    <t>Primarschule Wigoltingen</t>
  </si>
  <si>
    <t>Grund für den Wassereintritt war ein defekter Ziegel.\nKindergartenraum neu (Frühling 2019), ausser Beleuchtung.</t>
  </si>
  <si>
    <t>Altersheim und Gartenhaus</t>
  </si>
  <si>
    <t>ST06-33</t>
  </si>
  <si>
    <t>C28</t>
  </si>
  <si>
    <t>Oberdorfstrsse 91</t>
  </si>
  <si>
    <t>Treppenlift,\nVentilation des Wc''s im 2. Stock ist defekt.\nDer Keller ist feucht und der Verputz ist abgeplatzt\nDas Gartenhäuschen ist in einem schlechten Zustand\nNachtrag zum Zustand während der Besichtigung: Nach Entfernung der Kletterpflanzen stürzte eine Ecke des Mauerwerks (Fassade) ein.</t>
  </si>
  <si>
    <t>Schutzraum</t>
  </si>
  <si>
    <t>Schulhausstrasse 2 bei 2</t>
  </si>
  <si>
    <t>Kirchturm</t>
  </si>
  <si>
    <t>ST01-5</t>
  </si>
  <si>
    <t>Kirchgasse</t>
  </si>
  <si>
    <t>Friedhofsgebäude</t>
  </si>
  <si>
    <t>Ghangetrietstrasse</t>
  </si>
  <si>
    <t>Hauswart: Herr Caminada</t>
  </si>
  <si>
    <t>Dürstellenstrasse 8 bei 8</t>
  </si>
  <si>
    <t>Hermetsbüel</t>
  </si>
  <si>
    <t>Altes Sekundarschulhaus inkl. Gerätehaus und Garagengebäude</t>
  </si>
  <si>
    <t>Jakob Stuz-Strasse 54 bei 54</t>
  </si>
  <si>
    <t>In den Garagengebäude sowie Gerätehäuschen sind keine Sanitär-Apparate noch Sanitär-Leitungen vorhanden.</t>
  </si>
  <si>
    <t>Turnhalle (Sarnahalle)</t>
  </si>
  <si>
    <t>Werkzentrum</t>
  </si>
  <si>
    <t>Bahnhofstrasse 40</t>
  </si>
  <si>
    <t>Die Gebäudenhülle wurde ca ''08 renoviert.\nDie Fernwärme für die Primarschule, Mehrzweckhalle und Turnhalle werden von diesem Gebäude (Werkzentrum) aus gesteuert.</t>
  </si>
  <si>
    <t>Hermetsbüel Oberstufe</t>
  </si>
  <si>
    <t>Hermetsbüelweg 10</t>
  </si>
  <si>
    <t>Totalsanierung 1993\nSchulküche - Metalltür verzogen, undicht.\nAnbau Spez.-Trakt 1993\n\n*Wassereintritt bei der Dachuntersicht, möglicherweise von der darüber liegenden Rinne.</t>
  </si>
  <si>
    <t>Kiga Oberdorf</t>
  </si>
  <si>
    <t>Oberdoftstrasse 21</t>
  </si>
  <si>
    <t>Renovation 1999</t>
  </si>
  <si>
    <t>Hauptstrasse 15</t>
  </si>
  <si>
    <t>- Baujahre der drei Gebäudeteile: Schulhaus 1868 / Anbau 1930 / Anbau 1993\n- Teilsanierung 1995: Lavabo in KZ: Beleuchtung, Starkstrom\n- Verbindungsgang im UG: Sichtbetonwände und Luftschutztüre, Boden wurde neu gestrichen, da Wasser eintrat, Wand im Heizkeller: Wasserschaden\n- Treppe: Stahlträger und Glasbausteine\n- in allen Räumen LED-Lampen (ausser im Werkraum &amp; Handarbeit)</t>
  </si>
  <si>
    <t>Primarschulanlage Mehrzweckhalle</t>
  </si>
  <si>
    <t>In der Fluchtröhre sammelt sich Wasser an und fliesst nicht ab. Aula beinhaltet Audioanlage und eine Beleuchtungsanlage. Ausserdem befand sich in den Bodenhülsen der Turnhalle Wasser.</t>
  </si>
  <si>
    <t>Sandbänkli 5</t>
  </si>
  <si>
    <t>Dieses Gebäude steht unter Denkmalschutz.</t>
  </si>
  <si>
    <t>SNB</t>
  </si>
  <si>
    <t>ST04-23</t>
  </si>
  <si>
    <t>Fraumünsterstrasse 8 und Stadthausquai 3,5,7</t>
  </si>
  <si>
    <t>Elektroanlagen:\n\nStarkstromanlagen:\nBeleuchtung im Innenhof nach Wasserschaden defekt (Bodenleuchten)\n\nGem. Stefan Bauer:\n- Für die Videoüberwachung sind keine Ersatzteile mehr erhältlich!\n- Max. Lebensdauer der BMA ca. 16 Jahre\n- Die Evakuationsanlage muss bald ersetzt werden.\n\nGemäss GVZ-Ausweis: Brandmeldeanlage: CHF 284''700.-\n\nGemäss IT-Abt.:\nReinvestitionsbedarf (ca. alle 5 Jahre):\n- IT Aktivkomponenten: ca. CHF 400''000.-\n- Telefonie: ca. CHF 100''000.-</t>
  </si>
  <si>
    <t>KIGA Violaweg</t>
  </si>
  <si>
    <t>Violaweg 75</t>
  </si>
  <si>
    <t>Der Versicherungswert wurde über das Gebäudevolumen anteilmässig am Gesamtwert geschätzt. Das Flachdach konnte nicht besichtigt werden.\nFür alle Elemente der Gebäudehülle u.a. Elemente, deren Unterhalt über die Miete finanziert werden, sind die Reinvestationskosten für das ganze Gebäude enthalten. In der Regel werden diese Kosten von allen Mietern resp. vom Vermieter getragen.</t>
  </si>
  <si>
    <t>Waldhütte</t>
  </si>
  <si>
    <t>ST11-48</t>
  </si>
  <si>
    <t>Stelliweg</t>
  </si>
  <si>
    <t>Sekundarschulhaus Rümlang</t>
  </si>
  <si>
    <t>Katzenrütistrasse 4</t>
  </si>
  <si>
    <t>-Hauswart: Herr Buchli\n-Boden (Linol) wird erneuert dieses Jahr im Trakt A alle 4 Zimmer</t>
  </si>
  <si>
    <t>Primarschulhaus Rümlang inkl. Turnhalle</t>
  </si>
  <si>
    <t>Katzenrütistrasse bei 6</t>
  </si>
  <si>
    <t>-Normale Zuluft in dem Geimeindesaal bei der Turnhalle\n-Neue Trennwände bei Herren Dusche/Garderobe</t>
  </si>
  <si>
    <t>Sekundarschulgebäude</t>
  </si>
  <si>
    <t>Kirchstrasse 12a</t>
  </si>
  <si>
    <t>-Problem der Feuchtigkeit im Chemieraum wurde behoben.\n-Keine Lüftung im Singsaal\ns.a. Bestandesaufnahmen vom März 2018</t>
  </si>
  <si>
    <t>Primarschule Raperswilen, Altbau inkl. Whg</t>
  </si>
  <si>
    <t>Raperswilen</t>
  </si>
  <si>
    <t>EFH</t>
  </si>
  <si>
    <t>Hauptstrasse 46</t>
  </si>
  <si>
    <t>Mandach</t>
  </si>
  <si>
    <t>Hauptstrasse 108</t>
  </si>
  <si>
    <t>*Schimmelbildung im Anschluss Decke-Aussenwand</t>
  </si>
  <si>
    <t>Scheune</t>
  </si>
  <si>
    <t>Mitteldorf 45</t>
  </si>
  <si>
    <t>An-/Umbau ~1955\nWelleternit wahrscheinlich asbesthaltig</t>
  </si>
  <si>
    <t>Schopf mit Garage</t>
  </si>
  <si>
    <t>ST03-21</t>
  </si>
  <si>
    <t>Mitteldorf 47</t>
  </si>
  <si>
    <t>Guggeregge 1</t>
  </si>
  <si>
    <t>Nicht im GV-Wert (und somit auch nicht in Stratus) eingerechnete Bauteile:\n- Steuergeräte Wasserversorgung\n- Dieseltankanlage mit Zapfsäulen\n- Autolifte\n- Druckluftanlagen\n- Salzsilo\n- Altölentsorgungsstelle</t>
  </si>
  <si>
    <t>Sportplatz im Liner</t>
  </si>
  <si>
    <t>ST02-13</t>
  </si>
  <si>
    <t>Im Liner, Römerweg</t>
  </si>
  <si>
    <t>Wasserdruckerhöhungsanlage, Bewässerungsanlage, Druckluftanlage sind im Versicherungswert nicht enthalten</t>
  </si>
  <si>
    <t>Feuerwehrlokal, Bauamt, Zivilschutzgebäude</t>
  </si>
  <si>
    <t>Widenstrasse</t>
  </si>
  <si>
    <t>Schneisingen</t>
  </si>
  <si>
    <t>Primarschule Sonterswil  Erweiterungsbau</t>
  </si>
  <si>
    <t>Schulstrasse 1</t>
  </si>
  <si>
    <t>Sonterswil</t>
  </si>
  <si>
    <t>-Gemäss Hauswart ist der Dachraum trocken und ohne bekannte Mängel</t>
  </si>
  <si>
    <t>Rifälderhübel</t>
  </si>
  <si>
    <t>*nicht im Versicherungswert inbegriffen</t>
  </si>
  <si>
    <t>Jugend- und Kulturzentrum Violahof</t>
  </si>
  <si>
    <t>ST07-39</t>
  </si>
  <si>
    <t>- Personenlift, 2007\n- Umbau Fenster OG (Holz)\n- Unterstand gehört dazu\n- Luftschutzraum gehört Pfadi</t>
  </si>
  <si>
    <t>Loweidstrasse</t>
  </si>
  <si>
    <t>Feuerwehrgebäude</t>
  </si>
  <si>
    <t>Dürstelen</t>
  </si>
  <si>
    <t>Dürstelenstrasse 73</t>
  </si>
  <si>
    <t>HIttnau</t>
  </si>
  <si>
    <t>Oberdorfstrasse 95</t>
  </si>
  <si>
    <t>Im Heizraum : Feuchtigkeit von der Aussenwand</t>
  </si>
  <si>
    <t>Turnhallengebäude Sekundarschule</t>
  </si>
  <si>
    <t>-zwei Abläufe (ein Ablauf musste ersetzt werden beim Flachdach Bereich)</t>
  </si>
  <si>
    <t>Alterswohnungen 6 Stk. inkl. Bürgerkeller</t>
  </si>
  <si>
    <t>Der Bürgerkeller ist sehr feucht, Akustikdecke und Klimagerät vorhanden. Boden aus Keramik mit Bodenheizung und Küche (gewerbliche Küche mit Geschirrspüler)</t>
  </si>
  <si>
    <t>Materialraum</t>
  </si>
  <si>
    <t>Strandbad</t>
  </si>
  <si>
    <t>Wohnhaus &amp; Garage</t>
  </si>
  <si>
    <t>Kirchstrasse 10</t>
  </si>
  <si>
    <t>- Garage konnte nicht besichtigt werden</t>
  </si>
  <si>
    <t>Primarschule Wigoltingen, Altbau</t>
  </si>
  <si>
    <t>Käsereistrasse 12</t>
  </si>
  <si>
    <t>- Radon verdacht im Keller, Messungen wurden von Studenten gemacht (Messungen nicht erfahren)\n- Feuchtigkeit von Unten nach Oben</t>
  </si>
  <si>
    <t>Kindergarten Haldengüetli, m Gge</t>
  </si>
  <si>
    <t>Bernrainstrasse 26</t>
  </si>
  <si>
    <t>-Feuchtigkeitsproblem bei dem Raum unter der Treppe\n-Fluchtweg nicht gewehrleistet\n-Keine Lüftung</t>
  </si>
  <si>
    <t>Mehrzweckhalle &amp; Turnhalle Sonterswil</t>
  </si>
  <si>
    <t>Schulstrasse</t>
  </si>
  <si>
    <t>Wassereintritt</t>
  </si>
  <si>
    <t>Eine Wohnung wurde neu renoviert</t>
  </si>
  <si>
    <t>Mittelstufe Raperswilen Neubau</t>
  </si>
  <si>
    <t>-WC, Garderobe und Hauswartraum wurde im 2013 renoviert</t>
  </si>
  <si>
    <t>Wohnhaus- Garage</t>
  </si>
  <si>
    <t>Schulhaus, Zwischenbau, Pausenhalle</t>
  </si>
  <si>
    <t>Aemmert, Schladstrasse 21</t>
  </si>
  <si>
    <t>Turnhalle (gem. Geb.-Vers.: Mehrzweckhalle) mit Mehrzweckraum (Aemmertsaal)\nZivilschutzanlage mit Küche, Porphyrplatten\n\n*siehe Foto Dachraum\n\nAnbau: 2000, 2014(?), 2017\n\nPV-Anlage gehört nicht der Gemeinde.\nUmgebung und zusätzlich versicherte Bauteile und Elemente gem. Versicherungsausweis sind nicht in Stratus enthalten.\n\nHauswart: Alois Meier</t>
  </si>
  <si>
    <t>Keine Lüftung in Duschen/Garderoben: Schimmelpilzbildung an Decke über Fenster (Oblichter)\n\n*PV-Anlage nicht im GV-Wert enthalten (Eigentümerin: IG Solar Schneisingen)</t>
  </si>
  <si>
    <t>building</t>
  </si>
  <si>
    <t>building_part_id</t>
  </si>
  <si>
    <t>value_part</t>
  </si>
  <si>
    <t>condition</t>
  </si>
  <si>
    <t>condition_year</t>
  </si>
  <si>
    <t>insert into obj_building_part_element(id,obj_id,building_part_id,value_part,condition,condition_year,description) values</t>
  </si>
  <si>
    <t>8253|Schulstrasse 5|best. Schulhaus Zentrum|13886.00</t>
  </si>
  <si>
    <t>P1</t>
  </si>
  <si>
    <t>Stahlbetondecken, Mauerwerk</t>
  </si>
  <si>
    <t>P2</t>
  </si>
  <si>
    <t>Ziegeleindeckung, schadhaft</t>
  </si>
  <si>
    <t>P3</t>
  </si>
  <si>
    <t>P4</t>
  </si>
  <si>
    <t>Doppelschaliges Mauerwerk, verputzt</t>
  </si>
  <si>
    <t>P5</t>
  </si>
  <si>
    <t>Holzfenster, Eingangstüren Stahl</t>
  </si>
  <si>
    <t>P6</t>
  </si>
  <si>
    <t>Fernwärme vom Nachbargebäude (altes SH, san.)</t>
  </si>
  <si>
    <t>P7</t>
  </si>
  <si>
    <t>Radiatoren mit Thermostaten</t>
  </si>
  <si>
    <t>P8</t>
  </si>
  <si>
    <t>Abwasserleitungen aus Gusseisen, stellenweise saniert</t>
  </si>
  <si>
    <t>P9</t>
  </si>
  <si>
    <t>Beleuchtung Klassenzimmer ca. 15-jährig</t>
  </si>
  <si>
    <t>P10</t>
  </si>
  <si>
    <t>Lüftung im Saal DG</t>
  </si>
  <si>
    <t>P11</t>
  </si>
  <si>
    <t>Üblicher Innenausbau mit Linolböden, Treppenhaus Naturstein</t>
  </si>
  <si>
    <t>P12</t>
  </si>
  <si>
    <t>8255|Bahnhofstrasse 1|Schulhaus Schlattingen|3539.00</t>
  </si>
  <si>
    <t>Massiv</t>
  </si>
  <si>
    <t>Ziegeldach, saniert</t>
  </si>
  <si>
    <t>Klinker-Sichtmauerwerk und Mauerwerk verputzt, innenl. Stahlstützen</t>
  </si>
  <si>
    <t>Holz-Metallfenster, 2-fach-IV, 1998</t>
  </si>
  <si>
    <t>Holzpelletheizung, neu</t>
  </si>
  <si>
    <t>Warm- und Kaltwasserleitungen: guter Durchfluss</t>
  </si>
  <si>
    <t>Beleuchtung Klassenzimmer und Schalter tw. neu</t>
  </si>
  <si>
    <t>Böden: Linol/KST\nWände: Abrieb, gestr.\nDecken: Täfer/Anstrich</t>
  </si>
  <si>
    <t>8253|Schützenstrasse|Kindergarten Schupfenzelg|1624.00</t>
  </si>
  <si>
    <t>P48</t>
  </si>
  <si>
    <t>Hohlkörperdecke, Porenbetonwände</t>
  </si>
  <si>
    <t>P49</t>
  </si>
  <si>
    <t>Welleternit, Dämmung über Decke über EG</t>
  </si>
  <si>
    <t>Porenbeton, verputzt\nAnbau Holz</t>
  </si>
  <si>
    <t>Holz/Metall\nErsatz 2003 inkl. Türen\nWSG</t>
  </si>
  <si>
    <t>Gemäss HW genügende Absicherungen und keine Mängel bekannt</t>
  </si>
  <si>
    <t>Gasheizung</t>
  </si>
  <si>
    <t>P54</t>
  </si>
  <si>
    <t>Lavabo tw. mit WW-Mischer, Küchengeräte orig. ''73\nWW-Boiler in Küche eingeb.</t>
  </si>
  <si>
    <t>P55</t>
  </si>
  <si>
    <t>P57</t>
  </si>
  <si>
    <t>Arbeitssimse, Einbauschränke, Garderoben</t>
  </si>
  <si>
    <t>P58</t>
  </si>
  <si>
    <t>Böden: PVC\nWände: verputzt o. Holztäfer\nDecke: Mineralfaserplatten</t>
  </si>
  <si>
    <t>P60</t>
  </si>
  <si>
    <t>P61</t>
  </si>
  <si>
    <t>P62</t>
  </si>
  <si>
    <t>8479|Feldistrasse 6/8|Laubenhuus|3490.00</t>
  </si>
  <si>
    <t>Geschossdecken und Innenwände</t>
  </si>
  <si>
    <t>Fachwerk</t>
  </si>
  <si>
    <t>Sparrendach mit Ziegeleindeckung, nicht ausgebaut, Dachraum isol. gg. OG</t>
  </si>
  <si>
    <t>Fachwerk, tw. massiv mit Holzverkleidung</t>
  </si>
  <si>
    <t>Holzfenster mit Doppelverglasung und Holzläden</t>
  </si>
  <si>
    <t>Oelheizung 2001</t>
  </si>
  <si>
    <t>Radiatoren, tw. ohne Thermostaten</t>
  </si>
  <si>
    <t>Einzelne Apparate wurden ersetzt</t>
  </si>
  <si>
    <t>tw. braunes Wasser (WW)</t>
  </si>
  <si>
    <t>P56</t>
  </si>
  <si>
    <t>Wände und Decken verputzt und gestrichen, Böden Keramik, Parkett und Laminat</t>
  </si>
  <si>
    <t>P59</t>
  </si>
  <si>
    <t>GSP neuer, KS+KH älter, aber funktionstüchtig</t>
  </si>
  <si>
    <t>8266|Feldbach|Oberstufenschulhaus Feldbach|18099.00</t>
  </si>
  <si>
    <t>Stahlbeton, Stahlstützen verkleidet und gestrichen</t>
  </si>
  <si>
    <t>nicht begrünt, z.T. Terrassen und Sonnenkollektoren</t>
  </si>
  <si>
    <t>Aussenwärmedämmung, verputzt</t>
  </si>
  <si>
    <t>Holzfenster mit zus. Glas auf Rahmen</t>
  </si>
  <si>
    <t>P50</t>
  </si>
  <si>
    <t>Zeitgem. Beleuchtung mit genügender Ausleuchtung, dimmbar</t>
  </si>
  <si>
    <t>P51</t>
  </si>
  <si>
    <t>Lautsprecheranlage, Beamer in KZ</t>
  </si>
  <si>
    <t>Holzschnitzelfeuerungsanlage, 2 Öfen und WRG</t>
  </si>
  <si>
    <t>Fäkalienpumpe, da ARA höher gelegen</t>
  </si>
  <si>
    <t>Einbauschränke KH-beschichtet, innenliegende Oblichter bei KZ</t>
  </si>
  <si>
    <t>Holzzementböden, Wände Sichtbeton</t>
  </si>
  <si>
    <t>8266|Frauenfelderstrasse 10|Hub gelb|3558.00</t>
  </si>
  <si>
    <t>Ziegeldach neu (2011)</t>
  </si>
  <si>
    <t>Alufenster iim UG (1988), Klapprollläden</t>
  </si>
  <si>
    <t>Beleuchtung neu (2005)</t>
  </si>
  <si>
    <t>EDV: Server (2005)\nTelefonanlage i.O.</t>
  </si>
  <si>
    <t>Gastherme (2005)</t>
  </si>
  <si>
    <t>Schulküche</t>
  </si>
  <si>
    <t>Einbauschränke i.O.</t>
  </si>
  <si>
    <t>Böden: Linoleum, Keramik, Kunststeintreppen und -gänge\nWände: Keramik und Putz\nDecken: Akustikplatten in KZ und Gänge</t>
  </si>
  <si>
    <t>8266|Seestrasse 126|Seeschulhaus|4193.00</t>
  </si>
  <si>
    <t>Vermutlich massives (Naturstein-?)Mauerwerk, unisoliert, im UG und OG mit Rissen,  (Hourdis-?) und/oder Holzbalkendecken, Holztreppen</t>
  </si>
  <si>
    <t>Biberschwanzziegel, Unterdach wurde kürzlich erneuert. Spuren eines Wassereintritts sichtbar.</t>
  </si>
  <si>
    <t>s. Rohbau; Natursteingewände, keine Mängel feststellbar</t>
  </si>
  <si>
    <t>Holzfenster IV (Glas: Silverstar N)</t>
  </si>
  <si>
    <t>Elektroleitungen im UG tw. neu</t>
  </si>
  <si>
    <t>Hoval Ultra Gas ''04</t>
  </si>
  <si>
    <t>Die Leitungen sind gem. LSV intakt, der Boiler ist älter, aber funktionstüchtig, WC-Anlagen neu</t>
  </si>
  <si>
    <t>Einbaukästen aus Holz</t>
  </si>
  <si>
    <t>Böden: Linol\nWände: verputzt</t>
  </si>
  <si>
    <t>8266|Feldbach|Sport- und Mehrzweckhalle|21371.00</t>
  </si>
  <si>
    <t>Stahlbeton</t>
  </si>
  <si>
    <t>Neues Blechdach</t>
  </si>
  <si>
    <t>Kiesklebedach; saniert -&gt; neu Schrägdach</t>
  </si>
  <si>
    <t>Isolierte Waschbetonelemente</t>
  </si>
  <si>
    <t>Metallfenster, Gläser tw. blind</t>
  </si>
  <si>
    <t>Licht Halle saniert (2000)</t>
  </si>
  <si>
    <t>ältere Lautsprecheranlage</t>
  </si>
  <si>
    <t>Fernwärme ''06 via Holzschnitzelfeuerungs- anlage SH mit WRG, Garderobe und Gymnastikhalle</t>
  </si>
  <si>
    <t>Radiatoren / Lüftungsheiz. m. Steuerung über Aussenfühler, keine Thermaostaten</t>
  </si>
  <si>
    <t>WW mit Elektroboiler und Fernwärme</t>
  </si>
  <si>
    <t>Trennwände Halle neuwertig, tw. Glas-/Metall-Innenwände</t>
  </si>
  <si>
    <t>Böden: Waschbeton, Wände: Sichtbeton und -mauerwerk, Täfer, Putz, Hallenboden neuw.</t>
  </si>
  <si>
    <t>8266|Frauenfelderstrasse 8|Hub rot|3015.00</t>
  </si>
  <si>
    <t>Ziegeldach neu, einzelne undichte Stellen noch vorhanden, Dachraum Boden isoliert</t>
  </si>
  <si>
    <t>Aussenwäremdämmung verputzt (1998)</t>
  </si>
  <si>
    <t>Alufenster im UG (Glas: Interpane ''88) mit Rafflamellenstoren</t>
  </si>
  <si>
    <t>EDV: Server neu (2005), Telefonanlage i.O</t>
  </si>
  <si>
    <t>Heizung an Hub gelb angeschlossen</t>
  </si>
  <si>
    <t>z.T. neuere Armaturen</t>
  </si>
  <si>
    <t>Geländerhöhen überprüfen!</t>
  </si>
  <si>
    <t>Böden: Linoleum, Kunststein, Keramik\nWände: verputzt\nDecken: Putz und Akustikplatten</t>
  </si>
  <si>
    <t>8266|Zelgistrasse 8|Doppelkindergarten|2601.00</t>
  </si>
  <si>
    <t>Stahlbetonbau mit Stahlstützen</t>
  </si>
  <si>
    <t>Eternitschindeldach, Stirrnbretter tw. schadhaft</t>
  </si>
  <si>
    <t>Hinterlüftete Eternitschindeln (tw. schadhaft) und Aussenwärmedämmung</t>
  </si>
  <si>
    <t>Wärmedämmglas 2-fach, Holzfenster ''95</t>
  </si>
  <si>
    <t>Keine Mängel bekannt</t>
  </si>
  <si>
    <t>Gasheizung ''95\nWarmwasser wird mit Gas erwärmt</t>
  </si>
  <si>
    <t>Radiatoren mit Thermostaten, tw. mit Elektrosteuerung</t>
  </si>
  <si>
    <t>neuwertige Armaturen und Apparate.</t>
  </si>
  <si>
    <t>Leitungen i.O, Sickerleitungen neu</t>
  </si>
  <si>
    <t>Einbauten Holz, Küche</t>
  </si>
  <si>
    <t>Wände verputzt o. Glasfaser-Tapeten\nBöden: Keramik und Holz\nDecken; Holztäfer oder verputzt</t>
  </si>
  <si>
    <t>8266|Hubstrasse|Hub blau|3928.00</t>
  </si>
  <si>
    <t>3-fach WD-Glas</t>
  </si>
  <si>
    <t>Brüstungskanäle</t>
  </si>
  <si>
    <t>Erdwärmepumpe inkl. WW</t>
  </si>
  <si>
    <t>5620|Badstrasse 3|Schulhaus Isenlauf|21342.00</t>
  </si>
  <si>
    <t>Sanierung 2000 mit Foamglas</t>
  </si>
  <si>
    <t>Eternitschideln, hinterlüftet</t>
  </si>
  <si>
    <t>Holz-/Metall ''87, Rafflamellenstoren</t>
  </si>
  <si>
    <t>alte Beleuchtung</t>
  </si>
  <si>
    <t>Schliessanlage Elostar</t>
  </si>
  <si>
    <t>Fernwärme</t>
  </si>
  <si>
    <t>tw. Radiatoren mit Thermostaten (seit Anschl. Fernwärme Luft in Leitungen</t>
  </si>
  <si>
    <t>Leitungen alt, kein hoher Druck vorh., im Neubau ok.&lt;br&gt;</t>
  </si>
  <si>
    <t>Wände: Gipskarton, gestrichen</t>
  </si>
  <si>
    <t>Böden: Linol, Kunststein, Hartbeton in Werkräumen&lt;br&gt;Decken: Spritz-/Akustikputz&lt;br&gt;Wände: Putz/Abrieb</t>
  </si>
  <si>
    <t>5620|Klosterweg 6|Kindergarten Unterstadt|2218.00</t>
  </si>
  <si>
    <t>Neubau (Anbau) massiv, Altbau: Holzdekce</t>
  </si>
  <si>
    <t>Warmdach m. Ziegeleindeckung und Lukarnen</t>
  </si>
  <si>
    <t>MW, tw. verputzt und tw. Eternit, hinterlüftet</t>
  </si>
  <si>
    <t>alte Fenster auf Südseite, neu auf Nordseite</t>
  </si>
  <si>
    <t>Radiatoren und tw. Bodenheizung (Neubau)</t>
  </si>
  <si>
    <t>Apparate ''05, Küche i.O.</t>
  </si>
  <si>
    <t>Simse, innere Verglasungen</t>
  </si>
  <si>
    <t>B: Linol/Keramik, W: Putz o. Glasfasertapete m. Anstrich, D: verputzt und gestrichen, tw. Heraklit</t>
  </si>
  <si>
    <t>9470|Hanflandstr. 5|Turnhalle|5663.00</t>
  </si>
  <si>
    <t>Stahlbeton und Mauerwerk</t>
  </si>
  <si>
    <t>Kiesdach, isoliert</t>
  </si>
  <si>
    <t>Sichtmauerwerk, Beton gestrichen, tw. Verputz (kleinere Abplatzungen vorhanden)</t>
  </si>
  <si>
    <t>Metall- und Holzfenster, RL-Storen, Metallaussentüre</t>
  </si>
  <si>
    <t>neuere Sicherungen</t>
  </si>
  <si>
    <t>Uhr, Gong, Funktelefon</t>
  </si>
  <si>
    <t>Radiatoren und Konvektoren mit Raumthermostaten, Garderoben: Radiatoren mit Thermostaten</t>
  </si>
  <si>
    <t>Apparate neuwertig</t>
  </si>
  <si>
    <t>Garderoben, Einbauschränke, Sprossenwand</t>
  </si>
  <si>
    <t>B: Turnhallenboden, Parkett, PVC, Keramik, W: Beton, Keramik, KS im Aussengeräteraum, Garderobe: Farbe über Fenster blättert ab, D: Täfer, Verputz, Beton roh (Feuchtigkeitsflecken im Aussengeräteraum ersichtlich)</t>
  </si>
  <si>
    <t>9470|Hanflandstr. 3|Kindergarten / HW-Wohnung|1320.00</t>
  </si>
  <si>
    <t>Mauerwerk und Stahlbeton</t>
  </si>
  <si>
    <t>Kiesdach, bittuminös (konnte nicht besichtigt werden)</t>
  </si>
  <si>
    <t>Sichtmauermauerwerk, Stahlbeton, Balkon mit Wintergarten-Verglasung über Aussentreppe</t>
  </si>
  <si>
    <t>Holz-Metall 2001, RL-Storen elektr.</t>
  </si>
  <si>
    <t>zentrale Uhr, Gong</t>
  </si>
  <si>
    <t>Apparate und Armaturen ohne Mängel, WM/WT, Boiler</t>
  </si>
  <si>
    <t>Leitungen ohne Mängel</t>
  </si>
  <si>
    <t>Garderobe, Einbauschränke, Küche</t>
  </si>
  <si>
    <t>B: Parkett, Laminat, Keramik, Zement, W: Glasfasertapete, Keramik, Verputz, D: Verputz, Heraklith, Risse in Decke Bad HW-Wohnung</t>
  </si>
  <si>
    <t>9470|Birkenaustrasse 12|Kindergarten-Pavillon Birkenau|1812.00</t>
  </si>
  <si>
    <t>Holzständerbau, Fundament z.T. gemauert und unterlüftet, z.T. betoniert</t>
  </si>
  <si>
    <t>Sattel- und Pultdach mit Falzziegel und bituminöser Dichtungsschicht im Anbau, Feuchtigkeitsflecken auf Dachboden vorhanden (Ursache abklären!)</t>
  </si>
  <si>
    <t>Holz, gestrichen im Hauptgebäude</t>
  </si>
  <si>
    <t>Holz, Holz-/Metall (''12), Dreifach-Verglasung im Anbau, RL-Storen elektr.</t>
  </si>
  <si>
    <t>tw. alte Keramiksicherungen, Aufputztableau (Abklärung, ob Grundplatte asbesthaltig ist)</t>
  </si>
  <si>
    <t>Radiatoren ohne und tw. mit Thermostaten</t>
  </si>
  <si>
    <t>Apparate neuwertig, Boiler vermutlich Jahrgang ''66</t>
  </si>
  <si>
    <t>Leitungen wahrscheinlich älter, aber ohne Mängel</t>
  </si>
  <si>
    <t>Garderobe, Einbauschränke, Schiebetüre, Küche, Innentüren aus Glas-/Holz</t>
  </si>
  <si>
    <t>B: Gummi, Kork, W: Täfer tw. Verputz, D: Täfer</t>
  </si>
  <si>
    <t>9470|Heldaustrasse 48|Aula OZ Flös|2117.00</t>
  </si>
  <si>
    <t>Stahlbeton und Natursteinmauerwerk</t>
  </si>
  <si>
    <t>Extensivbegrünung (konnte nicht besichtigt werden)</t>
  </si>
  <si>
    <t>Naturstein und Stulpschalung aus Zinkblechen, bei starkem Wind hebt es zum Teil die Platten der Aussenfassade ab, tw. Holz bei Bibliothek</t>
  </si>
  <si>
    <t>Holzmetall (''94/10), RL-Storen elektr., automatische Schiebetüre aus Metall/Glas, Bühnentor, Fluchttüre aus Metall</t>
  </si>
  <si>
    <t>neuere Sicherungen, Bühnentechnik, Beleuchtung</t>
  </si>
  <si>
    <t>Gong</t>
  </si>
  <si>
    <t>Heizlüftung, Radiatoren mit Thermostaten, tw. Bodenheizung</t>
  </si>
  <si>
    <t>Bühne mit integriertem Tischmagazin, Holzschiebewand, Küche, Holztreppe im Bühnenbereich</t>
  </si>
  <si>
    <t>B: Parkett, Laminat, Teppich, Klinker, W: Sichtbeton, Pressspanplatten, Keramik, Verputz, D: Täfer, gelochte Metalldecke, tw. Beton</t>
  </si>
  <si>
    <t>9470|Heldaustrasse 50|Schulanlage / Hallenbad|57081.00</t>
  </si>
  <si>
    <t>Glasbausteine, Cupolux, Oblichter aus Metall, Glasbausteine, Dach begehbar, Extensivbegrünung</t>
  </si>
  <si>
    <t>Naturstein, Stuplschalung aus vorbewitterten Zinkblechen, Gewände aus Blech</t>
  </si>
  <si>
    <t>Holz-/Metall, tw. Schiebefenster, Kunststoff, IV, Doppelverglasung, RL-Storen, Pfostenriegelsystem (''99), elektr. Glas-/Metallschiebetüre in Tiefgarage</t>
  </si>
  <si>
    <t>Beleuchtung</t>
  </si>
  <si>
    <t>Uhr, Gong, EDV</t>
  </si>
  <si>
    <t>Radiatoren mit Thermostaten, tw. Bodenheizung, Lüftung</t>
  </si>
  <si>
    <t>neuere Apparate, keine Mängel bekannt</t>
  </si>
  <si>
    <t>Garderobe, Einbauschränke, Glastrennwände (''06) im EG Hallenbad, Küche, Metallgitter und -türen</t>
  </si>
  <si>
    <t>B: Klinker, Parkett, Linol, Keramik, Kork, Gummi, Zementüberzug, Turnhallenboden, W: Verputz, Sichtbeton, D: Metall, Täfer, abgehängt, Beton gestrichen</t>
  </si>
  <si>
    <t>Aufzug ohne Mängel</t>
  </si>
  <si>
    <t>9470|Flösweg 3|Kindergarten-Pavillon|832.00</t>
  </si>
  <si>
    <t>Holzbau</t>
  </si>
  <si>
    <t>Kiesdach (konnte nicht besichtigt werden)</t>
  </si>
  <si>
    <t>Holz</t>
  </si>
  <si>
    <t>Kunststofffenster (''00), RL-Storen, Aussentüre aus Metall</t>
  </si>
  <si>
    <t>alte Keramiksicherungen und Schalter, Telefonanschluss, Beleuchtung</t>
  </si>
  <si>
    <t>Apparate älter, aber funktionstüchtig, Boiler</t>
  </si>
  <si>
    <t>Durchfluss ok</t>
  </si>
  <si>
    <t>Garderobe, Küche, Fenstersimse und Innentüren aus Holz</t>
  </si>
  <si>
    <t>B: Linol, Zementüberzug, W: Holzwerkstoffplatten, Verputz, D: Akustikd., Verputz</t>
  </si>
  <si>
    <t>9470|Volksgartenstrasse 12|Schulhaus Kappeli|7874.00</t>
  </si>
  <si>
    <t>Mauerwerk, Stahlbetondecken</t>
  </si>
  <si>
    <t>Satteldach mit Falzziegel, Holzwerk mängelfrei, Dachuntersichten z.T. verwittert, Spenglerabschlüsse rel. neu, Garage: zweiseitiges Pultdach</t>
  </si>
  <si>
    <t>Mauerwerk verputzt, RL-Storen, Metallgewände</t>
  </si>
  <si>
    <t>Holz-Metall (''93), Kunststoff, RL-Storen elektr., Holztüren, Metall-/Glastüre, Garagentore</t>
  </si>
  <si>
    <t>Gong, EDV, Beamer</t>
  </si>
  <si>
    <t>Apparate zeitgemäss, Waschküche, Leitungen: keine Mängel bekannt</t>
  </si>
  <si>
    <t>Garderobe, Einbauschränke, Küche, Innentüren aus Holz</t>
  </si>
  <si>
    <t>B: PVC, Linol, Kunststein, Asphaltplatten, Zementüberzug, W: Verputz, D: Täfer, Akustikd.</t>
  </si>
  <si>
    <t>3032|Bergfeldstrasse 8|Wohn- und Geschäftshaus|1840.00</t>
  </si>
  <si>
    <t>Senkungen vorh. z.Z. stabil, tw. Risse, rep.</t>
  </si>
  <si>
    <t>Ziegeldach, isol., im Estrich Abteile für Wg.</t>
  </si>
  <si>
    <t>Fachwerk, verp. Ausfachungen / Holzschindeln, Sockelbereich im 2011/12 san., Holztäfer, Glasanbau (Windfang), Laube Holz</t>
  </si>
  <si>
    <t>Doppelvergl. (keine IV) Holzf. m. Sprossen, Stoffstoren</t>
  </si>
  <si>
    <t>tw. alte Keramiksicherungen</t>
  </si>
  <si>
    <t>Luft-/Luft-WP (wird 2012 ersetzt), Oelbrenner als Notheizung (lief in den letzten 2 Jahren permanent!), WW über dezentr. Boiler in Wohnungen (3. Stk.), Kachelofen in Betrieb</t>
  </si>
  <si>
    <t>WM/WT neu, App. i.O.</t>
  </si>
  <si>
    <t>ev. Undichtigkeit vorh. (Wasserschaden; Ursache nicht abgeklärt)</t>
  </si>
  <si>
    <t>W: Gips gestr., MW verp.&lt;br&gt;im DG D: Täfer, W: Täfer</t>
  </si>
  <si>
    <t>B: PVC/Linol, Keramik, Teppich in DG&lt;br&gt;W: Täfer, Gips gestr., Keramik&lt;br&gt;D: Gips gestr.</t>
  </si>
  <si>
    <t>Küchen wurden ''13/''14 ersetzt</t>
  </si>
  <si>
    <t>3032|Dorfstrasse 45|Feuerwehrmagazin/3 Wohnungen|6160.00</t>
  </si>
  <si>
    <t>Stahlbeton, im Boden Risse, wahrsch. d. Setzungen, san. KS-Wände roh</t>
  </si>
  <si>
    <t>Kiesklebedach, san. n. Wassereintritt Oblicht in Wg. mit Glasbausteinen</t>
  </si>
  <si>
    <t>Betonelemente, Fugen i.O.</t>
  </si>
  <si>
    <t>Metallfenster, IV, Glasbausteinen EG</t>
  </si>
  <si>
    <t>Alte LS-Röhren (Leuchtmittel), alle Sicherungen Keramik</t>
  </si>
  <si>
    <t>Oelheizung/Brenner vor ca. 4. Jahren ersetzt, Heizlüftungen ok., Lüftung/Heizl. in Schulraum</t>
  </si>
  <si>
    <t>Radiator m. Thermostat, auch in Schutzraum, Heizlüfter ok</t>
  </si>
  <si>
    <t>WC, Spaltanlage (f. Reinigung Abwasser), EG ok</t>
  </si>
  <si>
    <t>tw. saniert nach Leitungsbruch, tw. rostig (s. UG) -&gt; immer noch rostig</t>
  </si>
  <si>
    <t>Innentüren aus Holz, guter Zustand</t>
  </si>
  <si>
    <t>B: Parkett, Bad/Küche Keramikpl., in Schulungsraum Gussasphalt und Hartbeton, gestr. (wird ersetzt) W: Putz, gestr., Bad: Keramik D: Putz, gestr., Heraklitpl.</t>
  </si>
  <si>
    <t>Küche Ersatz ''13</t>
  </si>
  <si>
    <t>3034|Schulstrasse 4|Schulhaus, Pausenhalle , Kita|7481.00</t>
  </si>
  <si>
    <t>Nach Brand ersetzt, im Dachboden isoliert</t>
  </si>
  <si>
    <t>Zweischalenmauerwerk, verputzt, neu gestr./verp.</t>
  </si>
  <si>
    <t>Holz-/Metallfenster, IV, Stoffstoren, Eingangstüren aus Metall / Windfang undicht</t>
  </si>
  <si>
    <t>Oelheizung ''04 für ganze Schulanlage</t>
  </si>
  <si>
    <t>Rad. m. Thermostaten</t>
  </si>
  <si>
    <t>Leitungen: ausr. Druck</t>
  </si>
  <si>
    <t>Wandschränke/Arbeitssimse, Glastrennw. im EG</t>
  </si>
  <si>
    <t>Klassenzimmer: B: Linol, Keramik, Putzraum:Kstst.,  Werkräume: Parkett/Linol, D: Akustik/Täfer, Akustikd. in Werkräumen Sritzputz, Zellulose, W: Putz/Täfer</t>
  </si>
  <si>
    <t>3034|Schulstrasse 5|Turnhalle und Lehrschwimmbecken|9627.00</t>
  </si>
  <si>
    <t>Stahlbeton, Mauerwerk, tw. Risse bei Innenwänden</t>
  </si>
  <si>
    <t>Ziegeldach; Dachraum konnte nicht besichtigt werden</t>
  </si>
  <si>
    <t>Flachdachteil Foyer und Verbindungsgänge</t>
  </si>
  <si>
    <t>Zweischalen- Mauerwerk, Eternitschindeln</t>
  </si>
  <si>
    <t>Im Foyer: Metallf. ''98, Holzf. in Turnhalle, 3-fach Vergl.</t>
  </si>
  <si>
    <t>Beleuchtung TH neu, in Lehrschwimmbecken neu</t>
  </si>
  <si>
    <t>Lautsprecheranlage</t>
  </si>
  <si>
    <t>Wärmepumpe</t>
  </si>
  <si>
    <t>Bodenheizung in Lehrschwimmbecken</t>
  </si>
  <si>
    <t>WC z.T. älter, Druck i.O.</t>
  </si>
  <si>
    <t>Metalldecke in WC, Holztäferdecken in Turnhalle</t>
  </si>
  <si>
    <t>B: Keramik, Parkett (neu), Teppich&lt;br&gt;D: Täfer</t>
  </si>
  <si>
    <t>3034|Schulstrasse 6|Wohnhaus (2 Wohnungen)|1150.00</t>
  </si>
  <si>
    <t>Stahlbeton, Mauerwerk</t>
  </si>
  <si>
    <t>Ziegeldach</t>
  </si>
  <si>
    <t>Verp. Aussenwärmedämmung</t>
  </si>
  <si>
    <t>Holz-/Metallf. mit IV</t>
  </si>
  <si>
    <t>alte Sicherungen (Keramik)</t>
  </si>
  <si>
    <t>Oelheizung, Brenner ''10, Kessel ''82, Boiler älter</t>
  </si>
  <si>
    <t>Radiatoren m. Thermostaten</t>
  </si>
  <si>
    <t>Wandschränke (Garderobe)</t>
  </si>
  <si>
    <t>B: Parkett, Keramikpl., Laminat, Teppich, Linol, W: verputzt, D: verp. und Täfer</t>
  </si>
  <si>
    <t>wird tw. ersetzt</t>
  </si>
  <si>
    <t>3034|Schulstrasse 7|Schulhaus|3440.00</t>
  </si>
  <si>
    <t>Stahlbeton/Mauerwerk, Treppen Kunstststein</t>
  </si>
  <si>
    <t>keine sichtb. Mängel vorh.</t>
  </si>
  <si>
    <t>Zweischalen-MW, verp./Sichtbetonelem. (Fugen)</t>
  </si>
  <si>
    <t>Im UG: Holz/IV, Metalllamellenstoren</t>
  </si>
  <si>
    <t>Beleuchtung alt, ungenügend</t>
  </si>
  <si>
    <t>Uhr</t>
  </si>
  <si>
    <t>Fernwärme von Schulstr. 4, Fotovotaikanlage vorh. (wird von SOKAWE finanz.)</t>
  </si>
  <si>
    <t>Druck Leitungen normal</t>
  </si>
  <si>
    <t>Innentüren z.T. schadhaft, Simse aus Holz</t>
  </si>
  <si>
    <t>B: PVC, Klinker&lt;br&gt;W: Putz, gestr.&lt;br&gt;D: Putz, gestr., Täfer</t>
  </si>
  <si>
    <t>3034|Schulstrasse 9|Schulhaus/ZS-Anlage/Verbindungsgang|7446.00</t>
  </si>
  <si>
    <t>Holz, z.T. verzogen, Rafflamellenstoren, Dicht. spröde</t>
  </si>
  <si>
    <t>Sicherungen, Schalter</t>
  </si>
  <si>
    <t>Uhr, Gong</t>
  </si>
  <si>
    <t>Radiatoren/Konvektoren</t>
  </si>
  <si>
    <t>Leitungen und Apparate i.O.</t>
  </si>
  <si>
    <t>Holztäferwand in GR und K(EG)</t>
  </si>
  <si>
    <t>B: Kunststein, Keramik, PVC</t>
  </si>
  <si>
    <t>3032|Araweg 9|Jugendtreff (Pavillon)|1460.00</t>
  </si>
  <si>
    <t>Holzständerbau</t>
  </si>
  <si>
    <t>Trapezwellblech</t>
  </si>
  <si>
    <t>Holz, IV</t>
  </si>
  <si>
    <t>?</t>
  </si>
  <si>
    <t>P52</t>
  </si>
  <si>
    <t>P53</t>
  </si>
  <si>
    <t>WM, Leitungen haben etwas wenig Druck</t>
  </si>
  <si>
    <t>Holztüren, Holzböden</t>
  </si>
  <si>
    <t>B: OSP geölt, Teppich, PVC&lt;br&gt;W: roh, gestr.&lt;br&gt;D: roh</t>
  </si>
  <si>
    <t>GSP/Backofen/GLK Abluft</t>
  </si>
  <si>
    <t>3032|Hofenstrasse 54|Wohnhaus (private Kindertagesstätte)|768.00</t>
  </si>
  <si>
    <t>Fachwerkbau</t>
  </si>
  <si>
    <t>Falzziegeldach m. Lukarnen und Dachfl.fenster</t>
  </si>
  <si>
    <t>Riegel mit verp. Ausfachungen</t>
  </si>
  <si>
    <t>Holz, Doppelvergl., Holzläden</t>
  </si>
  <si>
    <t>z.T. alte Keramiksicherungen, Beleuchtung</t>
  </si>
  <si>
    <t>Stückholzfeuerung, WW-Boiler</t>
  </si>
  <si>
    <t>WM/WT, Küchen, Bad im DG</t>
  </si>
  <si>
    <t>Einbauschränke, Holzschiebetür: Bad/WC, (Holzwendeltreppe)</t>
  </si>
  <si>
    <t>B: Teppich, Linol&lt;br&gt;D: Holztäfer&lt;br&gt;W: Putz, Täfer, Keramik in Bad</t>
  </si>
  <si>
    <t>3034|Kappelenring 36/36a|Primarschule/Doppelturnhalle/KZ/WR|19011.00</t>
  </si>
  <si>
    <t>Stahlbeton, MW(KS)</t>
  </si>
  <si>
    <t>Kiesklebedach mit Oblichtkuppeln (neu)</t>
  </si>
  <si>
    <t>Sichtbeton, gestr./b. Eingang verputzt</t>
  </si>
  <si>
    <t>Holz-/Metallfenster/Rafflamellenstoren (Fenster tw. blind), Fenster &amp; Rafflamellenstoren werden ersetzt (2018-2021)*</t>
  </si>
  <si>
    <t>Beleuchtung tw. neu (''97), Bühnenbeleuchtung</t>
  </si>
  <si>
    <t>Uhr, Gong, LS-Analge, BMA nachgerüstet</t>
  </si>
  <si>
    <t>Boiler/Solaranlage/Fernwärme</t>
  </si>
  <si>
    <t>Radiatoren, Heizlüftung in TH</t>
  </si>
  <si>
    <t>In Du: KW+WW-Leitungen neu (''97), stark verrostet, LZ: Küche</t>
  </si>
  <si>
    <t>Einbauschränke, WC-Trennwände, Glastrennwände Windfang, TH-Boden wird saniert ''12/ Bühne</t>
  </si>
  <si>
    <t>B: PVC/Teppich, Keramikpl., Gumminoppenbel., Linol&lt;br&gt;W: Sichtb., KS, Kermaikpl., Akustikpl. im Musikraum, Täfer in KZ&lt;br&gt;D: Beton, gestr., Heraklit</t>
  </si>
  <si>
    <t>Lüftung Garderoben/Duschen, Heizungslüftung Turnhalle tw. saniert (Du ''98)</t>
  </si>
  <si>
    <t>3033|Schulgasse 14|Altes Schulhaus/Doppelkindergarten/Klassenzimmer/2 Whg.|2500.00</t>
  </si>
  <si>
    <t>Fachwerkbau, Holzdecken</t>
  </si>
  <si>
    <t>Falzziegeldach, Krüppelwalmdach</t>
  </si>
  <si>
    <t>Fachwerk m. verp. Ausfachungen</t>
  </si>
  <si>
    <t>Holzsprossenfenster mit Doppelvergl.</t>
  </si>
  <si>
    <t>Sonnerie, Telefon</t>
  </si>
  <si>
    <t>WM/WT, Leitungen i.O.</t>
  </si>
  <si>
    <t>Einbauschränke neu, Innentüren, Simse in KG</t>
  </si>
  <si>
    <t>B: Laminat, Gumminoppen, Parkett geölt, Linol&lt;br&gt;W: Putz, gestr., Keramikpl.schild&lt;br&gt;D: Täfer</t>
  </si>
  <si>
    <t>Küche/Küche Tagesschule und KG</t>
  </si>
  <si>
    <t>3033|Schulgasse 16|Schulhaus, Pausenhalle, ZS-Anlage|10200.00</t>
  </si>
  <si>
    <t>MW/Stahlbeton</t>
  </si>
  <si>
    <t>Tw. neu, Metall/Eternit, hinterlüftet, Aussentüren Süd neu</t>
  </si>
  <si>
    <t>Holz-/Metallf. ''91/Metallf., Metalltüre/Holzf. ''11, Eingangstüre ''16</t>
  </si>
  <si>
    <t>Beleuchtung, tw. alte Sicherungen</t>
  </si>
  <si>
    <t>Uhr, Gong, Sonnerie, Tel.</t>
  </si>
  <si>
    <t>Oelheizung (noch keine NOx!) red. von 4''000 Liter auf 2''000 Liter, Luft-/Wärmepumpe: für WW Sommer</t>
  </si>
  <si>
    <t>Leitungen rostig, Entkalkungsanlage/WC</t>
  </si>
  <si>
    <t>Glastrennwand, Einbauten, Arbeitssimse, Garderobe, Schränke in KZ</t>
  </si>
  <si>
    <t>B: Linol, Keramikpl., Kunststeintreppen, Teppich, Gussasphalt in Werkräumen&lt;br&gt;W: Putz, gestr./Täfer, Keramikschild&lt;br&gt;D: Putz, Täfer</t>
  </si>
  <si>
    <t>Küche, Aufzug</t>
  </si>
  <si>
    <t>3033|Schulgasse 18|Doppelturnhalle|12800.00</t>
  </si>
  <si>
    <t>Stahlbeton, KS-Wände, Kunststeintreppe</t>
  </si>
  <si>
    <t>Flachdach mit Rasenspielplatz</t>
  </si>
  <si>
    <t>Sichtbetonfass.</t>
  </si>
  <si>
    <t>Holz-/Metallfenster</t>
  </si>
  <si>
    <t>Hallenbeleuchtung, Leuchten im Gang neu, Sicherungen o. FI-Schalter</t>
  </si>
  <si>
    <t>Audioanlage: Ersatz ''15</t>
  </si>
  <si>
    <t>Lüftungsheizung</t>
  </si>
  <si>
    <t>WC, Duschen</t>
  </si>
  <si>
    <t>Garderobenbänke und -schränke, Innentüren</t>
  </si>
  <si>
    <t>B: Hallenboden (Ersatz ''16), Keramikpl. W: Putz, Keramik D: Täfer, lasiert, Keramikpl. Gallerie neu</t>
  </si>
  <si>
    <t>Aufzug, Lüftung tw. ersetzt, CO2-Sensor</t>
  </si>
  <si>
    <t>3033|Hauptstrasse 22|Aufbahrungsgebäude, Abdankungshalle|875.00</t>
  </si>
  <si>
    <t>Stahlbetonstützen u. -decke gg. UG, Mauerwerk</t>
  </si>
  <si>
    <t>Eternitschindeldach</t>
  </si>
  <si>
    <t>MW, verputzt, Kunststeingewände, Untersichten tw. beschädigt</t>
  </si>
  <si>
    <t>Holzfenster gestrichen m. Doppelverglasung, Aussentor im UG</t>
  </si>
  <si>
    <t>Elektroheizspeicherofen m. Raumfühler</t>
  </si>
  <si>
    <t>WC, Ausguss, Schacht mit Pumpe für Abwasser wurde nachgerüstet</t>
  </si>
  <si>
    <t>Aussen- u. Innenbeleuchtung, alte Sicherungen</t>
  </si>
  <si>
    <t>Kühlgerät</t>
  </si>
  <si>
    <t>B: Natur-/Kunststeinpl., W: verputzt, D: Täfer</t>
  </si>
  <si>
    <t>3033|Hauptstrasse 26|Verwaltungsgebäude (Gemeindehaus)|7236.00</t>
  </si>
  <si>
    <t>Stahlbeton/Mauerwerk&lt;br&gt;Stahlbetonstützen</t>
  </si>
  <si>
    <t>Kaltdach, hinterlüftet</t>
  </si>
  <si>
    <t>ext. begrünt m. Oblicht</t>
  </si>
  <si>
    <t>Verbundglas, hinterlüftet, Metallbl. hinterl., Zweisch.mauerw.</t>
  </si>
  <si>
    <t>Holz-/Metallf., 3-fach vergl., Verbundgl., IV, Rafflamellenstoren, im alten Teil z. T. verzogene Rahmen (Gewicht)</t>
  </si>
  <si>
    <t>Gegensprechanlagen, Türschliesssystem, Telefonzentrale, EDV, Induktions-Audioanlage</t>
  </si>
  <si>
    <t>Pelletheizung</t>
  </si>
  <si>
    <t>Bodenheizung im EG, Radiatoren m. Thermostaten</t>
  </si>
  <si>
    <t>Aufzug ''07</t>
  </si>
  <si>
    <t>Schalterhalle, Schalterwände aus Holz u. Glas, Glastrennwände, Innentüren, Metalltreppe im DG,</t>
  </si>
  <si>
    <t>B: Kunststein, Parkett, Keramik, Linol (OG)&lt;br&gt;W: Putz, Keramikpl.&lt;br&gt;D: Putz, gestr./Beton, gestr./Akustikputz, eingef., tw. heruntergeh. Gipsdecke (Caféteria)</t>
  </si>
  <si>
    <t>Lüftungsanlage sep. f. R., Sitzungszimmer, Cafeteria und Archiv, Pergola</t>
  </si>
  <si>
    <t>3034|Schützenweg 50|Schützenhaus|809.00</t>
  </si>
  <si>
    <t>Holzständerbau, Stahlbeton im UG</t>
  </si>
  <si>
    <t>Falzziegeldach</t>
  </si>
  <si>
    <t>Holzplatten, hinterlüftet</t>
  </si>
  <si>
    <t>Holzfenster m. IV, Holzschiebeladen und Markise, im UG: Metall-Rollläden</t>
  </si>
  <si>
    <t>Schwedenofen und Elektroofen im WC</t>
  </si>
  <si>
    <t>WC</t>
  </si>
  <si>
    <t>Stark-/Schwachstrom, Elektr. Trefferanzeige, Beleuchtung im UG, Sicherung mit FI-Schutzschalter</t>
  </si>
  <si>
    <t>Küche</t>
  </si>
  <si>
    <t>Innere Verglasungen, Innenwände aus Holz, Einbauschränke, Garderobe</t>
  </si>
  <si>
    <t>B: Keramikpl., UG: Gummischrotbelag&lt;br&gt;W: Spanplatten, natur, Täfer (Fass.wände), Putz, UG: Akutikverkl.&lt;br&gt;D: Bretterb., unisol., UG: Akustikverkl.</t>
  </si>
  <si>
    <t>3043|Schülerweg 13|Velounterstand|360.00</t>
  </si>
  <si>
    <t>Stahlkonstruktion</t>
  </si>
  <si>
    <t>Glas/Metall*</t>
  </si>
  <si>
    <t>Dachwasserablauf</t>
  </si>
  <si>
    <t>3043|Schülerweg 14|Turnhalle|8200.00</t>
  </si>
  <si>
    <t>Stahlbetonbau</t>
  </si>
  <si>
    <t>Flachdach mit Rubtanbelag</t>
  </si>
  <si>
    <t>Pfosten-/Rigelkonstr., IV-Gläser, Metalltüren m. Glas, Metallfenster im Aussengeräteraum</t>
  </si>
  <si>
    <t>Tw. Keramiksicherungen, Beleuchtung i.O.</t>
  </si>
  <si>
    <t>Tel., LS-Anlage, Uhr</t>
  </si>
  <si>
    <t>Lüftungsheiz., Radiatoren m. Thermostaten ind Schiedsrichterraum und Garderoben, Bodenheizung in Garderoben und Foyer</t>
  </si>
  <si>
    <t>Duschen i.O.</t>
  </si>
  <si>
    <t>Innere Verglasungen, Tore</t>
  </si>
  <si>
    <t>B: Keramikpl., TH-Boden, Teppich Schmutzschleuse, W: Putz, gestr., MW roh, Beton roh, D: Holz</t>
  </si>
  <si>
    <t>3043|Schülerweg 15|Primarschulhaus, ged. Pausenhalle, Anbau Nord|5319.00</t>
  </si>
  <si>
    <t>Stahlbeton, Mauerwerk, Natursteintreppe</t>
  </si>
  <si>
    <t>Falzziegeldach, Dachflächenfenster</t>
  </si>
  <si>
    <t>Kiesklebedach, ext. begrünt, Vordach: Kiesklebedach</t>
  </si>
  <si>
    <t>Eternitschindeln, Mauerwerk verputzt, Beton gestr., Holzf. bei Anbau</t>
  </si>
  <si>
    <t>Entrée: Metall, Holzfenster, Betongewände, Holz-/Metall, Rafflamellenstoren</t>
  </si>
  <si>
    <t>Beleuchtung neu</t>
  </si>
  <si>
    <t>Uhr, Gong, EDV-Leit u. -anschlüsse</t>
  </si>
  <si>
    <t>Teeküche in Anbau, Küche im UG Anbau</t>
  </si>
  <si>
    <t>Einbauschränke, Kunststeinsimse, Holzsimse, Arbeitssimse</t>
  </si>
  <si>
    <t>B: Kunststein (Riss im UG), Linol in Anbau, Parkett in SL-Büro und Werkr., Gussasphalt in Stauraum&lt;br&gt;W: Putz, gestr., Täfer in KZ, Keramik in WC&lt;br&gt;D: Täfer, Akustik-Holzdecken, Spritzputz in KZ</t>
  </si>
  <si>
    <t>3043|Schülerweg 16|Turnhalle/Hauswartwhg./Heizzentrale|4497.00</t>
  </si>
  <si>
    <t>Mauerwerk, Stahlbeton, Risse in Mat.raum Boden, Decke und Wand</t>
  </si>
  <si>
    <t>Falzziegeldach; ca. ''91 nachisoliert, Unterdach i.O.; in HW-Wohnung isoliert, Dachfenster, Estrich -&gt; Zimmer umgebaut ''17</t>
  </si>
  <si>
    <t>Mauerwerk, verputzt, Beton, gestr., Eternitschindeln</t>
  </si>
  <si>
    <t>Holzf. IV (Gläser ''00) mit Vert.storen (''00), Holzf. 2-fach im Geräteraum, Aussentor zum Geräteraum isoliert</t>
  </si>
  <si>
    <t>Beleuchtung in Garderobe wurde durch LED ersetzt</t>
  </si>
  <si>
    <t>Lüftungsanlage f. Garderobe (''84), Holzschnitzelfeuerungsanlage (''90/''09)\nSteuerung defekt, keine Ersatzteile mehr erhältlich, wird ev. ersetzt durch Fernwärme</t>
  </si>
  <si>
    <t>Heizkörper mit Thermostaten in Geräteraum und vor Garderobe</t>
  </si>
  <si>
    <t>Dachwasserablauf i.O., tw. alte WC</t>
  </si>
  <si>
    <t>B: PVC-Platten, Porphyr in Garderoben, Kunststein, TH-Boden, PVC im Geräteraum&lt;br&gt;D: TH: Heraklit, Holztäfer</t>
  </si>
  <si>
    <t>3043|Schülerweg 18|Oberstufenschulhaus/Aula|17300.00</t>
  </si>
  <si>
    <t>Falzziegeldach, Holz, Stahl, Glasdach, Untersichten Holz i.O.</t>
  </si>
  <si>
    <t>Eternitschindeln, MW verp., Beton sicht, tw. gestrichen</t>
  </si>
  <si>
    <t>Holzfenster, Metalltüren/Glas, Lamellenstoren</t>
  </si>
  <si>
    <t>Beleuchtung tw. neu, Elektrovert. neu</t>
  </si>
  <si>
    <t>EDV, Uhr, Gong, Glocke, Brandmeleanlage</t>
  </si>
  <si>
    <t>Radiatoren, Konvektoren, Bodenheizung im Anbau</t>
  </si>
  <si>
    <t>Leitungen i.O., Apparate ohne Mängel</t>
  </si>
  <si>
    <t>Einbauten, Garderobenschäfte, Arbeitssimse, Glasvitrinen, neue Küchenmöbel in Lehrerzimmer</t>
  </si>
  <si>
    <t>B: Keramik, Parkett im Saal u. Werkräumen, Linol, W: Täfer, Putz, Beton roh im Anbau, Keramik in Schulkü., D: Akustikpl. (Pavatex) im DG, Beton gestr., Täfer, Heraklit</t>
  </si>
  <si>
    <t>3043|Alpenblickweg 10|Velounterstand|110.00</t>
  </si>
  <si>
    <t>Glas/Metall</t>
  </si>
  <si>
    <t>7304||Rathaus|5266.00</t>
  </si>
  <si>
    <t>7304||Alte Turnhalle|7409.00</t>
  </si>
  <si>
    <t>Kaltdach</t>
  </si>
  <si>
    <t>Massiv, o. Isolation</t>
  </si>
  <si>
    <t>IV</t>
  </si>
  <si>
    <t>Fernwärme (Holz- schnitzelfeuerungs- anlage)</t>
  </si>
  <si>
    <t>Radiatoren mit Thermostaten, im UG Heizlüfter</t>
  </si>
  <si>
    <t>WC/Küche</t>
  </si>
  <si>
    <t>Leuchten im EG neu</t>
  </si>
  <si>
    <t>Warenlift ausser Betrieb</t>
  </si>
  <si>
    <t>Wände neu gestrichen, Treppenhaus Kunststein</t>
  </si>
  <si>
    <t>8253|Schulstr. 38|Kindergarten Basadingen|1049.00</t>
  </si>
  <si>
    <t>Hourdisdecke, hinterlüftet mit Stützen</t>
  </si>
  <si>
    <t>Pfettendach m. 10cm Dämmung</t>
  </si>
  <si>
    <t>Massiv, verputzt und Holzstützen</t>
  </si>
  <si>
    <t>Holz, IV-Verglasung, Glas 3mm</t>
  </si>
  <si>
    <t>Holzschnitzelfeuerung und Elektroboiler</t>
  </si>
  <si>
    <t>Radiatoren o. Thermostaten, im neuen Anbau: Bodenheizung</t>
  </si>
  <si>
    <t>Parkettböden, Holzwände und verputzte Wände</t>
  </si>
  <si>
    <t>5620|Badstrasse 5|Sporthalle|21622.00</t>
  </si>
  <si>
    <t>Holzbau und tw. Stahlbeton, Riss im Sturz</t>
  </si>
  <si>
    <t>Dachkonstruktion aus Brettschichtholz, Oblichter, Dachdeckung vermutlich ebenfalls Eternit</t>
  </si>
  <si>
    <t>Holzkonstruktion mit Eternitplatten</t>
  </si>
  <si>
    <t>Holz-Metall (''10), IV, Metallstoren</t>
  </si>
  <si>
    <t>Turnhallenbeleuchtung, Audioanlage, Spielstandsanzeige mit Uhr, zentrale Uhr mit Gong, Notstromanlage, BMA</t>
  </si>
  <si>
    <t>Bodenheizung</t>
  </si>
  <si>
    <t>Hallenlüftung</t>
  </si>
  <si>
    <t>Lüftungskanäle im Geräteraum</t>
  </si>
  <si>
    <t>hochliegende Kanalisation, keine Mängel bekannt</t>
  </si>
  <si>
    <t>Garderoben, Office mit Kühlschrank, Tribüne, Sprossenwände, innere Verglasungen</t>
  </si>
  <si>
    <t>B: Turnhallenboden, im Eingangsbereich Beton gestrichen, Keramik, Kunststein, W+D: Holz</t>
  </si>
  <si>
    <t>5626|Schulhausstrasse 6|Schulanlage Staffeln|7672.00</t>
  </si>
  <si>
    <t>Stahlbeton und Mauerwerk, Stahlkonstruktion</t>
  </si>
  <si>
    <t>Wellblech und Eternit, Oblichter</t>
  </si>
  <si>
    <t>Eternit geschindelt und Sichtbetonplatten, Metall-/Glas</t>
  </si>
  <si>
    <t>Metall- und Holzfenster, RL-Storen, Gläser tw. blind, Windfang aus Metall/Glas</t>
  </si>
  <si>
    <t>Beleuchtung z. T. veraltet, alte Keramiksicherungen, zu schwach abgesichert, Bühnentechnik</t>
  </si>
  <si>
    <t>zentrale Uhr mit Gong, EDV, Telefon</t>
  </si>
  <si>
    <t>Ölheizung (Brenner ''92)</t>
  </si>
  <si>
    <t>Radiatoren mit Thermostaten im Altbau, Bodenheizung im Neubau</t>
  </si>
  <si>
    <t>Armaturen z.T. mit Mischventilen, bei Lavabos WC und KZ ohne WW, Leitungen: keine Mängel bekannt</t>
  </si>
  <si>
    <t>Einbauschränke, innere Verglasung, Garderoben, Küche, Bühneneinbau</t>
  </si>
  <si>
    <t>B: Linol, Schmutzschleuse, Kunststein, Keramik, Parkett, W+D: Spritzputz, Verputz, Holz, Sichtbeton, Täfer, Heraklith, Akustik</t>
  </si>
  <si>
    <t>9223|Schulstrasse 10|Primarschulanlage Halden; Schulhaus, Wohnungen|1766.00</t>
  </si>
  <si>
    <t>Mauerwerk und Holzbalkendecken, Dachstuhl trocken und schadlos, Treppen OG aus Holz</t>
  </si>
  <si>
    <t>Unterdach aus Holzschindeln, Biberschwanzziegel</t>
  </si>
  <si>
    <t>Verputzt, Sockel gestrichen, Glasbausteine im Eingangsbereich</t>
  </si>
  <si>
    <t>Kunststofffenster IV 2004, Innere Verdunklungen, seitliche Aussentüre 2005</t>
  </si>
  <si>
    <t>Aufputztableau mit alten Keramiksicherungen (ev. asbesthaltig)</t>
  </si>
  <si>
    <t>Telefon, EDV-Installationen, Sonnerie</t>
  </si>
  <si>
    <t>Heizkessel ''84 Brenner 2009</t>
  </si>
  <si>
    <t>Durchfluss in Ordnung, Boiler 2011</t>
  </si>
  <si>
    <t>Kücheapparate älter aber funktionstüchtig</t>
  </si>
  <si>
    <t>B: Linol, Parkett, Keramik, PVC und Teppich W: Putz D: Akustikdecken und Holz</t>
  </si>
  <si>
    <t>9220|Hoffnungsgut|Schulhaus (Altbau)|4079.00</t>
  </si>
  <si>
    <t>Mauerwerk mit Stahlstützen und -trägern</t>
  </si>
  <si>
    <t>Mauerwerk verputzt, tw. Holz, Lukarne mit Holzschindeln verkleidet</t>
  </si>
  <si>
    <t>Holzmetall ''93 mit Rafflamellenstoren</t>
  </si>
  <si>
    <t>Beleuchtung ''93</t>
  </si>
  <si>
    <t>Pausenglocke, Telefon, EDV</t>
  </si>
  <si>
    <t>Gasheizung ''93</t>
  </si>
  <si>
    <t>Moderne Armaturen, Sanitärleitungen intakt, Pumpenschacht mit Tauchpumpe im UG</t>
  </si>
  <si>
    <t>Innentüren aus Holz, Garderobenbänke, Einbauschränke, Arbeitssimse</t>
  </si>
  <si>
    <t>B: Beton, gestrichen im UG, Linol, Parkett, Holz und Keramik W: Glasfasertapete und Putz D: Heraklitdecken</t>
  </si>
  <si>
    <t>9220|Hoffnungsgut|Schulhaus (Neubau)|12106.00</t>
  </si>
  <si>
    <t>Stahlbeton und Metallstützen</t>
  </si>
  <si>
    <t>Doppelpultdach, Metallblecheindeckung mit Doppelstehfalz, div. Dachflächenfenster bei Dach Pausenhalle mit Metallunterkonstruktion</t>
  </si>
  <si>
    <t>Holz (Stulpschalung), verputzte Aussenwärmedämmung</t>
  </si>
  <si>
    <t>Holzmetall  94 mit Rafflamellenstoren</t>
  </si>
  <si>
    <t>Etagenverteilungen tw. mit Keramiksicherungen</t>
  </si>
  <si>
    <t>Telefon, EDV-Leitungen und Server</t>
  </si>
  <si>
    <t>Fernwärme von Benachbarten alten Schulhaus</t>
  </si>
  <si>
    <t>Apparate und Armaturen zeitgemäss und intakt, Abluft Druckerraum im DG, Leitungen i.O.</t>
  </si>
  <si>
    <t>Geländer aus Metall, Einbauten aus Holz, Grundputz im Anschluss Firstbalken gerissen, Toilettentrennwände aus Holz</t>
  </si>
  <si>
    <t>B: Parkett, Beton, Linol oder Keramikplatten W:Glasfasertapeten oder Beton, Keramikplatten im WC D: Akustikdecken aus Holz, in KZ: Täfer</t>
  </si>
  <si>
    <t>Treppenlift</t>
  </si>
  <si>
    <t>9220|Hoffnungsgut|Turnhallen, Wohnung|7282.00</t>
  </si>
  <si>
    <t>Stahlbeton und Mauerwerk, Rostflecken in Ecke Decke-Wand, vermutlich von Armierungseisen (Abklärung erforderlich)</t>
  </si>
  <si>
    <t>Dachbegrünung; teilweise stehendes Wasser (vermoost). tw. undicht (Turnhalle 2 im OG)</t>
  </si>
  <si>
    <t>Grossflächige Eternitplatten</t>
  </si>
  <si>
    <t>Holzmetallfenster ''98 IV</t>
  </si>
  <si>
    <t>Mangelhafte Absicherung der Aussenbeleuchtung wird in laufender Rechnung abgedekt</t>
  </si>
  <si>
    <t>Heizung vom benachbarten Schulhaus (Altteil)</t>
  </si>
  <si>
    <t>Alte Lüftung, jedoch funktionstüchtig</t>
  </si>
  <si>
    <t>Tw. ältere Armaturen jedoch keine Mängel sichtbar</t>
  </si>
  <si>
    <t>Bei Küche etwas reduzierter Durchfluss, ansonsten sind keine Mängel bekannt, Steigleitungen sind alt</t>
  </si>
  <si>
    <t>Einbauschränke, Küche</t>
  </si>
  <si>
    <t>B: Keramikplatten, Linol, Flüssigkunststoffboden, Kunststein, Laminat oder Parkett W: Glasfasertapete oder gestrichener Putz D: Akustikdecken oder Putz</t>
  </si>
  <si>
    <t>9220|Hoffnungsgut|Garagen, Abstellgebäude|838.00</t>
  </si>
  <si>
    <t>Stahlbeton, Stahl, Mauerwerk und KS-Sichtmauerwerk</t>
  </si>
  <si>
    <t>Die Nutzschicht des befahrbaren Dachs ist uneben (Velounterstand), das Glasdach ist intakt</t>
  </si>
  <si>
    <t>Sichtmauerwerk im EG und Anstrich im UG</t>
  </si>
  <si>
    <t>Garagentore mit Holzfenster</t>
  </si>
  <si>
    <t>Sicherungen genügend, Beleuchtung Velounterstand und Garagen</t>
  </si>
  <si>
    <t>keine Mängel, Wasseranschluss</t>
  </si>
  <si>
    <t>B: Hartbeton, gestrichen, W: Mauerwerk, gestrichen, D: Beton, gestrichen</t>
  </si>
  <si>
    <t>9220|Hoffnungsgut/(Thurblick)|Kindergartenpavillon, Gartenhaus|772.00</t>
  </si>
  <si>
    <t>Holzständerbau, Elementbau</t>
  </si>
  <si>
    <t>Extensiv begrüntes Flachdach</t>
  </si>
  <si>
    <t>Holz, vermutlich Lärche</t>
  </si>
  <si>
    <t>Holzfenster IV 2002, Rafflamellenstoren</t>
  </si>
  <si>
    <t>Neue Sicherungen mit FI-Schaltern</t>
  </si>
  <si>
    <t>WW: E-Boiler, Heizung vom Nachbargebäude</t>
  </si>
  <si>
    <t>Moderne Apparate, keine Mängel bekannt</t>
  </si>
  <si>
    <t>Durchfluss gewährleistet</t>
  </si>
  <si>
    <t>Glasstüre, Metall Schiebetüre, Küche</t>
  </si>
  <si>
    <t>B: Linol W: Glasfasertapete D: Holztäfer</t>
  </si>
  <si>
    <t>9220|Obertor 4|Schulhaus, Velounterstand|7446.00</t>
  </si>
  <si>
    <t>Stahlstützen, Mauerwerk, Natursteinsockel, Veloständer: Stahlstützen und -träger</t>
  </si>
  <si>
    <t>Dach ist nur im Bereich des Treppenhauses isoliert, Dacheindeckung: Biberschwanzziegel</t>
  </si>
  <si>
    <t>Mauerwerk, verputzt, Kunststeingewände</t>
  </si>
  <si>
    <t>Holzmetall ''88 mit Rafflamellenstoren</t>
  </si>
  <si>
    <t>Haupt- und Unterverteilungen mit neueren Sicherungen, Beleuchtung älter, aber ausreichend</t>
  </si>
  <si>
    <t>Gasheizung ''88</t>
  </si>
  <si>
    <t>Heizkörper mit Thermostat</t>
  </si>
  <si>
    <t>Reduzierter Druck in Leitungen, dezentraler Boiler, Apparate zeitgemäss</t>
  </si>
  <si>
    <t>Wandschränke und Garderoben, Treppengeländer: h= 95 cm</t>
  </si>
  <si>
    <t>B: Linol, Teppich, Keramikplatten und Parkett, Treppen aus Naturstein W: Glasfasertapeten D: Spritzputz (asbesthaltig?), Heraklitplatten und heruntergehängte Decken aus Gips</t>
  </si>
  <si>
    <t>9220|Turnerweg 4|Kindergarten Bitzi, Gerätehaus|2229.00</t>
  </si>
  <si>
    <t>Mauerwerk mit Holzbalkendecke über EG und Betondecke über UG</t>
  </si>
  <si>
    <t>Dachstuhl aus Holz, Dacheindeckung aus Biberschwanzziegeln, Ochsenauge</t>
  </si>
  <si>
    <t>Holz IV ''91, tw. alte Holzfenster DV mit echten Sprossen, Sonnenstoren aus Stoff</t>
  </si>
  <si>
    <t>Fernheizung</t>
  </si>
  <si>
    <t>Radiatoren mit Thermostat</t>
  </si>
  <si>
    <t>Zeitgemässe Armaturen und Apparate</t>
  </si>
  <si>
    <t>innere Verglasungen, Küche</t>
  </si>
  <si>
    <t>B: Linol, Keramikplatten, Treppen aus Naturstein W: Glasfasertapeten D: heruntergehängte Decke aus Gibs</t>
  </si>
  <si>
    <t>9220|Sandbänkli 4|Schulhaus Altbau|6488.00</t>
  </si>
  <si>
    <t>Mauerwerk und Holzbalkendecken</t>
  </si>
  <si>
    <t>2 Räume ausgebaut, ansonsten nicht isoliert, Biberschwanziegel</t>
  </si>
  <si>
    <t>Mauerwerk, verputzt mit Natursteingewänden und -sockel, Balkone mit Holzgeländer</t>
  </si>
  <si>
    <t>IV 3x 2012, IV 2002 Holzmetall</t>
  </si>
  <si>
    <t>Neue Sicherungen, Beleuchtung 2004, Bodendosen im EDV-Raum</t>
  </si>
  <si>
    <t>Sonnerie, BMA, EDV</t>
  </si>
  <si>
    <t>Gasheizung 2002, WW: El.-Boiler</t>
  </si>
  <si>
    <t>Armaturen älter, d.h. ohne Mischarmaturen, jedoch keine Mängel sichtbar, WM: AEG Öko-Lavamat, Feuerlöschposten</t>
  </si>
  <si>
    <t>Innere Verglasungen, Arbeitssimse mit Unterbauten und Einbauschränke, Geländer h=85cm, Küche</t>
  </si>
  <si>
    <t>B: Linol, Parkett, Zement und Keramikplatten W: Glasfaser- und Rauhfasertapete, Weissputz, tw. Holz, D: Gips und Heraklitplatten</t>
  </si>
  <si>
    <t>9220|Sandbänkli 4|Aula|2242.00</t>
  </si>
  <si>
    <t>Mauerwerk, Bruchsteine, Stahlbeton, Dachstuhl und Galerie aus Holz mit Zugrahmen horizontal</t>
  </si>
  <si>
    <t>Biberschwanzziegel, Unterdach aus Holzschindeln, isoliert, Dachflächenfenster ''11, elektrisch</t>
  </si>
  <si>
    <t>Mauerwerk, verputzt mit Kunststeingewänden</t>
  </si>
  <si>
    <t>Eingangstüre aus Metall/Glas, Holzfenster mit Metallläden, Holztor</t>
  </si>
  <si>
    <t>Saal- und Bühnenbeleuchtung</t>
  </si>
  <si>
    <t>Fernwärme vom alten Schulhaus (Gas)</t>
  </si>
  <si>
    <t>Lüftungsvorbereitung</t>
  </si>
  <si>
    <t>-</t>
  </si>
  <si>
    <t>Moderne Armaturen und Apparate</t>
  </si>
  <si>
    <t>Treppenlift, Metallgeländer, Bühnenbauten, Innentüren aus Holz/Glas</t>
  </si>
  <si>
    <t>B: Dielenboden, Parkett, Zementüberzug und Teppich W: Klinker und Natursteine D: Akustikdecken, Holz</t>
  </si>
  <si>
    <t>Küche neuwertig, mit Backofen und gewerblichem GSP</t>
  </si>
  <si>
    <t>9220|Sandbänkli|Velounterstand|744.00</t>
  </si>
  <si>
    <t>Sichtbeton</t>
  </si>
  <si>
    <t>Nacktdach, Beton roh</t>
  </si>
  <si>
    <t>8589|Bruggfeld/Rofenstrasse 20|Schulhaus, Garage, Gerätehaus, Containerhaus, Gargengerättehaus|20263.00</t>
  </si>
  <si>
    <t>Stahlbeton, Mauerwerk (Beton- und Kalksandsteine im UG) und Stahl.</t>
  </si>
  <si>
    <t>Pultdach mit Trapezwelleblechen; Insektengitter defekt</t>
  </si>
  <si>
    <t>Kiesdach, vermoost, stark verschmutzt (Russ?). Dachoblichter tw. undicht. Wurde provisorisch mit Silikon abgedichtet.</t>
  </si>
  <si>
    <t>Eternitplatten und Sichtmauerwerk (Betonsteine)</t>
  </si>
  <si>
    <t>Metall ''95, innere Verdunklung, Rafflamellen mangeln</t>
  </si>
  <si>
    <t>Beleuchtung/ Lampen immer wieder defekt</t>
  </si>
  <si>
    <t>Elektronik der Aula</t>
  </si>
  <si>
    <t>Holzheizung + Ölheizung wenn Holzheizung nicht genügend ist</t>
  </si>
  <si>
    <t>Radiatoren und Konvektoren mit Thermostaten, tw. Bodenheizung mit zentraler Steuerung (nicht in der HW- Wohnung)</t>
  </si>
  <si>
    <t>Regenwassernutzung für Toilettenspülung</t>
  </si>
  <si>
    <t>Fensterbretter, Garderoben, Einbauschränke, Arbeitssimse, Küchen, Aufzug, innere Verglasung und Rahmentüren.</t>
  </si>
  <si>
    <t>B: Linol, Teppich und Parkett W: Keramik, Tapeten und Sichtbeton D: Holz, Akustikdecken, Sichtbeton und Heraklitdecken.</t>
  </si>
  <si>
    <t>9220|Sandbänkli|Garage|341.00</t>
  </si>
  <si>
    <t>Mauerwerk, markanter Riss durch Fassade und Boden (Hangsicherung erforderlich!)</t>
  </si>
  <si>
    <t>Walmdach, nicht isoliert mit Biberschwanzziegel und Ochsenauge, Dachuntersichten verwittert</t>
  </si>
  <si>
    <t>Mauerwerk, verputzt</t>
  </si>
  <si>
    <t>Garagentore, alte Holzfenster</t>
  </si>
  <si>
    <t>Elektrospeicherheizung, Durchlauferhitzer WW</t>
  </si>
  <si>
    <t>Ausguss mit KW/WW-Anschluss, Hydrant</t>
  </si>
  <si>
    <t>Aufputztableau (Asbestverdacht), alte Keramiksicherungen</t>
  </si>
  <si>
    <t>B: Zementboden, W: Heraklit</t>
  </si>
  <si>
    <t>9220|Sandbäkli 4|Schulhaus Neubau, Pausenunterstand|11476.00</t>
  </si>
  <si>
    <t>extensive Dachbegrünung (vermoost), Zeichnungszimmer mit Dachoblichtern</t>
  </si>
  <si>
    <t>Pfosten-Riegel-System und Sichtbeton</t>
  </si>
  <si>
    <t>Fenster werden tw. ersetzt da sie blind sind, innere Verdunklung</t>
  </si>
  <si>
    <t>Zeitgemässe Installationen und Beleuchtungen</t>
  </si>
  <si>
    <t>Gong, Telefon, EDV</t>
  </si>
  <si>
    <t>Fernwärme vom alten Schulhaus</t>
  </si>
  <si>
    <t>Konvektoren und Radiatoren mit Thermostaten</t>
  </si>
  <si>
    <t>Regenwassernutzung für Toiletten, WM/WT</t>
  </si>
  <si>
    <t>Küche, Wandschränke und Arbeitssimse</t>
  </si>
  <si>
    <t>B: Parkett, Zement abgeschliffen und eingefärbt (blättert ab ) W: Sichtbeton D: Heraklit- und Akustikdecken</t>
  </si>
  <si>
    <t>Lüftungsanlage zentral für Schulküche und dezentral für Klassenzimmer mit Wärmerückgewinnung, Aufzug</t>
  </si>
  <si>
    <t>8588|Kirchstrasse|Primarschulanlage Schulhaus alt|3609.00</t>
  </si>
  <si>
    <t>Mauerwerk, Holzbalkendecken, tw. Metallstützen, KS im UG</t>
  </si>
  <si>
    <t>Falzziegel, Dachunterseite nicht isoliert</t>
  </si>
  <si>
    <t>Putz, gestrichen mit Kunststeingewänden (tw. Risse und Abplatzungen vorh.)</t>
  </si>
  <si>
    <t>Holz IV 1992, Holtläden, innere Beschattung, Brüstung niedrig, Aussentüre aus Holz mit Glasfenstern</t>
  </si>
  <si>
    <t>Aufputztableau (Asbestverdacht), alte Keramiksicherungen, Beleuchtung KZ</t>
  </si>
  <si>
    <t>Telefon, EDV-Anlage</t>
  </si>
  <si>
    <t>Gasheizung 2004</t>
  </si>
  <si>
    <t>Moderne Armaturen mit Mischventilen, Druck Leitungen genügend</t>
  </si>
  <si>
    <t>Wandschränke, Simse und innere Verglasung, Innentüren aus Holz tw. mit Glaseinsatz</t>
  </si>
  <si>
    <t>B: Linol, Parkett, Kugelgarnteppich, Keramikplatten und Beton W: Putz, Glasfasertapete D: Akustikdecken</t>
  </si>
  <si>
    <t>8589|St. Gallerstrasse 4|Primarschulanlage Schulhaus|3742.00</t>
  </si>
  <si>
    <t>Kaltdach mit Biberschwanzziegel</t>
  </si>
  <si>
    <t>Mauerwerk verputzt mit Natursteingewänden, Aussentüre aus Holz mit Glasfenstern</t>
  </si>
  <si>
    <t>Holz-/Metallfenster ''85, Dichtungen schadhaft, Rollläden im EG, Klappläden im OG/DG</t>
  </si>
  <si>
    <t>Genügende Absicherung mit FI-Schutzschaltern, tw. Aufputztableau mit alten Keramiksicherungen</t>
  </si>
  <si>
    <t>Telefon, EDV-Anlage, Pausenglocke</t>
  </si>
  <si>
    <t>Holzschnitzelfeuerungsanlage, 1 Jahr alt, versorgt alle 3 Gebäude</t>
  </si>
  <si>
    <t>Leitungen: Druck genügend, jedoch ev. tw. undicht (Roststellen an Decke), Waschmaschine, Tumbler</t>
  </si>
  <si>
    <t>Küche und div. Einbauten aus Holz, Risse im Putz (Treppenhaus u.a)</t>
  </si>
  <si>
    <t>B: Keramikplatten, Kugelgarnteppich W: Holz, Putz, gestrichen, Glasfasertapete D: Holz, Anstrich</t>
  </si>
  <si>
    <t>8589|St. Gallerstrasse 6|Kindergarten|1824.00</t>
  </si>
  <si>
    <t>Mauerwerk, Hourdisdecken, Stahlstützen, Holzbalkendecken, Dachstuhl neu</t>
  </si>
  <si>
    <t>Warmdach, neu, isoliert und ausgebaut, Dacheindeckung aus Falzziegeln, Dachfenster, Vordach Eingang bekiest</t>
  </si>
  <si>
    <t>Holzfenster ''79 nicht IV</t>
  </si>
  <si>
    <t>Tw. alte Keramiksicherungen</t>
  </si>
  <si>
    <t>Zeitgemässe Apparate und Armaturen, jedoch ohne Mischventile</t>
  </si>
  <si>
    <t>Druck genügend</t>
  </si>
  <si>
    <t>Vitrine, Küche, Treppengeländer zu niedrig, Einbauschränke</t>
  </si>
  <si>
    <t>B: Parkett, PVC, Kugelgarnteppich und Korklinol W: Glasfasertapete, Anstrich, D: Täfer, Putz</t>
  </si>
  <si>
    <t>1111|Rathausplatz 1|Rathaus|8051.00</t>
  </si>
  <si>
    <t>Natursteinmauerwerk, verputzt mit Holzbalkendecken</t>
  </si>
  <si>
    <t>Biberschwanzziegel mit Schindelunterdach, tw. vermost und undicht, mehrere Dachflächenfenster</t>
  </si>
  <si>
    <t>Natursteinmauerwerk, verputzt mit Natursteingewände</t>
  </si>
  <si>
    <t>Holz (''94), IV, Holz-Metall (''04), IV, RL-Storen</t>
  </si>
  <si>
    <t>neuere Sicherungen, Hauptsicherungen z.T. aus Keramik</t>
  </si>
  <si>
    <t>BMA, EDV, Telefonanlage</t>
  </si>
  <si>
    <t>Fernwärme, Heizung, Kachelofen im Saal</t>
  </si>
  <si>
    <t>Apparate zeitgemäss und ohne Mängel, Rostwasser bei der Dusche im OG</t>
  </si>
  <si>
    <t>Personenaufzug keine Mängel bekannt</t>
  </si>
  <si>
    <t>neue Teeküche und ältere Küche mit Herd und Backofen, zusätzliche Küche mit GSP in Wohnung, neuere Innentüre zu Dachraum aus Glas-/Metall, div. Einbauten, Glaswände, Metallglastrennwand im EG</t>
  </si>
  <si>
    <t>B: Keramik, Teppich, Laminat, Klinker, Naturstein, Holzplatten, Kunststein, Linol, Kugelgarn, W: Verputz, Rauhfasertapete D: Holz, Verputz, abgehängte Akustikdecken</t>
  </si>
  <si>
    <t>9225|Hoferberg|Primarschulanlage Schulhaus, Turnhalle|6425.00</t>
  </si>
  <si>
    <t>Stahlbeton und Mauerwerk, Dachstuhl aus Holz</t>
  </si>
  <si>
    <t>Kaltdach aus Stahl und Holzbalken, Dacheindeckung aus Welleternit</t>
  </si>
  <si>
    <t>Schulhaus ''06, Turnhalle ''99, Rafflamellenstoren</t>
  </si>
  <si>
    <t>Beleuchtung Halle und KZ, tw. alte Keramiksicherungen, Bühnentechnik</t>
  </si>
  <si>
    <t>Fernwärme vom benachbartem Gebäude</t>
  </si>
  <si>
    <t>Armaturen schon älter, jedoch funktionstüchtig, Feuerlöschposten</t>
  </si>
  <si>
    <t>Ablauf der Dusche mangelhaft</t>
  </si>
  <si>
    <t>Wandschrank, Arbeitssimse und Garderoben, Bühnenausstattung</t>
  </si>
  <si>
    <t>B: Laminat, Parkett (Bühne) Linol und Kunststeinplatten  D: Holz (Pavatex), Heraklitdecken, Anstrich, W: Putz, Anstrich</t>
  </si>
  <si>
    <t>9225|Hoferberg|Primarschulanlage Schulhaus, Wohnungen|2719.00</t>
  </si>
  <si>
    <t>Mauerwerk mit Holzbalkendecken</t>
  </si>
  <si>
    <t>Ein Zimmer ausgebaut und isoliert, sonst Kaltdach, Dacheindeckung aus Bieberschwanzziegeln, Wasserflecken beim Unterdach!</t>
  </si>
  <si>
    <t>Terrasse, Zementplatten, tw. Nacktdach (vermoost)</t>
  </si>
  <si>
    <t>Spritzputz und Natursteingewände</t>
  </si>
  <si>
    <t>Doppelverglasung, ''91/''94''/''06, Holzläden (tw. verwittert), ältere Markise, Rafflamellenstoren Aussentüre aus Holz (undicht)</t>
  </si>
  <si>
    <t>Beleuchtung, Aufputztableau (Asbestverdacht), tw. alte Keramiksicherungen, tw. mit FI-Schalter</t>
  </si>
  <si>
    <t>Telefon, TV und EDV in der HW-Wohnung</t>
  </si>
  <si>
    <t>Ölheizung ''01, heizt zusätzlich Schulhaus und Turnhalle</t>
  </si>
  <si>
    <t>Dusche, WM/WT, Apparate und Armaturen älter, ohne Mischventile</t>
  </si>
  <si>
    <t>Einbauschränke, Holzgeländer (Höhe kontrollieren), Einbauküchen</t>
  </si>
  <si>
    <t>B: Linol, Parkett, Keramik, Teppich, Beton (Keller) und Teppich W: Glasfasertapete, Kermaikplatten und Putz D: Verputzt und Holztäfer</t>
  </si>
  <si>
    <t>9220|Blidegg|Primarschulanlage Schulpavillon|596.00</t>
  </si>
  <si>
    <t>Holzständerbau auf Streifenfundamenten</t>
  </si>
  <si>
    <t>Dacheindeckung aus Falzziegeln, Spenglerarbeiten i.O.</t>
  </si>
  <si>
    <t>Aussenwärmedämmung (80er Jahre),  Putz (Riss vorh., Verfärbungen) und Holzwerkstoffplatten</t>
  </si>
  <si>
    <t>Holzfenster (Alter unbekannt), Rafflamellenstoren, Aussentüre aus Holz mit Glaseinsatz</t>
  </si>
  <si>
    <t>Beleuchtung, tw. schwach abgesichert (Stromausfälle)</t>
  </si>
  <si>
    <t>Sonnerie</t>
  </si>
  <si>
    <t>Toiletten mit WW/KW</t>
  </si>
  <si>
    <t>Einbauschränke und Arbeitssimse</t>
  </si>
  <si>
    <t>B: Linol und PVC W: Holz, Keramikplatten D: Holz</t>
  </si>
  <si>
    <t>9220|Blidegg 4|Primarschulanlage Schulhaus, Velounterstand|1241.00</t>
  </si>
  <si>
    <t>Kalkstein und Holzbalkendecken, Veloständer aus Stahl</t>
  </si>
  <si>
    <t>Dachraum ausgebaut und isoliert, Eindeckung mit Falzziegeln, Veloständer Welleternit, Vordach Eingang</t>
  </si>
  <si>
    <t>Mauerwerk, verputzt mit Kunststeingewänden, Sockel gestrichen, tw. verschmutzt</t>
  </si>
  <si>
    <t>Holzmetall ''95, Fensterläden aus Metall, Aussentüren aus Holz</t>
  </si>
  <si>
    <t>Genügende Absicherung mit FI-Schaltern, Beleuchtung Klassenzimmer</t>
  </si>
  <si>
    <t>Sonnerie, Telefon, EDV</t>
  </si>
  <si>
    <t>Ölheizung ''85, Brenner neuer, sep. Boiler im DG</t>
  </si>
  <si>
    <t>Toiletten ohne WW, Leitungen i.O.</t>
  </si>
  <si>
    <t>Riss in Grundputz, Einbauschränke und Garderoben, Holzrahmentüren. Treppengeläder: h= 85 cm, Küche</t>
  </si>
  <si>
    <t>B: Parkett, Linol, PVC, Kunststein, Keramik, Zementüberzug mit Anstrich , W: Glasfasertapete, Putz D: Täfer und Putz</t>
  </si>
  <si>
    <t>9220|Ibergstrasse|Kindergarten, Spielhaus und Anbau|1195.00</t>
  </si>
  <si>
    <t>Mauerwerk mit Dachstuhl aus Holz</t>
  </si>
  <si>
    <t>Falzziegeldach, Dachraum isoliert, Glasvordach mit Metallkonstruktion, Untersicht verwittert</t>
  </si>
  <si>
    <t>Putz, Aussenwärmedämmung, Holz, Gewände aus Blechen, Ausstüren aus Holz mit Glaseinsatz</t>
  </si>
  <si>
    <t>Doppelverglasung ''98, Rafflamellen, tw. Stoffrollos</t>
  </si>
  <si>
    <t>Aufputztableau, tw. alte Keramiksicherungen</t>
  </si>
  <si>
    <t>Ölheizung Low-NOx, Oeltank oberirdisch in sep. Raum an Fassade angebaut</t>
  </si>
  <si>
    <t>Moderne Apparate, WW/KW-Armaturen ohne Mischer</t>
  </si>
  <si>
    <t>Keine Mängel sichtbar</t>
  </si>
  <si>
    <t>Innere Verglasung, Heruntergehängte Decke, gewölbt, Küche, Wandschränke, Simse, Geländer aus Metall mit Handlauf aus Holz</t>
  </si>
  <si>
    <t>B: Korklinol, Parkett, und Keramikplatten W: Glasfasertapete D:Akustikdecken</t>
  </si>
  <si>
    <t>8589|St. Gallerstrasse|Primarschulanlage Mehrzweckgebäude|13247.00</t>
  </si>
  <si>
    <t>Dachstuhl aus Holz, Dachraum teilweise isoliert und ausgebaut, Dacheindeckung aus Falzziegeln</t>
  </si>
  <si>
    <t>Mauerwerk mit Spritzputz, gestrichen, Kunststeinfensterbänke</t>
  </si>
  <si>
    <t>Holzfenster 91 IV, Rafflamellenstoren, Eingangstüren Metall/Glas</t>
  </si>
  <si>
    <t>Genügende Absicherung mit FI-Schutzschaltern, Bühnentechnik, Beleuchtung und Audioanlage</t>
  </si>
  <si>
    <t>Fernwärme, Wärmerückgewinnung bei Lüftung</t>
  </si>
  <si>
    <t>Radiatoren mit Thermostaten, Turnhalle mit Bodenheizung</t>
  </si>
  <si>
    <t>Lüftungsaggregat befindet sich im Turnhallendachraum und im Keller</t>
  </si>
  <si>
    <t>Lüftung für Turnhalle und Küchenabluft</t>
  </si>
  <si>
    <t>Armaturen und Apparate neuwertig und funktionstüchtig</t>
  </si>
  <si>
    <t>genügender Druck vorhanden, WW-Leitungen isoliert</t>
  </si>
  <si>
    <t>Heruntergehängte Metalldecke, Einbaukästen,  Schiessanlage, Handläufe.</t>
  </si>
  <si>
    <t>B: PU (Turnhallenboden), Linol, Keramik, Teppich und Parkett W: div. Putzschäden, Täfer D: Putz, gestrichen, Beton roh und Täfer</t>
  </si>
  <si>
    <t>5620|Badstrasse 1|Dienstgebäude|1132.00</t>
  </si>
  <si>
    <t>Kiesklebedach, bituminös, z.T. vermoost</t>
  </si>
  <si>
    <t>Sichtbeton, Balkone aus Stahlbeton, Windfang im OG, Brüstungen und NW-Fassade verwittert</t>
  </si>
  <si>
    <t>Holz-Metall (''03), IV, RL-Storen</t>
  </si>
  <si>
    <t>z.T. alte Keramiksicherungen, Sonnerie, Telefonanschluss</t>
  </si>
  <si>
    <t>Fernwärme, vom Schulhaus</t>
  </si>
  <si>
    <t>Apparate neuwertig, keine Mängel bekannt</t>
  </si>
  <si>
    <t>keine Mängel bekannt</t>
  </si>
  <si>
    <t>Eingangtüre mit Glaseinfassung, Einbauschränke, Vorhangbretter</t>
  </si>
  <si>
    <t>B: Keramik, Laminat, Parkett, Zementüberzug, W+D: Verputz, KS-Wände gestrichen</t>
  </si>
  <si>
    <t>Küche neuwertig, mit GSP, Kühlschrank</t>
  </si>
  <si>
    <t>9470|Volksgartenstrasse 12|Pavillon Hilfsschule|2052.00</t>
  </si>
  <si>
    <t>Kiesdach, Wasserschaden im Dach, undichte Stellen vorhanden, (Dach konnte nicht besichtigt werden)</t>
  </si>
  <si>
    <t>Holz, RL-Storen (tw. mangelhaft), Metall-/Glastüre</t>
  </si>
  <si>
    <t>alte Keramiksicherungen, Beleuchtung älter</t>
  </si>
  <si>
    <t>Apparate zeitgemäss, Boiler</t>
  </si>
  <si>
    <t>Garderoben, Einbauschränke, Innentüren aus Holz, Küche</t>
  </si>
  <si>
    <t>B: PVC, Linol, Kork, Zementüberzug, Kugelgarn, W: Verputz, Kokosfasertapeten, tw. Täfer, D: Akustikd., Täfer</t>
  </si>
  <si>
    <t>8588|Kirchstrasse|Primarschulanlage Schulhaus Mittelbau|3462.00</t>
  </si>
  <si>
    <t>Stahlbeton, Mauerwerk, Brettschichtträger, Stahlträger/-stütze</t>
  </si>
  <si>
    <t>Kaltdach mit Holzschindeln und Falzziegeln</t>
  </si>
  <si>
    <t>Mauerwerk, verputzt, Kunststeinelemente, Brunnen aus Naturstein</t>
  </si>
  <si>
    <t>3 Verglasung 2013 IV, Holzlamellen und Rafflamellenstoren</t>
  </si>
  <si>
    <t>Alte Keramiksicheurungen, Etagenverteilung neuer mit FI-Schaltern, Beleuchtung neuer</t>
  </si>
  <si>
    <t>Sonnerie, Audioanlage, Telefon</t>
  </si>
  <si>
    <t>Fernwärme vom alten Gebäude</t>
  </si>
  <si>
    <t>Armaturen und Apparate zeitgemäss und ohne Mängel, Durchfluss gewährleistet, Elektroboiler</t>
  </si>
  <si>
    <t>Arbeitsimse, Geländerhöhe der Treppe ist nicht hoch genug, herunterhängende Metalldecke, Küche LZ neu, Riss in Grund- und Deckputz (überstrichen), Innentüren und WC-Trennwände aus Holz</t>
  </si>
  <si>
    <t>B: Linol, Keramikplatten, Kunststeinplatten (Treppe) und Parkett W: Glasfasertapete und Putz, gestrichen D: Holztäfer und Putz, gestrichen</t>
  </si>
  <si>
    <t>5620|Kapuzinerhügel 5|Kindergarten Kapuzinerhügel|1615.00</t>
  </si>
  <si>
    <t>Stahlbetonbau, Risse in Fassade vorh.</t>
  </si>
  <si>
    <t>Kiesklebedach</t>
  </si>
  <si>
    <t>Sichtbeton, tw. verputzt, Risse und stellenw. durchfeuchtet</t>
  </si>
  <si>
    <t>Holzfenster, Scheiben z.T. blind</t>
  </si>
  <si>
    <t>alte Sicherungen, Leuchten</t>
  </si>
  <si>
    <t>Fernwärme via Nachbargebäude</t>
  </si>
  <si>
    <t>Konvektoren m. Thermostaten</t>
  </si>
  <si>
    <t>alter WW-Boiler, Kaffeeküche i.O.</t>
  </si>
  <si>
    <t>Risse in Innenwänden</t>
  </si>
  <si>
    <t>D: Täfer, Anstrich, B: PVC, Kunststein, W: Täfer</t>
  </si>
  <si>
    <t>5620|Wohlerstrasse|Reussbrücke-Saal, Zwischenbau|4816.00</t>
  </si>
  <si>
    <t>Massivbau, Mauerwerk Innenwände aus Kalksandsteine</t>
  </si>
  <si>
    <t>Flachziegeldach</t>
  </si>
  <si>
    <t>Innen- und Aussenwärmedämmung</t>
  </si>
  <si>
    <t>Holz-/Metallfesnster IV ''98</t>
  </si>
  <si>
    <t>Beleuchtung ausreichend</t>
  </si>
  <si>
    <t>Lüftung Spielgruppenraum mit Küche</t>
  </si>
  <si>
    <t>Lüftung Küche/WC/Du</t>
  </si>
  <si>
    <t>Wände mit Holzwerkstoffplatten</t>
  </si>
  <si>
    <t>Wände: verputzt, Böden: Keramik, TH-Boden, Decken: verputzt, Heraklit</t>
  </si>
  <si>
    <t>5620|Kreuzmattstrasse 8|Feuerwehrlokal, SR und Wg.|5039.00</t>
  </si>
  <si>
    <t>Risse in Boden, EG liegt über SR</t>
  </si>
  <si>
    <t>Kiesklebedach m. Folie</t>
  </si>
  <si>
    <t>Doppelschalen-MW, verputzt, Risse vorh.</t>
  </si>
  <si>
    <t>Holzfenster (o. Wetterschenkel)</t>
  </si>
  <si>
    <t>alte Sicherungen, Beleuchtung</t>
  </si>
  <si>
    <t>Fernwärme, Oelfeuerung noch vorh.</t>
  </si>
  <si>
    <t>Radiatoren m. Thermostat, WG m. Bodenheizung</t>
  </si>
  <si>
    <t>Ablauf tw. undicht, KW/WW z.T. wenig Druck</t>
  </si>
  <si>
    <t>Türen i.O.</t>
  </si>
  <si>
    <t>D: in Wg. tw. Täfer, in EG Anstrich, tw. Heraklit, B: Hartbeton, in Wg. Teppich</t>
  </si>
  <si>
    <t>Druckluft (Kompr. ''09), Schlauchwaschanlage</t>
  </si>
  <si>
    <t>5620|Wohlerstrasse|Casino|8672.00</t>
  </si>
  <si>
    <t>Massiv, Boden Saal Holz</t>
  </si>
  <si>
    <t>Ziegeleindeckung</t>
  </si>
  <si>
    <t>Blechdach; Hagelschaden, geflickt</t>
  </si>
  <si>
    <t>Mauerwerk, verputzt, Dämmung ungenügend</t>
  </si>
  <si>
    <t>DV, alt, Rolläden im OG und innere Verdunklung</t>
  </si>
  <si>
    <t>genügende Absicherungen seit Ersatz, Bühnentechnik veraltet</t>
  </si>
  <si>
    <t>Fernwärme, Lüftungsheizung</t>
  </si>
  <si>
    <t>Bühnenteil kann nicht geheizt werden</t>
  </si>
  <si>
    <t>Lüftung für UG und EG sep.</t>
  </si>
  <si>
    <t>Du/WC Garderoben i.O.</t>
  </si>
  <si>
    <t>Bühne und Einrichtungen z.T. schadhaft und veraltet</t>
  </si>
  <si>
    <t>B: Parkett, z.T. defekt</t>
  </si>
  <si>
    <t>Küche i.O., jedoch nicht den Bedürfnissen angepasst</t>
  </si>
  <si>
    <t>5620|Obertorplatz|Stadtschulhaus|17099.00</t>
  </si>
  <si>
    <t>massiv</t>
  </si>
  <si>
    <t>Eternitschindeldach, z.T. vermoost</t>
  </si>
  <si>
    <t>im Bereich Treppenhaus Kiesklebedach mit Sarnafilfolie (spröde)</t>
  </si>
  <si>
    <t>Naturstein/MW, verputzt, tw. Risse vorh.</t>
  </si>
  <si>
    <t>IV-Gläser, Holz-Metall (1/90)</t>
  </si>
  <si>
    <t>genügende Absicherungen, Beleuchtung z.T. ungenügend</t>
  </si>
  <si>
    <t>Elostar-Schliessanlage</t>
  </si>
  <si>
    <t>Wasser/Abwasser i.O.</t>
  </si>
  <si>
    <t>Innentüren i.O., leichte Risse in Wänden MW</t>
  </si>
  <si>
    <t>B: Teppich(OG), Linol (KZ), Kunststein, Parkett (Singsaal)</t>
  </si>
  <si>
    <t>Aufzugsanlage</t>
  </si>
  <si>
    <t>5620|Promenade|Promendenschulhaus|10727.00</t>
  </si>
  <si>
    <t>Kiesklebedach, bei Anbau begrünt (jährl. Kontrolle durch HW)</t>
  </si>
  <si>
    <t>Metall, hinterl.</t>
  </si>
  <si>
    <t>Holz-Metallf., Stoffstoren und Rafflamellen i.O., Anbau: Wassereintritt ''11 saniert, Rolladenkurbel: Schraube: undicht</t>
  </si>
  <si>
    <t>Radiatoren mit Thermostaten, alte Pumpen, i.O.</t>
  </si>
  <si>
    <t>Abwasserleitungen tw. mangelhaft</t>
  </si>
  <si>
    <t>Innere Verglasungen (BSG), Oblichter gg. KZ o. BSG</t>
  </si>
  <si>
    <t>B: Linol (KZ), Kunststein, W: Putz/Anstrich, D: Täfer, Putz</t>
  </si>
  <si>
    <t>5620|Gartenstrasse|Gartenschulhaus|3929.00</t>
  </si>
  <si>
    <t>Eternit, hinterlüftet</t>
  </si>
  <si>
    <t>Holz-Metall und Holz-Schiebefenster</t>
  </si>
  <si>
    <t>neuere Leuchten</t>
  </si>
  <si>
    <t>tw. Akustikdecken</t>
  </si>
  <si>
    <t>5620|Sportstrasse|Turnhalle Bärenmatt|7866.00</t>
  </si>
  <si>
    <t>Metallfenster, alt, o. Beschattung</t>
  </si>
  <si>
    <t>alte Absicherungen und Beleuchtung, Elektro zu FC-Container n. regelkonform</t>
  </si>
  <si>
    <t>Du/WC i.O.</t>
  </si>
  <si>
    <t>Hallenboden alt, aber i.O.</t>
  </si>
  <si>
    <t>B: Kunststein, W: MW-Sicht/Keramik/Anstrich, D: Anstrich, Täfer</t>
  </si>
  <si>
    <t>8556|Bernrainstr. 26|Kindergarten Haldengüetli|1487.00</t>
  </si>
  <si>
    <t>Wände Mauerwerk, Decken: Holz</t>
  </si>
  <si>
    <t>Ziegeldach mit Lukarnen</t>
  </si>
  <si>
    <t>MW, verputzt</t>
  </si>
  <si>
    <t>Holz-/Metallfenster mit IV</t>
  </si>
  <si>
    <t>Beleuchtung tw. ungenügend</t>
  </si>
  <si>
    <t>Tel. / EDV</t>
  </si>
  <si>
    <t>Bodenheiz./Radiatoren im Treppenhaus EG</t>
  </si>
  <si>
    <t>Leitungen i.O., App. alt</t>
  </si>
  <si>
    <t>D: zw. Balken: Gipskarton, Einbauschränke, Simse aus Holz</t>
  </si>
  <si>
    <t>Boden KG: Holzkork, Wände verputzt, gestr., Decken: verputzt, gestr.</t>
  </si>
  <si>
    <t>8355|Käsernstrasse 1|Kindergarten Käsernstrasse|2957.00</t>
  </si>
  <si>
    <t>Stahlbetonbau, tw. Risse in Mauerwerk</t>
  </si>
  <si>
    <t>Kiesklebedach, bituminös</t>
  </si>
  <si>
    <t>Beton/Mauerwerk, verputzt, doppelschalig, 4cm WD, z.T. Eternitschindeln, hinterlüftet</t>
  </si>
  <si>
    <t>Kunststofffenster, Stahltüre Eingang</t>
  </si>
  <si>
    <t>alte Absicherungen</t>
  </si>
  <si>
    <t>Sonnerie, Telefon, TV</t>
  </si>
  <si>
    <t>Durchfluss reduziert (KW im EG)</t>
  </si>
  <si>
    <t>Holztüren, Einbauschränke</t>
  </si>
  <si>
    <t>Linol-/Kunststein- und Keramikböden, Akustikdecken, Wände verputzt</t>
  </si>
  <si>
    <t>8355|Schulstrasse 9|Altes Schulhaus Kindergarten|3170.00</t>
  </si>
  <si>
    <t>Massivbau, Mauerwerk, Holzdecken, Feuchtigkeit im Kellerraum (Werkstatt)</t>
  </si>
  <si>
    <t>Ziegeldach, Untersichten i.O.</t>
  </si>
  <si>
    <t>Mauerwerk, verputzt, Gewände und Sockel Kunststein, gestrichen</t>
  </si>
  <si>
    <t>Holz-/Metallfenster (''00), Fensterläden in Holz, gestrichen</t>
  </si>
  <si>
    <t>neue Sicherungen</t>
  </si>
  <si>
    <t>Oelheizung</t>
  </si>
  <si>
    <t>neuere Apparate, ohne sichtbare Mängel</t>
  </si>
  <si>
    <t>Einbauschränke, Garderoben, Innentüren aus Holz, Simse in gutem Zustand</t>
  </si>
  <si>
    <t>Böden: PVC, Keramik</t>
  </si>
  <si>
    <t>3049|Staatsstrasse 76|Schulhaus/Hausw.whg./Turnhalle/ZS|9300.00</t>
  </si>
  <si>
    <t>Mauerwerk, Holzbalkendecken, Betonstützen, Stahlbetonw. (Risse), KS-Wände, Kunststeintreppe</t>
  </si>
  <si>
    <t>Ziegel-Walmdach m. Lukarne, WElleternit, Boden Dachraum isol.</t>
  </si>
  <si>
    <t>Im Zwischenbau Kiesklebedach mit Oblichter</t>
  </si>
  <si>
    <t>Mauerwerk verp., Fachwerk, WElleternit</t>
  </si>
  <si>
    <t>Holzfenster mit Sprossen, 2-fach-Vergl., Sonnenstoren neu, Metallf. im Anbau (TH)</t>
  </si>
  <si>
    <t>Tel., Gong</t>
  </si>
  <si>
    <t>Holzschnitzelfeuerungsanlage, Sonnenkollektoren mit Speicher, Oelheiz. ''03</t>
  </si>
  <si>
    <t>Ablaufrohre aus Gusseisen, Duschen nicht merh in Betrieb (neue Du eingebaut), Küche im Zw.bau und im DG</t>
  </si>
  <si>
    <t>Einabuschränke, Glastrennwwand, Garderobe, Vitrinen, Holzfaltwand</t>
  </si>
  <si>
    <t>B: Parkett, Gumminoppen, Porphyrpl., Teppich, TH: Boden neu, punktelastisch, Dielenb. im UG&lt;br&gt;W: Putz, Täfer, Plattenschilder&lt;br&gt;D: Spritzputz</t>
  </si>
  <si>
    <t>3043|Lindenstrasse 4|Kulturelles Zentrum Reberhaus|5500.00</t>
  </si>
  <si>
    <t>Stahlskelettbau, KS-Wämde, Bohlenständerbau, alter Teil m. Fachwerk, Gewölbekeller</t>
  </si>
  <si>
    <t>Pfettendach m. Falzziegel, Walmdach m. Gaupen</t>
  </si>
  <si>
    <t>KS-Wände, Bohlen, Lauben, Betonsockel, Natursteinsockel</t>
  </si>
  <si>
    <t>Stahl-/Glasfassade, Metallf., Holzf. m. IV -&gt; grosse Holzfenster lassen sich nicht mehr gut schliessen</t>
  </si>
  <si>
    <t>Fass.beleuchtung, BMA, Tel., Bühnenbeleuchtung und -technik wird revidiert, Beamer, Audioanlage</t>
  </si>
  <si>
    <t>Luftwärmepumpe wurde vor ca. 4-5 Jahren ersetzt, dez. Boiler im DG, Ölheizung</t>
  </si>
  <si>
    <t>Radiatoren o. Thermostaten, Bodenheizung</t>
  </si>
  <si>
    <t>Saallüftung</t>
  </si>
  <si>
    <t>Küchenabluft</t>
  </si>
  <si>
    <t>Leitungen i.O. (rel. gross dim. im DG)</t>
  </si>
  <si>
    <t>Einbauschränke, Garderoben, Schiebewand im Saal</t>
  </si>
  <si>
    <t>B: Keramik, Parkett, Dielen Empore&lt;br&gt;W: KS roh, Täfer&lt;br&gt;D: Täfer lasiert</t>
  </si>
  <si>
    <t>Aufzug nachgerüstet m. Innenkab.</t>
  </si>
  <si>
    <t>3043|Ahornweg 7|Feuerwehrmagazin/Schulungsraum|1600.00</t>
  </si>
  <si>
    <t>Zweischalen-KS-MW, Stahlstützen, Holzkonstr.</t>
  </si>
  <si>
    <t>Wellblechvordach und -dach</t>
  </si>
  <si>
    <t>KS-MW</t>
  </si>
  <si>
    <t>Stahltore m. IV</t>
  </si>
  <si>
    <t>Fernwärme, Lüftungsheizung für Feuerwehr</t>
  </si>
  <si>
    <t>Leitungen i.O., Küche</t>
  </si>
  <si>
    <t>Kompressor, etc.</t>
  </si>
  <si>
    <t>Einbauschränke</t>
  </si>
  <si>
    <t>B: Hartbeton, PVC im OG, Spanplatten, Teppich, W: roh, D: Pavatex</t>
  </si>
  <si>
    <t>9470|Schulhausstrasse 4|Wohnhaus (Musikschule)|2231.00</t>
  </si>
  <si>
    <t>Mauerwerk, massiv mit Holzbalkendecken, Feuchtigkeit im Keller</t>
  </si>
  <si>
    <t>Walmdach mit Schleppgauben, Biberschwanzziegel, DF-Fenster</t>
  </si>
  <si>
    <t>MW verputzt, Kunststeingewände, Natursteinsockel, Balkon mit Wintergarten-Verglasung</t>
  </si>
  <si>
    <t>Holzfenster IV (''95) / Kunststofffenster (''96), Stoffstoren bei Balkon, RL-Storen im EG und DG + Metallfenster/-türe im UG, Metallläden</t>
  </si>
  <si>
    <t>neuere Sicherungen, Beleuchtung DG, OG (Downlights und andere)</t>
  </si>
  <si>
    <t>Gong, Telefon, TV, Internet, EDV-Server und -Leitungen</t>
  </si>
  <si>
    <t>Apparate funktionstüchtig, Leitungen rostig</t>
  </si>
  <si>
    <t>Holzfensterbretter, Innentüren, Glastüre, Glaswand Sekretariat, Windfang EG aus Glas, Kaffeeküche, ausgebauter Kellerraum für Schlagzeug Ausbau aus Holz ( Fächli)</t>
  </si>
  <si>
    <t>B: Parkett (Langriemen), Kork, Zement im Keller, gestrichen, Keramikplatten, W: verputzt, gestrichen, feine Risse im OG,  D: Täfer, Akustikd., Gipskartonplatten</t>
  </si>
  <si>
    <t>9470|Schulhausstrasse 10|Schulhaus Grof|6964.00</t>
  </si>
  <si>
    <t>Bruchsteinmauerwerk, Innenisol., Holzbalkendecken</t>
  </si>
  <si>
    <t>tw. Glasdach, Giebeldach mit Falzziegel, Feuchtigkeitsflecken im Unterdach</t>
  </si>
  <si>
    <t>Kiesdach Anbau und tw. Altbau, Überdeckung der Dichtungsschicht beim Altbau mangelhaft</t>
  </si>
  <si>
    <t>Bruchsteinmauerwerk verputzt, Natursteingewände/Eternit im Anbau, Verschmutzungen, Risse und Verfärbungen im Sockelbereich</t>
  </si>
  <si>
    <t>Kunststoff (''99), RL elektr., innere Verdunkelungen</t>
  </si>
  <si>
    <t>Beleuchtung, Schalter ok, Aufputzleitungen, teilweise alte Keramiksicherungen</t>
  </si>
  <si>
    <t>Bewegungsmelder, Server, Funktelefon, Storensteuerung, EDV</t>
  </si>
  <si>
    <t>Warmwasserleitungen: schwacher Druck, (wurde gem. Ang. HW reduziert), Apparate + Armaturen alt, jedoch funktionstüchtig</t>
  </si>
  <si>
    <t>Einbauten aus Holz, Teeküche, Garderoben, Einbauschränke</t>
  </si>
  <si>
    <t>B: Keramik, Naturstein, Parkett, PVC, Gumminoppen im UG, Teppich in LZ, D: Anbau Gips, Akustikplatten, Faserzement, Täferdecke in LZ W: Gipskarton verputzt, gestrichen, Tapete, getrichen, Täfer, tw. Risse an den Innenwänden</t>
  </si>
  <si>
    <t>9470|Schulhausstrasse 30|OZ Grof Neubau|12416.00</t>
  </si>
  <si>
    <t>Stahlbeton, Mauerwerk, Stahlskelettbau im Zwischenbau,</t>
  </si>
  <si>
    <t>Eternit-/Schindeldach, Rostflecken an Untersicht SO-Ecke (s. Bem.)</t>
  </si>
  <si>
    <t>tw. Kiesdach, tw. Extensivbegrünung</t>
  </si>
  <si>
    <t>verputztes Mauerwerk , Verputz blättert tw. ab, Verfärbungen und Plattenstösse zeichnen sich ab</t>
  </si>
  <si>
    <t>Metall-/Holzfenster (''98), tw. undicht</t>
  </si>
  <si>
    <t>tw. alte Keramiksicherungen, Bühnentechnik</t>
  </si>
  <si>
    <t>Uhr, Gong, EDV, Telefon, SPS-Steuerung, Audio</t>
  </si>
  <si>
    <t>Apparate funktionstüchtig, Leitungen: nur Kaltwasseranschlüsse in den Schulzimmern und WC''s, hochliegende Kanalisation</t>
  </si>
  <si>
    <t>Einbauschränke, Küche mit Glaskeramik, Windfang Metall-/Glas, erhöhter Stahl-/Glasboden vor Singsaal</t>
  </si>
  <si>
    <t>B: PVC, Keramik, Parkett, Linol, Terazzo, Teppich, W: Glasfasertapeten, KS-Wände D: Holz, Akustik, tw. Rostflecken bei Betondecken, heruntergehängte Metalldecke</t>
  </si>
  <si>
    <t>9470|Schulhausstrasse 27|OZ Grof Altbau|5497.00</t>
  </si>
  <si>
    <t>Giebeldach mit Biberschwanzziegel, Holzschindelunterdach tw. mangelhaft, Feuchtigkeitsflecken vorhanden</t>
  </si>
  <si>
    <t>Mauerwerk verputzt</t>
  </si>
  <si>
    <t>Metallstoren, Holzmetallfenster, IV</t>
  </si>
  <si>
    <t>Beleuchtung, Schalter ok</t>
  </si>
  <si>
    <t>Zentrale Uhr + Gong, EDV-Verkabelung, SPS-Steuerung</t>
  </si>
  <si>
    <t>Apparate funktionstüchtig, Leitungen tw. nicht isoliert, hochliegende Abwasserleitung</t>
  </si>
  <si>
    <t>Küche, Garderoben</t>
  </si>
  <si>
    <t>B: Kugelgarn, Keramk-/Tonplatten, PVC, Parkett, W: Rauhfasertapeten, D: Täfer, Akustik</t>
  </si>
  <si>
    <t>9470|Turnhallenstrasse|Turnhalle Buchserbach|4419.00</t>
  </si>
  <si>
    <t>Mauerwerk mit Holzbalkendecken, Aussengeräteraum als Holzkonstruktion</t>
  </si>
  <si>
    <t>Satteldach mit Falzziegel und Unterdach, Holzwerk intakt</t>
  </si>
  <si>
    <t>Mauerwerk verputzt, tw. verschmutzt, Natursteinsockel, Kunststein-Fensterbänke</t>
  </si>
  <si>
    <t>Holz/-Metall ohne Storen</t>
  </si>
  <si>
    <t>tw. alte Keramiksicherungen, Beleuchtung</t>
  </si>
  <si>
    <t>Heizlüftung</t>
  </si>
  <si>
    <t>Lüftungskanäle</t>
  </si>
  <si>
    <t>Apparate und Armaturen älteren Datums, aber funktionstüchtig, Fön</t>
  </si>
  <si>
    <t>Einbauschrank, Garderoben, Sprossenwand, Tor zum Geräteraum</t>
  </si>
  <si>
    <t>B: Turnahallenboden, Keramik, Hartbeton (Riss vorhanden), PVC, Steinholz, W: KS, D: Metall abgehängt, Holz</t>
  </si>
  <si>
    <t>9470|Turnhallenstrasse 2|Klassenzimmer Buchserbach|3807.00</t>
  </si>
  <si>
    <t>Mauerwerk, Stahlbeton</t>
  </si>
  <si>
    <t>Satteldach mit Falzziegel, Untersichten verwittert</t>
  </si>
  <si>
    <t>Kiesdach, Oblichter (wurden vermutlich ersetzt)</t>
  </si>
  <si>
    <t>Mauerwerk verputzt,  kleinere Putzrisse an der Aussenfassade, grössere Abplatzung über Eingang West</t>
  </si>
  <si>
    <t>Holz-Metall mit Isolierverglasungen (''91), RL-Storen, Haupteingang: Metall-/Glastüre (Rahmen verzogen)</t>
  </si>
  <si>
    <t>Beleuchtung (evt. ungenügend), tw. alte Keramiksicherungen</t>
  </si>
  <si>
    <t>Beamer, Uhr, Gong, Funktelefon</t>
  </si>
  <si>
    <t>Apparate und Leitungen funktiontstüchtig, genügender Druck vorhanden, Durchlauferhitzer im Schulzimmer</t>
  </si>
  <si>
    <t>Garderobe, Fenstersimse, Einbauschränke, Teeküche mit Mikrowelle, Kühlschrank, GSP, Windfang</t>
  </si>
  <si>
    <t>B: Klinker, tw. Laminat, PVC, Linol, Kunststein, Harbeton gestrichen, W: Verputz, mehrere Risse in den Wänden vorhanden, D: Täfer, Spritzputz s. Bem., tw. Gipskartonplatten</t>
  </si>
  <si>
    <t>9470|Turnhallenstrasse 4|Altes Gewerbeschulhaus Buchserbach|3268.00</t>
  </si>
  <si>
    <t>Mauerwerk mit Holzbalken- oder Hourdisdecken</t>
  </si>
  <si>
    <t>Satteldach mit Falzziegel</t>
  </si>
  <si>
    <t>Holz-/Metall, tw. undicht, RL-Storen</t>
  </si>
  <si>
    <t>alte Keramiksicherungen, tw. Aufputzleitungen</t>
  </si>
  <si>
    <t>Fernwärme seit 2010</t>
  </si>
  <si>
    <t>Apparate und Armaturen funktiontstüchtig, Leitungen tw. nicht isoliert</t>
  </si>
  <si>
    <t>Arbeitssimse, Garderoben, Einbauschränke, Innentüren aus Holz mit Füllungen, Türrahmen aus Holz, in UG z.T. Metallzargen</t>
  </si>
  <si>
    <t>B: Linoleum, Keramik, W: Verputz, Keramik, D: verputzt, gestrichen</t>
  </si>
  <si>
    <t>9470|Kreuzgasse 14|Kindergarten Altendorf|932.00</t>
  </si>
  <si>
    <t>Holzbau mit Holzbalkendecken, Stahlträger und Stahlstütze im Kindergartenraum</t>
  </si>
  <si>
    <t>Walmdach (Kaltdach), Biberschwanzziegel, Holzwerk tw. schadhaft, Unterdach aus Holzschindeln mängelfrei</t>
  </si>
  <si>
    <t>Holzschindeln, Risse im Sockelputz, Holzschindeln wurden mit einer ungeeigneten Farbe gestrichen, Aussentüre aus Holz</t>
  </si>
  <si>
    <t>Holzfenster mit zwischenliegenden Sprossen, Holzläden</t>
  </si>
  <si>
    <t>tw. alte Keramiksicherungen, Aufputzleitungen, rel. alte Beleuchtung</t>
  </si>
  <si>
    <t>Gong, EDV, Telefonanschluss</t>
  </si>
  <si>
    <t>alte Ölheizung, freistehender Öltank in Wanne</t>
  </si>
  <si>
    <t>ältere Apparate und Armaturen, jedoch funktionstüchtig, Boiler i.O.</t>
  </si>
  <si>
    <t>Einbauschränke, Garderobe, Holztreppe, Innentüren aus Holz</t>
  </si>
  <si>
    <t>B: PVC, Korklinol, Teppich (Schmutzschleuse), W: Täfer, Verputz (Risse vorhanden), D: Holz</t>
  </si>
  <si>
    <t>9470|Churerstrasse 117|Schulhaus (Neubau) Räfis|7395.00</t>
  </si>
  <si>
    <t>Stahlbeton, Stahlkonstruktion in den Schulzimmern</t>
  </si>
  <si>
    <t>Foliendach bekiest, Metall-/Glasvordach zw. alter Turnhalle und Neubau</t>
  </si>
  <si>
    <t>vorfabrizierte Sichtbetonelemente, Nord- und Südfassade: Sichtbeton</t>
  </si>
  <si>
    <t>Holz-Metall, IV, (''72/98), RL-Storen elektr., autom. Eingangstüre aus Metall</t>
  </si>
  <si>
    <t>Sicherungen genügend, Beleuchtung</t>
  </si>
  <si>
    <t>zentrale Uhr, Gong, Funktelefon, Beamer, EDV</t>
  </si>
  <si>
    <t>Ölheizung, (Kessel ''90, Brenner ev. neuer)</t>
  </si>
  <si>
    <t>neuere Apparate, Leitungen: Druck ok, Invaliden-WC</t>
  </si>
  <si>
    <t>Garderoben, Innentüren aus Holz, Fenstersimse, Glastrennwand, Einbauschränke, Küche</t>
  </si>
  <si>
    <t>B: Langriemenparkett, geölt (offene Fuge im Anschluss an innere Glaswand im OG vorhanden), Zementüberzug gestrichen, Kunststein, W: Rauhfasertapete (Risse sichtbar), D: Akustikd., Heraklith</t>
  </si>
  <si>
    <t>Personenaufzug ohne Mängel</t>
  </si>
  <si>
    <t>5620|Pfarrgasse 1|Schwarzschloss|2839.00</t>
  </si>
  <si>
    <t>Mauerwerk, Innenisolation (Vorsatzschale), Holzbalkendecke</t>
  </si>
  <si>
    <t>Mauerwerk , verputzt</t>
  </si>
  <si>
    <t>Holz, Doppelverglasung</t>
  </si>
  <si>
    <t>tw. alte Keramiksicherungen, Absicherung jedoch i. O.</t>
  </si>
  <si>
    <t>Elektroheizung im EG</t>
  </si>
  <si>
    <t>elektr. Bodenheizung</t>
  </si>
  <si>
    <t>Apparate funktionstüchtig</t>
  </si>
  <si>
    <t>Druck ok, Kanalisation etwas gering dimensioniert, Hochwassergebiet: fast jedes Jahr Überschwemmung</t>
  </si>
  <si>
    <t>Innentüren aus Holz mit Metallzargen</t>
  </si>
  <si>
    <t>B: Klinker, Laminat, PVC, Teppich: (1Wg.), W: Putz gestrichen, D: Holzbalken, Gips gestrichen</t>
  </si>
  <si>
    <t>Küche zeitgemäss</t>
  </si>
  <si>
    <t>Lüftung, Zweck unbekannt</t>
  </si>
  <si>
    <t>9213|Hauptstrasse|Primarschulanlage: Schulhaus, Garage, Velounterstand|16841.00</t>
  </si>
  <si>
    <t>Giebeldach, tw. Isoliert mit Falzziegel</t>
  </si>
  <si>
    <t>Zweischalenmauerwerk, verputzt und gestrichen, Feuchteschaden Aussenwand Technikraum</t>
  </si>
  <si>
    <t>Holzfenster ''88 (kein IV), Kunststofffenster ''01, Aussentüren und Windfang sowie Verglasung gedeckter Pausenplatz aus Metall/Glas, Turnhalle: Metallfenster</t>
  </si>
  <si>
    <t>Genügende Absicherung, tw. alte Kreamiksicherungen, Beleuchtung ausreichend, Bühnentechnik</t>
  </si>
  <si>
    <t>Sonnerie, Telefon, EDV, Audioanlage (Aula)</t>
  </si>
  <si>
    <t>Ölheizung ''93 (lowNOx) &amp; Gas ''88, tw. dezentral, El.-Boiler Turnhalle, dez. Boiler o. Durchlauferhitzer WC</t>
  </si>
  <si>
    <t>Radiatoren mit Thermostat und Bodenheizung im Neubau, Ein Raumfühler für ganzes Schulhaus</t>
  </si>
  <si>
    <t>Entsalzungsanlage, Sanitärapparate und -armaturen ohne Mischventile, Druck Leitungen genügend</t>
  </si>
  <si>
    <t>Wandschränke und Arbeitsimse, Metallgeländer (Sicherheitsrisiko), Küche MZH EG und DG</t>
  </si>
  <si>
    <t>B: Linol, Teppich, Beton, PU Turnhallenboden, KST, Parkett, Kunststein und Keramikpl. W: Mauerwerk, verputzt D: Akustikdecken und Putz</t>
  </si>
  <si>
    <t>9216|Schulstrasse 7|Primarschulanlage Schulhaus|2515.00</t>
  </si>
  <si>
    <t>Kaltdach mit Falzziegeleindeckung. Unterdach aus Holzschindlen. Holzwerk war wurmstichig, wurde aber 1980 behandelt.</t>
  </si>
  <si>
    <t>Mauerwerk, verputzt und gestrichen mit Friesen</t>
  </si>
  <si>
    <t>Holzmetall 3x IV 81, im Keller Holzmetall (keine IV), Oblichtfenster im Dach: Gläser tw. blind, Aussentüre und Garagentor aus Holz</t>
  </si>
  <si>
    <t>Genügende Absicherung mit FI-Schutzschaltern</t>
  </si>
  <si>
    <t>Telefon, EDV, Sonnerie</t>
  </si>
  <si>
    <t>Apparate und Armaturen mit Mischventilen, Leitungen i.O.</t>
  </si>
  <si>
    <t>Einbauschränke, Küchen und Arbeitsims. Geländer zu tief, Turmuhr und Glocke, Risse im Grundputz</t>
  </si>
  <si>
    <t>B: Linol, Glasfasertapeten, Tonziegelboden, Teppich und Mosaik-Keramikplatten W: Holzwände und Glasfasertapeten D: Holz und Akustikdecken</t>
  </si>
  <si>
    <t>9220|Ibergstrasse|Schulpavillon|3520.00</t>
  </si>
  <si>
    <t>Holzskelettbau, Einzelfundamente</t>
  </si>
  <si>
    <t>Vordach aus Glas/Metall (Pausenplatz)</t>
  </si>
  <si>
    <t>Holztäfer, Eternit(?)platten</t>
  </si>
  <si>
    <t>Doppelverglasung SSA IV 90/91, Rafflamellenstoren schwergängig</t>
  </si>
  <si>
    <t>Ölheizung</t>
  </si>
  <si>
    <t>Radiatoren mit Thermostaten, Konvektoren</t>
  </si>
  <si>
    <t>Boiler, Warmwasser wenig Druck</t>
  </si>
  <si>
    <t>Innere Verglasungen, Garderoben, Innentüren aus Holz, Fenstersimse, Vorhangbretter</t>
  </si>
  <si>
    <t>B: Linol und Laminat W: Glasfasertapeten D: Akustikdecken und Holz</t>
  </si>
  <si>
    <t>9470|Churerstrasse 119|Schulhaus (Altbau) Räfis|4127.00</t>
  </si>
  <si>
    <t>Natursteinmauerwerk mit Holzbalkendecken, Stahlstütze im Klassenzimmer, Magazin: Holzständebau</t>
  </si>
  <si>
    <t>Walmdach mit Falzziegel mit Unterdach aus Holzschindeln, Dachraum grösstenteils ausgebaut und beheizt, Untersichten z.T. stark verwittert, Magazin: Satteldach mit Falzziegel, Holzschindelunterdach, keine Mängel bekannt</t>
  </si>
  <si>
    <t>Natursteinmauerwerk verputzt, Risse bei Aussenfassade, Sockelbereich und Turm, Natursteingewände, Magazin: Holz</t>
  </si>
  <si>
    <t>Holz-Metall, tw. Holzsprossenfenster, RL-Storen, Holzläden, Aussentüre aus Holz, z.T. noch Originalfenster vorhanden (im 1. OG), Magazin: Holzfenster (''87), Aussenschiebetor</t>
  </si>
  <si>
    <t>neuere Apparate, Leitungen: keine Mängel bekannt</t>
  </si>
  <si>
    <t>Garderobe, Einbauschränke massiv, Küche, Windfang</t>
  </si>
  <si>
    <t>B: Teppich, Parkett, Linol, Korklinol, PVC, Zementüberzug, W: Anstrich/Verputz im UG blättert tw. ab, Rauhfasertapete, D: Holz, Akustik, Gipskartonplatten</t>
  </si>
  <si>
    <t>9470|Churerstrasse 119|Magazin|291.00</t>
  </si>
  <si>
    <t>Satteldach mit Falzziegel, Holzschindelunterdach, keine Mängel bekannt</t>
  </si>
  <si>
    <t>Holz-Metall, Holz (''87), Holzläden, Aussenschiebetor</t>
  </si>
  <si>
    <t>Apparate älter, jedoch funktiontstüchtig</t>
  </si>
  <si>
    <t>B: Zementüberzug, D + W: Gipskartonplatten</t>
  </si>
  <si>
    <t>9470|Churerstrasse 119|Turnhalle|1699.00</t>
  </si>
  <si>
    <t>Mauerwerk</t>
  </si>
  <si>
    <t>Satteldach mit Falzziegel, Untersichten mangelhaft, Dachraum konnte nicht besichtigt werden</t>
  </si>
  <si>
    <t>Mauerwerk verputzt, tw. grössere Risse und stellenweise Abplatzungen vorhanden</t>
  </si>
  <si>
    <t>Holz-Metall 1987, RL-Storen elektr., alte Doppelverglasungsfenster aus Holz mit Holzgewänden (tw. stark verwittert), Kunststofffenster in Garderoben, Aussentüre aus Holz</t>
  </si>
  <si>
    <t>Keramiksicherungen, Beleuchtung älter</t>
  </si>
  <si>
    <t>Wärmeerzeugung ist gleichzeitig Wärmeverteilung</t>
  </si>
  <si>
    <t>Apparate älter, aber funktionstüchtig, Leitungen nicht isoliert, Elektroboiler</t>
  </si>
  <si>
    <t>Garderobe, Einbauschränke, Sprossenwand</t>
  </si>
  <si>
    <t>B: Turnhallenboden, Keramik, W: Holz, Keramik, D: Holzfaser, Täfer, Heraklith, Verputz</t>
  </si>
  <si>
    <t>9470|Volksgartenstrasse 1|Kindergarten Kappeli mit Wohnung und Garage|1444.00</t>
  </si>
  <si>
    <t>Mauerwerk mit Holzbalkendecken, tw. Glasbausteine</t>
  </si>
  <si>
    <t>Satteldach mit Falzziegel, Holzwerk in gutem Zustand, Holzschindelunterdach</t>
  </si>
  <si>
    <t>EG: KS-Sicht (tw. Verfärbungen und Riss unterhalb Fensterbank), Betongewände und -fensterbänke OG und tw. EG: Verputz, Balkon, im OG: Metallfensterbänke</t>
  </si>
  <si>
    <t>Holz (''91), Holztüre ohne Gummilippen, vermutlich undicht, tw. Holzläden und RL-Storen im EG</t>
  </si>
  <si>
    <t>tw. alte Keramiksicherungen und Schalter</t>
  </si>
  <si>
    <t>Gong mit Sprechanlage</t>
  </si>
  <si>
    <t>Apparate und Armaturen älter, jedoch funktionstüchtig</t>
  </si>
  <si>
    <t>Garderobe, Vorhangbretter, Fenstersimse, Küche älter ohne GLK</t>
  </si>
  <si>
    <t>B: Linol, Laminat, PVC, Kugelgarn, Spannteppich, Klinker, Kunststein, Keramik W: Kokosfasertapete, Rauhfasertapete, tw. Keramik, D: Holz, Heraklith., tw. Verputz</t>
  </si>
  <si>
    <t>9470|Hanflandstr. 5|Schulhaus Hanfland|8296.00</t>
  </si>
  <si>
    <t>Mauerwerk, Stahlbeton mit Stahlstützen</t>
  </si>
  <si>
    <t>Doppelstehfalzdach aus Kupferblechen mit sehr geringer Neigung</t>
  </si>
  <si>
    <t>Sichtmauerwerk, Sichtbeton</t>
  </si>
  <si>
    <t>Holz-Metall, RL-Storen, tw. Glasbausteine</t>
  </si>
  <si>
    <t>neuere Sicherungen und Beleuchtungen im Klassenzimmer</t>
  </si>
  <si>
    <t>etwas rostige Abwasserleitungen, Boiler, Apparate neuwertig</t>
  </si>
  <si>
    <t>Garderoben, Fenstersimse, Einbauschränke, Teeküche, Geländer besteigbar</t>
  </si>
  <si>
    <t>B: Kunststein EG, Parkett, PVC, Risse im Eingangsbereich, Gummi, W: Glasfasertapete, Verputz, Holz, D: Heraklith., Holz, Verputz gestrichen</t>
  </si>
  <si>
    <t>5620|Promenadenstrasse 13|MFH|12994.00</t>
  </si>
  <si>
    <t>Kiesklebedach, Oblichter</t>
  </si>
  <si>
    <t>Schieferplatten, hinterlüftet, verputzte Aussenwärmedämmung</t>
  </si>
  <si>
    <t>Kunststofffenster (''05), IV, Metall-Glastüren, RL-Storen</t>
  </si>
  <si>
    <t>neuere Sicherungen, Beleuchtung Hauseingang, Treppenhaus, Sonnerie, TV-/Telefonanschlüsse</t>
  </si>
  <si>
    <t>Fernwärme, Secomat</t>
  </si>
  <si>
    <t>Genügender Druck vorhanden</t>
  </si>
  <si>
    <t>B: Kunststeintreppe, Keramik, Linol, Parkett, W+D: Verputz</t>
  </si>
  <si>
    <t>Küche, Kühlschrank</t>
  </si>
  <si>
    <t>5620|Promenadenstrasse 15|Kindergarten Fuchsächer|1763.00</t>
  </si>
  <si>
    <t>Sichtbeton, Mauerwerk</t>
  </si>
  <si>
    <t>Flachdach begrünt, Kunststeinplatten, Oblicht, bei Aussengeräteraum: Nacktdach, Vordach aus Metall-Glas</t>
  </si>
  <si>
    <t>Holz-Metall (''05), IV, RL-Storen elektr., Metalltüre</t>
  </si>
  <si>
    <t>Beleuchtung, Sicherungen im Nachbargebäude</t>
  </si>
  <si>
    <t>Radiatoren und Konvektoren mit Thermostaten</t>
  </si>
  <si>
    <t>Apparate sind funktionstüchtig</t>
  </si>
  <si>
    <t>Küche, Einbauschränke, Garderobe</t>
  </si>
  <si>
    <t>B: Linol, D: Täfer, W: Verputz, tw. Tapete gestrichen</t>
  </si>
  <si>
    <t>5620|Zugerstrasse 16/18/20|Gewerbe und Garage|10035.00</t>
  </si>
  <si>
    <t>Schieferplatten, verputzte Aussenwärmedämmung (''95)</t>
  </si>
  <si>
    <t>Kunststoff, IV, RL-Storen</t>
  </si>
  <si>
    <t>neuere Sicherungen, Beleuchtung Hauseingang, Treppenhaus</t>
  </si>
  <si>
    <t>B: Kunststein, Linol, Parkett, W: Rauhfasertapete, gestrichen, D: gestrichen (Farbe blättert tw. ab)</t>
  </si>
  <si>
    <t>Küche mit Glaskeramik, Abzug und GSP</t>
  </si>
  <si>
    <t>5620|Obertorplatz 3|Oberer Zoll ganzes Haus|1957.00</t>
  </si>
  <si>
    <t>Mauerwerk, Metallsäulen</t>
  </si>
  <si>
    <t>Dachdeckung gem. Liegenschaftenverwalter ohne Mängel</t>
  </si>
  <si>
    <t>Weissputz, Verputz aussen</t>
  </si>
  <si>
    <t>Holz, Doppelverglasung, Holzläden</t>
  </si>
  <si>
    <t>alte Keramiksicherungen, EDV, Kopierer, Brandmeldeanlage</t>
  </si>
  <si>
    <t>Fernwärmeanschluss wird noch nicht genutzt, Boiler rel. neu, Durchlauferhitzer im Büro EG</t>
  </si>
  <si>
    <t>Elektroheizung</t>
  </si>
  <si>
    <t>Glaswand, Einbauschränke, Schalterhalle</t>
  </si>
  <si>
    <t>B: Klinker, Holztreppen,  Teppich, Keramik, Laminat, Porphyrplatten, D: heruntergehängte Gipsdecke, Täfer W: Verputz</t>
  </si>
  <si>
    <t>Teeküche</t>
  </si>
  <si>
    <t>5620|Schellenhausplatz|Zeughaus|3215.00</t>
  </si>
  <si>
    <t>Einsteinmauerwerk, Holzbalkendecken</t>
  </si>
  <si>
    <t>verputztes und gestrichenes Natursteinmauerwerk</t>
  </si>
  <si>
    <t>Holz mit Doppelverglasung, Holzläden, Eisengitter</t>
  </si>
  <si>
    <t>Brandmeldeanlage, alte Lichtschalter, jedoch noch funktionstüchtig</t>
  </si>
  <si>
    <t>Elektrospeicherheizung (Fernwärme vorgesehen)</t>
  </si>
  <si>
    <t>Elektroheizungen</t>
  </si>
  <si>
    <t>Apparate und Leitungen funktionstüchtig, Feuerlöschposten</t>
  </si>
  <si>
    <t>Holztüre, Holztreppe</t>
  </si>
  <si>
    <t>B: Klinker, Teppich, W: Täfer, Verputz, D: Holzbalken</t>
  </si>
  <si>
    <t>5620|Schellenhausplatz|Schellenhaus|5672.00</t>
  </si>
  <si>
    <t>Bruchsteinmauerwerk mit Holzbalkendecken</t>
  </si>
  <si>
    <t>Pfettendach mit isoliertem Dachraum, Biberschwanzziegel, Holzwerk i.O.</t>
  </si>
  <si>
    <t>Verputz, tw. verschmutzt, Riss in Giebelfassade mit Verfärbungen im Putz (Feuchteschaden)</t>
  </si>
  <si>
    <t>Holz (''06), IV-Verglasung mit aufgeklebten Kunststoffsprossen</t>
  </si>
  <si>
    <t>Tw. alte Keramiksicherungen, Absicherung jedoch  i.O., BMA, Bühnentechnik</t>
  </si>
  <si>
    <t>OG: Lüftung des Theaters neu 2012</t>
  </si>
  <si>
    <t>Apparate funktionstüchtig und Leitungen: genüg. Druck vorh.</t>
  </si>
  <si>
    <t>Holz-Glas-Türe, Schiebewand, Garderobe, Bühneneinrichtung</t>
  </si>
  <si>
    <t>B: Keramik, Parkett, Klinker, W: Verputz, Holz D: Akustikd, Verputz</t>
  </si>
  <si>
    <t>Kühlschränke, Apéroküche, Küchenanbauten</t>
  </si>
  <si>
    <t>Aufzug i.O.</t>
  </si>
  <si>
    <t>3034|Murzelenstrasse 80|Wohnhaus (3 Whg.)|1375.00</t>
  </si>
  <si>
    <t>Mauerwerk, Kunststeintreppe</t>
  </si>
  <si>
    <t>Falzziegeldach, Untersicht und Spenglerarbeiten i.O.</t>
  </si>
  <si>
    <t>Mauerwerk, verputzt, auf Ostseite Putzschäden, Kunststeingewände i.O.</t>
  </si>
  <si>
    <t>Holztüren und Holz-/Metallfenster (Glas ''03) mit innenlieg. Sprossen, Holzläden und Storen, Rollladen im WZ</t>
  </si>
  <si>
    <t>Alte Sicherungen, tw. neu f. WM, Beleuchtung im UG neu</t>
  </si>
  <si>
    <t>Fernwärme, WW: Boiler 600 Liter ''78</t>
  </si>
  <si>
    <t>Radiatoren m. Thermostaten ausser im Bad</t>
  </si>
  <si>
    <t>Apparate älter, tw. o. Mischarmaturen, WM/WT rel. neu</t>
  </si>
  <si>
    <t>Leitungen i.O.</t>
  </si>
  <si>
    <t>B: Klinker, Parkett, Teppich (Kugelgarn), PVC in Kü&lt;br&gt;W: Plattenschild, Putz&lt;br&gt;D: Putz</t>
  </si>
  <si>
    <t>Küche m. GSP u. Glaskeramikkochfeld, ren. ''15</t>
  </si>
  <si>
    <t>3034|Murzelenstrasse 82A|Garagen/Aussengeräteraum Schule|360.00</t>
  </si>
  <si>
    <t>Betonsteine (MW), Holzdachstuhl</t>
  </si>
  <si>
    <t>Welleternit, unisol.</t>
  </si>
  <si>
    <t>Betonsteine, roh, Welleternit</t>
  </si>
  <si>
    <t>Garagentore neu (''13)</t>
  </si>
  <si>
    <t>Aussenanschl.</t>
  </si>
  <si>
    <t>Aussenbeleuchtung</t>
  </si>
  <si>
    <t>B: Zementüberzug, Betonverbundsteine, W: Betonsteine, roh, D: -</t>
  </si>
  <si>
    <t>3043|Schülerweg 11|ZS-Lager/BSA/Einstellhalle/Rasenspielfeld|7300.00</t>
  </si>
  <si>
    <t>Stahlbeton, KS-Wände</t>
  </si>
  <si>
    <t>Flachdach mit Rasenspielfeld</t>
  </si>
  <si>
    <t>Holzfenster, IV, Metalltor</t>
  </si>
  <si>
    <t>Radiatoren in zwei Räumen, m. Thermostat</t>
  </si>
  <si>
    <t>BSA: Küche, Lavabo, WC, Rinnen Garagenboden</t>
  </si>
  <si>
    <t>Beleuchtung ZS, Garage</t>
  </si>
  <si>
    <t>Lüftung, Abzug Küche</t>
  </si>
  <si>
    <t>Holztrennwände, B: Linol, Zementüberzug oder Hartbeton, gestr.&lt;br&gt;W: verp. u. Keramik, KS roh, Beton roh&lt;br&gt;D: Heraklit</t>
  </si>
  <si>
    <t>3043|Schülerweg 12|Doppelkindergarten/Musikschule/Jugendtr.|3000.00</t>
  </si>
  <si>
    <t>Mauerwerk, Stahlbeton, leichter Riss</t>
  </si>
  <si>
    <t>Zw.boden</t>
  </si>
  <si>
    <t>Eternitschindeldach, Dachflächenfenster, Spenglerarbeiten i.O.</t>
  </si>
  <si>
    <t>Zweischalenmauerwerk, verputzt</t>
  </si>
  <si>
    <t>Holzfenster IV 2-fach/3-fach, Rafflamellenstoren, Metalltüre aussen, Musikraum</t>
  </si>
  <si>
    <t>Neue Sicherungen, Beleuchtung</t>
  </si>
  <si>
    <t>Glocke, Tel.</t>
  </si>
  <si>
    <t>Fernwärme (früher Wärmepumpe)</t>
  </si>
  <si>
    <t>Bodenheizung, im UG Radiatoren</t>
  </si>
  <si>
    <t>Lavabo im KG, Küche, Dachwasserablauf, Flüssiggasanlage</t>
  </si>
  <si>
    <t>Einbauschränke, Simse</t>
  </si>
  <si>
    <t>B: Keramik, Teppich SS, Parkett/Novilon&lt;br&gt;W: Pl.schild Küche, Putz, gestr., Täfer in Musikr., Keramik in WC&lt;br&gt;D: Täfer, Gipskartonpl. in Materialr., Pavatexpl. in Musikr., in Jugendraum Beton, gestr.</t>
  </si>
  <si>
    <t>9220|Sandbänkli 4|Pavillon|1005.00</t>
  </si>
  <si>
    <t>Vorfabrizierter Elementbau mit Stahlrahmen</t>
  </si>
  <si>
    <t>Nacktdach, stark vermoost</t>
  </si>
  <si>
    <t>verputzt</t>
  </si>
  <si>
    <t>Kunststofffenster ''92 Rafflamellenstoren</t>
  </si>
  <si>
    <t>Elektroheizung dezentral</t>
  </si>
  <si>
    <t>Wärmeverteilung in Element Wärmeerzeugung enthalten.</t>
  </si>
  <si>
    <t>Lavabo mit Mischventilarmatur</t>
  </si>
  <si>
    <t>B: Teppich, PVC D: Akustikdecken W: Elementwände</t>
  </si>
  <si>
    <t>9223|Waldplatzstrasse|Primarschulanlage Kenzenau; Schulhaus, Wohnungen, Garage|2984.00</t>
  </si>
  <si>
    <t>Unterdach aus Holzschindel und Holzgerüst, Biberschwanzziegel</t>
  </si>
  <si>
    <t>Verputztes Mauerwerk mit Kuststeingewänden, Risse im Sockelbereich</t>
  </si>
  <si>
    <t>Holzfenster mit Sprossen IV ''93, Fenster im Eingangsbereich 2012, Rafflamellen und Fensterläden, Aussentüren undicht</t>
  </si>
  <si>
    <t>Gegensprechanlage, Pausenglocke, EDV-Inst., Telefon</t>
  </si>
  <si>
    <t>Ölheizung 2007, Öltank Revision 2009</t>
  </si>
  <si>
    <t>Wohnung: Radiatoren im Bad, ansonsten Bodenheizung, Schulhaus: Radiatoren mit Thermostaten</t>
  </si>
  <si>
    <t>Wasserdurchfluss in der Küche der Wohnung schwach</t>
  </si>
  <si>
    <t>Einbauschränke, Fenstersimse, Küche und innere Verglasung in der Wohnung, Risse im Putz</t>
  </si>
  <si>
    <t>B: Holz,Teppich, Marmor, Linol oder PVC, W: Verputzt und gestrichen oder Keramikplatten, D: Holz oder Gips</t>
  </si>
  <si>
    <t>5620|Spiegelgasse 9|Kornhaus|4798.00</t>
  </si>
  <si>
    <t>Natursteinmauerwerk, verputzt, Holzbalkendecken</t>
  </si>
  <si>
    <t>Biberschwanzziegel, Dachraum gem. Angaben des Liegenschaftenverwalters mängelfrei</t>
  </si>
  <si>
    <t>Natursteinmauerwerk, verputzt, Natursteingewände, Verfärbungen im Sockelbereich und über Fenster EG</t>
  </si>
  <si>
    <t>Holzsprossenfenster mit Doppelverglasung</t>
  </si>
  <si>
    <t>Tw. alte Keramiksicherungen und Schalter (Absicherung jedoch i. O.), Aufputzleitungen</t>
  </si>
  <si>
    <t>Ölheizung (''94), letzte Tankrevision (''08)</t>
  </si>
  <si>
    <t>Apparate funktionstüchtig, Leitungen: z.T. schwacher Druck</t>
  </si>
  <si>
    <t>Garderobe, Küche im OG für Mittagstisch</t>
  </si>
  <si>
    <t>B: Hartbeton, Linol, Keramik, Kunststein, W: Verputz, Tapeten, D: Verputz, Gipsplatten, Holzbalken</t>
  </si>
  <si>
    <t>5620|Schulgasse 8|Haus an der Reuss|4121.00</t>
  </si>
  <si>
    <t>Mauerwerk, gem. Gemiwo Stahlbetondecken</t>
  </si>
  <si>
    <t>Mansardenwalmdach mit Biberschwanzziegel, ausgebauter Dachraum, Kupferdach über Eingang</t>
  </si>
  <si>
    <t>Mauerwerk verputzt, Natursteingewände, Balkon EG und OG wurde vor wenigen Jahren angebaut</t>
  </si>
  <si>
    <t>Holz-Metall (''08), IV, RL-Storen im DG, Metalläden und Sonnenstoren beim Balkon</t>
  </si>
  <si>
    <t>neuere Sicherungen, tw. mit Keramiksicherungen (Hauptsicherungen)</t>
  </si>
  <si>
    <t>Wärmepumpe im separatem Nebengebäude, Secomat</t>
  </si>
  <si>
    <t>Bodenheizung im DG, gem. Gemiwo Radiatoren mit Thermostaten</t>
  </si>
  <si>
    <t>Es sind keine Mängel bekannt</t>
  </si>
  <si>
    <t>Innentüren aus Holz, einzelne Putzschäden bei Innenwänden</t>
  </si>
  <si>
    <t>B: Keramik, Parkett, Naturstein, Kunststein, W+D: Verputz gestrichen, Gips</t>
  </si>
  <si>
    <t>Küche neu mit Abluft</t>
  </si>
  <si>
    <t>5626|Im Spilhof 6|Werkhof mit Wohnungen|4565.00</t>
  </si>
  <si>
    <t>Falzziegel, Dachuntersicht ok, Dachraum ausgebaut</t>
  </si>
  <si>
    <t>Verbundsteine, begehbar, keine Mängel sichtbar</t>
  </si>
  <si>
    <t>Zweischalenmauerwerk verputzt, bei Werkhof auch Beton roh, Holzbalkone</t>
  </si>
  <si>
    <t>Holzsprossenfenster, IV, RL- und Stoffstoren, Garagentore aus Metall-Glas</t>
  </si>
  <si>
    <t>neuere Sicherungen tw. Keramiksicherungen, Sonnerie, Telefonanschluss</t>
  </si>
  <si>
    <t>zentrale Holzschnitzelfeuerungsanlage und Ölheizung, Secomat</t>
  </si>
  <si>
    <t>1 Radiator sonst Bodenheizung</t>
  </si>
  <si>
    <t>Lüftung, Küchenabzug</t>
  </si>
  <si>
    <t>Apparate funktionstüchtig, Leitungen: genügender Druck vorhanden</t>
  </si>
  <si>
    <t>Einbauschrank, Holztüre, Kunststeinfensterbänke, Küche mit GKH</t>
  </si>
  <si>
    <t>B: Keramik, Teppich, Zementüberzug (Riss mit Rostflecken), W+D: Verputz, KS, Beton, Keramik, Täfer</t>
  </si>
  <si>
    <t>5620|Augraben 1|Werkhof Neubau|3024.00</t>
  </si>
  <si>
    <t>Stahlbeton und Holzkonstruktion, KS-Wände</t>
  </si>
  <si>
    <t>Foliendach bekiest</t>
  </si>
  <si>
    <t>Holz-Metall, Sektionaltore und Aussentüren</t>
  </si>
  <si>
    <t>Bodenheizung, Heizlüfter in Garagen und Werkstätten</t>
  </si>
  <si>
    <t>Apparate funktionstüchtig, Leitungen: genügender Druck vorh. , Bodenrinnen, Druckluftkompressor</t>
  </si>
  <si>
    <t>Küche und Garderoben mit Bänken und Schränken</t>
  </si>
  <si>
    <t>B: Beton, W: Pressspanplatten, Verputz gestrichen oder KS roh, D: Heraklith oder Holz roh</t>
  </si>
  <si>
    <t>5620|Klosterweg 2|Bauamtsmagazin, Werkhof Altbau|2404.00</t>
  </si>
  <si>
    <t>Einsteinmauerwerk (einzelne grössere Risse vorhanden) mit Holzbalkendecke</t>
  </si>
  <si>
    <t>Dachstuhl mängelfrei, Biberschwanzziegel ohne Unterdach, keine Mängel bekannt</t>
  </si>
  <si>
    <t>Bollen- und Bruchsteinmauerwerk, tw. verputzt mit einzelnen grösseren Rissen</t>
  </si>
  <si>
    <t>Holzsprossenfenster einfachverglast, Gläser gekittet, Stahlplattentüre, Aussentor aus Stahl mit Holzfüllung</t>
  </si>
  <si>
    <t>alte Keramiksicherungen, 1 FI-Schutzschalter</t>
  </si>
  <si>
    <t>keine Heizung sichtbar (jedoch Sicherung für Heizung angeschrieben)</t>
  </si>
  <si>
    <t>elektr. Seilwinde</t>
  </si>
  <si>
    <t>Holzgeländer</t>
  </si>
  <si>
    <t>B: Beton, Holz, W: Verputz gestrichen, D: Holzbalken</t>
  </si>
  <si>
    <t>5620|Klosterweg 8|Klarakloster|7525.00</t>
  </si>
  <si>
    <t>Natursteinmauerwerk verputzt mit Holzbalkendecke, keine Mängel sichtbar</t>
  </si>
  <si>
    <t>Dachstuhl mängelfrei, Unterdach aus Pavatexplatten, Biberschwanzziegel</t>
  </si>
  <si>
    <t>6cm Dämmputz, keine Risse ersichtlich, tw. schmutzig, feuchte Stellen im Sockelbereich, Naturstein- und Holzgewände</t>
  </si>
  <si>
    <t>Holzsprossenfenster mit IV-Verglasung (''09), Holztüre, Metallläden, mängelfrei</t>
  </si>
  <si>
    <t>tw. noch Keramiksicherungen, jedoch genügende Absicherung, z. T. Aufputzleitungen, BMA, Sonnerie</t>
  </si>
  <si>
    <t>Ölheizung inkl. WW-Erzeugung</t>
  </si>
  <si>
    <t>Lüftung im 2. + 3. OG, WC-Lüftung</t>
  </si>
  <si>
    <t>Apparate funktionstüchtig, Leitungen: genügender Druck vorhanden, WM, WT</t>
  </si>
  <si>
    <t>Einbauschränke, Faltwand, Holzinnentüren und -rahmen</t>
  </si>
  <si>
    <t>B: Kunststein, PVC, Keramik, Teppich, Linol, Laminat, W: teilw. Täfer, Verputz, D: Verputz, Gips</t>
  </si>
  <si>
    <t>Küche, Kühlschrank, Backofen, Herdplatten mit Abzug, GSP</t>
  </si>
  <si>
    <t>Aufzug</t>
  </si>
  <si>
    <t>5620|Rathausplatz 4|Haberhaus Polizeiposten|2532.00</t>
  </si>
  <si>
    <t>Biberschwanzziegel, Dachraum konnte nicht besichtigt werden, ist aber gem. Angaben Hauswart ohne Mängel</t>
  </si>
  <si>
    <t>Natursteinmauerwerk, verputzt mit Natursteingewänden</t>
  </si>
  <si>
    <t>Holzfenster (''90) mit aufgeklebten Sprossen, IV</t>
  </si>
  <si>
    <t>Tw. alte Keramiksicherungen (Absicherung jedoch i. O.)</t>
  </si>
  <si>
    <t>EDV, Telefonanschluss</t>
  </si>
  <si>
    <t>Apparate ohne Mängel, Leitungen: genügender Druck vorhanden</t>
  </si>
  <si>
    <t>Schalterhalle, Panzerglas, Windfang, Innentüren aus Holz</t>
  </si>
  <si>
    <t>B: Klinker, Teppich, Linol, Keramik, W: Verputz, D: Holz</t>
  </si>
  <si>
    <t>5620|Rathausplatz 1|Rathaus|8051.00</t>
  </si>
  <si>
    <t>5620|Reussgasse 14A|Ortsmuseum|898.00</t>
  </si>
  <si>
    <t>Natursteinmauerwerk mit Holzbalkendecken</t>
  </si>
  <si>
    <t>Biberschwanzziegel</t>
  </si>
  <si>
    <t>Holzsprossenfenster mit Doppelverglasung, Holztüre</t>
  </si>
  <si>
    <t>Sicherungskasten konnte nicht besichtigt werden, Anschlüsse und Leitungen i. O.</t>
  </si>
  <si>
    <t>Sonnerie, Telefonanschluss</t>
  </si>
  <si>
    <t>Ölheizung aus den 90er Jahren, keine Mängel bekannt</t>
  </si>
  <si>
    <t>Heizung ohne Thermostaten</t>
  </si>
  <si>
    <t>Apparate älter aber funktionstüchtig, ohne Mischgarnituren, Leitungen i. O., genügender Druck vorhanden</t>
  </si>
  <si>
    <t>Treppengeländer aus Metall, Schreinerarbeiten</t>
  </si>
  <si>
    <t>B: Keramik, W: verputzt, Keramik, D: verputzt, Täfer</t>
  </si>
  <si>
    <t>5620|Rathausplatz 3|Parkgarage|7905.00</t>
  </si>
  <si>
    <t>Stahlbeton, undichte Stellen, rostige Armierungseisen</t>
  </si>
  <si>
    <t>Flachdach intensiv begrünt, tw. befahrbar (Rampe); undichte Stelle (s. Bem.)</t>
  </si>
  <si>
    <t>Stahlbeton verputzt, im Sockelbereich Risse, durchfeuchtet</t>
  </si>
  <si>
    <t>Garagentor aus Holz, elektrisch</t>
  </si>
  <si>
    <t>Garagenbeleuchtung, Anschlüsse</t>
  </si>
  <si>
    <t>BMA</t>
  </si>
  <si>
    <t>Bodenrinnen i.O., Abwasserleitung aus Gusseisen mit Rostflecken</t>
  </si>
  <si>
    <t>B: Hartbeton, W: Beton und KS roh, D: Beton roh</t>
  </si>
  <si>
    <t>5620|Friedhofstrasse|Friedhofhalle|3334.00</t>
  </si>
  <si>
    <t>Mauerwerk und Stahlbeton, Dach aus Holz</t>
  </si>
  <si>
    <t>Foliendach bekiest, Oblichter aus Stahl-/Glas mit Rauchabzug und Cupolux</t>
  </si>
  <si>
    <t>Mauerwerk, verputzt und gestrichen, AWD</t>
  </si>
  <si>
    <t>Metall, IV, RL-Storen, Metalltüre, Windfang</t>
  </si>
  <si>
    <t>Tw. alte Keramiksicherungen (Absicherung jedoch i. O.), Lautsprecher</t>
  </si>
  <si>
    <t>Ölheizung (Heizkessel: ''77, Brenner: neuer), Öltank (''77), WW-Boiler</t>
  </si>
  <si>
    <t>B:Keramik, Teppich, Hartbeton gestrichen W: Verputz, Keramik D: Holz, Beton gestrichen</t>
  </si>
  <si>
    <t>Kühlanlage und Umluft-Lüftung Leichenhalle</t>
  </si>
  <si>
    <t>4950|Dornackerweg 6|Zivilschutzanlage|6240.00</t>
  </si>
  <si>
    <t>Extensivbegrünung</t>
  </si>
  <si>
    <t>Panzertüre</t>
  </si>
  <si>
    <t>Notstromaggregat, Ladestation, Beleuchtung, alte Keramiksicherungen vorhanden</t>
  </si>
  <si>
    <t>Ölheizung, Elektroboiler</t>
  </si>
  <si>
    <t>über Lüftung</t>
  </si>
  <si>
    <t>Lüftungsaggregate</t>
  </si>
  <si>
    <t>Lüftungsrohre</t>
  </si>
  <si>
    <t>Tw. keine Mischventile vorhanden, ansonsten sind keine Mängel bekannt</t>
  </si>
  <si>
    <t>Garderoben</t>
  </si>
  <si>
    <t>B: Beton gestrichen, Keramik, Teppich, W+D: Beton gestrichen</t>
  </si>
  <si>
    <t>Gastronomieküche</t>
  </si>
  <si>
    <t>8468|Mülibachstrasse 18|Schulhaus mit Turnhalle|10153.00</t>
  </si>
  <si>
    <t>Mauerwerk, Stahlbeton-Firstpfette</t>
  </si>
  <si>
    <t>Eternitschindeldach (asbesthaltig), Unterdach aus Eternit, Dach SH und TH neu: Kupferabschluss inkl. Dachrinne, Dampfsperre</t>
  </si>
  <si>
    <t>Mauerwerk verputzt, Fluchttüre mit Drehknopf i.O. (&lt;50 Pers.)</t>
  </si>
  <si>
    <t>Holz-/Metallfenster (''97), tw. (''09), 3-fach verglast, Aussentüre aus Metall, HW-Wg.: doppelverglaste Holzfenster (''70) mit Rollläden, Türe zu Turnhalle sowie Tore Geräteräume neu, 3 neue Aussentüren von Geräteraum zu Aussenbereich, Dachfenster neu elektr</t>
  </si>
  <si>
    <t>Beleuchtung (''97), Audioanlage Turnhalle, Bühnentechnik veraltet</t>
  </si>
  <si>
    <t>Schwachstrominst. neu inkl. EDV, Gong</t>
  </si>
  <si>
    <t>Holzschnitzelheizung</t>
  </si>
  <si>
    <t>Heizkörper mit Thermostaten</t>
  </si>
  <si>
    <t>Sanitäranlagen wurden saniert, Wände (PU-Belag direkt auf alte Platten) und Boden fugenlos, Pissoirs inkl. Spülung, Schimmelproblem in Duschen behoben mit Lüftung in Decke, spezielle Duschköpfe (verkalken nicht)</t>
  </si>
  <si>
    <t>Arbeitssimse, Innenwand mit Holzelementen, Holz-/Glas-Trennwand, Küche Lehrerzimmer</t>
  </si>
  <si>
    <t>B: Polyurethan (KZ), Keramik, Linol, Kunststein, Parkett W: Verputz (Holzplatten entfernt und neu gestrichen), Glasfasertapeten D: wurde neu gemacht wegen Brandschutz, LED Lampen</t>
  </si>
  <si>
    <t>8468|Mülibachstrasse 20|Haus Mülibach|2224.00</t>
  </si>
  <si>
    <t>Mauerwerk, kl. Risse vorhanden</t>
  </si>
  <si>
    <t>Falzziegel, tw. undicht, Unterdach aus Holz, Vordach aus Glas</t>
  </si>
  <si>
    <t>Mauerwerk verputzt, Fassade schmutzig</t>
  </si>
  <si>
    <t>IV (''95), Holzfenster, doppelverglast mit Holzläden; Fenster sind undicht (Wasser kondensiert, Fliegen können rein kommen, Dichtung sehr schlecht) auch die neueren Fenster (''04) sind in schlechtem Zustand</t>
  </si>
  <si>
    <t>neue Verkabelung sowie Draht und Sicherungskasten ersetzt, asbesthaltige Grundplatte bei Elektrotableau wurde entfernt</t>
  </si>
  <si>
    <t>Fernwärme, El-Boiler</t>
  </si>
  <si>
    <t>WM / WT</t>
  </si>
  <si>
    <t>intakt</t>
  </si>
  <si>
    <t>Einbauschränke, Holzrahmentüre, Riss im Grundputz, 1 Küche sehr klein (zweckmässig), 1 Küche mit normaler Ausstattung, Lampen im WC und Korridor (''16)</t>
  </si>
  <si>
    <t>B: Linol, Naturstein, PVC, Teppich, Keramik W: Verputz (Riss), Glasfasertapete, D: Pavatex, Holz, Gips, Verputz, Akustikdecke\nWohnung: Laminat, Wände gestrichen</t>
  </si>
  <si>
    <t>8476|Unterdorf 10|Wohnhaus mit Schopf|1381.00</t>
  </si>
  <si>
    <t>Mauerwerk, verputzt, Dachstuhl intakt</t>
  </si>
  <si>
    <t>Falzziegeldach, ohne sichtbare Schäden</t>
  </si>
  <si>
    <t>Mauerwerk, ungedämmt, Garagentor, einz. Risse</t>
  </si>
  <si>
    <t>Holz/Metall, (''02), Holz DV alt</t>
  </si>
  <si>
    <t>alte Keramiksicherungen kein Fl Schalter im Treppenhaus</t>
  </si>
  <si>
    <t>alte Apparate, Warmwasser / WT ca. 5-jährig</t>
  </si>
  <si>
    <t>alte Leitungen, tw. neu</t>
  </si>
  <si>
    <t>Holztüren, Einbauschränke, Fenstersimse aus Holz, Vorhangbretter, Holztreppen</t>
  </si>
  <si>
    <t>B: Laminat, Teppich, Parkett, PVC W: Verputz, Keramik, D: Verputz, Holz</t>
  </si>
  <si>
    <t>alte Geräte, Einbauten aus Holz</t>
  </si>
  <si>
    <t>8476|Bahnhofstrasse 7|Turnhalle|9813.00</t>
  </si>
  <si>
    <t>neue Dämmung (Zellulose) beim Dach gemacht, übrige Dachkonstruktion (Holz) in sehr gutem Zustand gem. Herrn B. Frei</t>
  </si>
  <si>
    <t>Falzziegel, das Steildach konnte nicht besichtigt werden</t>
  </si>
  <si>
    <t>Verputz, Schäden und Verfärbungen ersichtlich, Sockel i.O.</t>
  </si>
  <si>
    <t>Fenster wurden ersetzt, neu inkl. Sonnenschutz (Stoffstoren, über Funk gesteuert), Tore zu Geräteräumen wurden ersetzt</t>
  </si>
  <si>
    <t>Beleuchtung tw. neu (LED Lampen), Audio neu (LS)</t>
  </si>
  <si>
    <t>Radiatoren wurden ersetzt</t>
  </si>
  <si>
    <t>Du/WC: Apparate und Armaturen wurden im Jahr 2015 repariert, sind jedoch ohne Mischventile, Wasserschaden vorhanden: Sanierung in Planung</t>
  </si>
  <si>
    <t>Alte Leitungen vorhanden</t>
  </si>
  <si>
    <t>Garderoben, Gerätehalterungen etc.</t>
  </si>
  <si>
    <t>Musikraum (Keller): B: Parkett W: Verputz, Turnhalle: B: PU Bodenbelag (neu), darunter Gussasphalt und Schaumdämmung (auch neu)</t>
  </si>
  <si>
    <t>8476|Bahnhofstrasse 7|Schulhausanlage|4146.00</t>
  </si>
  <si>
    <t>Mauerwerk, ohne Schäden, Dachraum trocken mit Unterdach aus Pavatex, Hourdisdecke über dem Keller, Stahlunterzüge über EG (Brandschutz?), Feuchte im Keller, Gerätehaus: i.O., Dachstuhl</t>
  </si>
  <si>
    <t>Sparrendach mit Falzziegeleindeckung, Gerätehaus: Unterdach i.O., Falzziegel</t>
  </si>
  <si>
    <t>Mauerwerk, verputzt mit Kunststeingewänden und umlaufenden Kst.st.friesen, Sanierung ca. ''07/''08, Gerätehaus: Mauerwerk, verputzt</t>
  </si>
  <si>
    <t>Holz-/Metallfenster (''96), Stoffrollos, tw. Metallrollo (im OG), Aussentür Nord (''15), Gerätehaus: Holztore</t>
  </si>
  <si>
    <t>Aufputzleitungen, Beleuchtung im DG alt, im OG: 2010, z.T. alte Sicherungen</t>
  </si>
  <si>
    <t>Erneuerung Leitungen EDV auf neusten Stand (2016), Türklingel</t>
  </si>
  <si>
    <t>Fernwärme, alter Öltank vorhanden</t>
  </si>
  <si>
    <t>Radiatoren mit Thermostaten, Umwälzpumpen &amp; Magnetventile wurden umgerüstet</t>
  </si>
  <si>
    <t>tw. neue Leitungen, Abwasser-/Wasserleitungen alt, Gerätehaus: Wasseranschluss</t>
  </si>
  <si>
    <t>Holzverkleidung an Wänden im OG, Holzrahmentüren, Metall- /Glastür (''10), Einbaukästen aus Holz im Naturkunde Zimmer, Garderobe im EG, Geländerhöhe: 80cm</t>
  </si>
  <si>
    <t>Schulzimmer EG: B: Parkett, Kunststein im UG W: Glasfasertapete, Verputz, Pavatex, OG: B: Parkett, Linol W: Holz, Verputz D: Verputz, DG: B: Linol W: Verputz D: Verputz, Gerätehaus: Betonboden</t>
  </si>
  <si>
    <t>8620|Eggstrasse 68|EFH Leukens|623.00</t>
  </si>
  <si>
    <t>Bitumen-Kiesklebedach, tw. saniert, Dachoblicht tw. ersetzt.</t>
  </si>
  <si>
    <t>Mauerwerk, verputzt und Sichtbeton. Keine Mängel sichtbar</t>
  </si>
  <si>
    <t>Alte Holzfenster mit Doppelverglasung, tw. mit IV., Rafflamellenstoren ohne grav. Mängel\nFenstertür im OG klemmt</t>
  </si>
  <si>
    <t>Tw. alte Keramiksicherungen, jedoch mit FI-Schutzschaltern, Sat.anlage auf Dach</t>
  </si>
  <si>
    <t>Zentrale Oelheizung für 8 Häuser</t>
  </si>
  <si>
    <t>Apparate sind alle funktionstüchtig, keine Schäden vorhanden</t>
  </si>
  <si>
    <t>Kein Druckabfall vorhanden, Wasser läuft ungehindert ab.</t>
  </si>
  <si>
    <t>Einzelne Risse im Putz, Schreinerarbeiten Holz: Fenstersimse, Vorhangbretter, Einbaukästen, Garderobe, Keramikplatten Böden, intakt</t>
  </si>
  <si>
    <t>B: Parkett, Teppich, Keramik Platten, W: Abrieb gestrichen, Keramikplatten, D: Abrieb gestrichen</t>
  </si>
  <si>
    <t>Küche wurde tw. renoviert, Abdeckung aus Naturstein, Geräte tw. neuwertig</t>
  </si>
  <si>
    <t>4950|Lochmühleweg 2a|Pumpwerk, Elektrizität|650.00</t>
  </si>
  <si>
    <t>Das Flachdach ist intensiv begrünt</t>
  </si>
  <si>
    <t>Eingangstür aus Aluminium</t>
  </si>
  <si>
    <t>B: Beton gestrichen, W+D: gestrichen</t>
  </si>
  <si>
    <t>4950|Marktgasse 2|Restaurant|6300.00</t>
  </si>
  <si>
    <t>Walmdach mit Falzziegeln und Dachgaupen</t>
  </si>
  <si>
    <t>Natursteinfassade</t>
  </si>
  <si>
    <t>Holz-/Metalfenster, Aussentüre aus Metall mit Glaseinfassung und Vergitterung</t>
  </si>
  <si>
    <t>Genügender Druck vorhanden, das Wasser kann ungehindert ablaufen, WM/WT</t>
  </si>
  <si>
    <t>Ältere Schalter, Beleuchtung</t>
  </si>
  <si>
    <t>Lüftung, Kühlanlagen, Kühlgeräte für Lagerräume</t>
  </si>
  <si>
    <t>Gastronomieküche, Einbauschränke aus Holz</t>
  </si>
  <si>
    <t>B: Keramik, Beton gestrichen, Gebrauchsspuren ersichtlich, Naturstein W: Verputz, Keramik D: Verputz, über dem Pizzaofen sind flecken vorhanden</t>
  </si>
  <si>
    <t>4950|Marktgasse 4|Verwaltungsgebäude|2020.00</t>
  </si>
  <si>
    <t>Mauerwerk, rückseitig Riegelbau mit Ausfachungen aus Klinkersteinen</t>
  </si>
  <si>
    <t>Satteldach mit Falzziegel, Feuchtigkeitsspuren ersichtlich</t>
  </si>
  <si>
    <t>Mauerwerk verputzt, im EG mit Natursteinen, Fachwerk mit Ausfachungen aus Klinkersteinen rückseitig</t>
  </si>
  <si>
    <t>Holz-/Metallfenster (''10), doppelverglast, einzelne mit Sprossen, Glasbausteine</t>
  </si>
  <si>
    <t>z.T. sind keine Mischventile vorhanden, jedoch sind keine Mängel bekannt, WM</t>
  </si>
  <si>
    <t>Kabelkanäle, Beleuchtung, tw. alte Keramiksicherungen vorhanden, keine FI-Schutzschalter</t>
  </si>
  <si>
    <t>Treppen, Geländer und Innenwände aus Holz, Teeküche, innere Verglasung, Archivschränke</t>
  </si>
  <si>
    <t>B: Parket, Keramikplatten, Klinkerboden, Linol, Teppich, W: Verputz, Keramik, PVC, Glasfasertapeten, diverse Risse und Abplatzungen ersichtlich, D: Akustikplatten, Verputz</t>
  </si>
  <si>
    <t>4950|Neuhausstrasse 15|Schulanlage Schwarzenbach|20444.00</t>
  </si>
  <si>
    <t>Blechfalzdach aus Kupfer</t>
  </si>
  <si>
    <t>Kiesklebedach mit Solaranlagen, Dachentwässerung funktionierend, Notüberläufe vorhanden, stellenweise Vermoosung/Veralgung, Oblichtkuppeln</t>
  </si>
  <si>
    <t>Eternitschindeln und Blech, Verwitterungsspuren und gebrochene Eternitschindeln im Sockelbereich ersichtlich</t>
  </si>
  <si>
    <t>Holz-/Metallfenster mit Isolierverglaungen/Sonnenschutzfolie und Rafflamellenstoren, Oblicht, Windfang, Turnhalle: alte Holzfensterrahmen</t>
  </si>
  <si>
    <t>Holzschnitzelfeuerungsanlage (''94), entspricht nicht mehr den heutigen Anforderungen</t>
  </si>
  <si>
    <t>Warmwasser-Leitungen sind zum teil rostig, Sanitäranlagen tw. älteren Datums ohne Mischventile</t>
  </si>
  <si>
    <t>Steuerung Holzschnitzelfeuerungsanlage, Kabelkanäle, Beleuchtung, tw. alte Keramiksicherungen vorhanden</t>
  </si>
  <si>
    <t>Treppenlift, Schiessanlage</t>
  </si>
  <si>
    <t>Garderoben, Tee- und Schulküchen, Einbauschränke, Fenstersimse, Garderoben älteren Datums</t>
  </si>
  <si>
    <t>B: Linol, Kunststeintreppen, Klinker im Korridor, Parkett, Bodenplatten beim Balkon sind vermoost, Turnhallenboden mit einzelnen Rissen W: Verputz, an einzelnen Stellen sind Risse und Abnützungsspuren sichtbar, D: Verputz, Holz</t>
  </si>
  <si>
    <t>4950|Oberdorfstrasse 4|Berufsschulhaus|3800.00</t>
  </si>
  <si>
    <t>Mansardendach mit Biberschwanzziegeln, isoliert, tw. ausgebaut, Dachuntersichten i.O., Lukarnen</t>
  </si>
  <si>
    <t>Mauerwerk verputzt, mit Natursteingewänden im Erdgeschoss und Holzgewänden und -fensterbrettern in den OG''s</t>
  </si>
  <si>
    <t>Holz-/Metallfenster mit Sprossen und Rafflamellenstoren</t>
  </si>
  <si>
    <t>Ältere Beleuchtung, Beamer, tw. Keramiksicherungen vorh.</t>
  </si>
  <si>
    <t>Telefon, EDV-Analge</t>
  </si>
  <si>
    <t>Fernwärme, WW-Boiler</t>
  </si>
  <si>
    <t>Genügend Druck vorhanden, Wasser kann ungehindert abfliessen</t>
  </si>
  <si>
    <t>Einbauschränke, Garderoben, Windfang, Holzsimse</t>
  </si>
  <si>
    <t>B: Keramik, Linol, W: Verputz, einzelne Risse vorh., D: Täfer, Verputz</t>
  </si>
  <si>
    <t>4950|Oberdorfstrasse 5|Velokeller|275.00</t>
  </si>
  <si>
    <t>Das Flachdach ist begehbar, Nutzschicht: Zementplatten</t>
  </si>
  <si>
    <t>Sichtbeton, tw. verwittert und vermoost</t>
  </si>
  <si>
    <t>Gitter-/Kellerfenster</t>
  </si>
  <si>
    <t>B: Der Gehweg besteht aus Betonsteinen, W: Beton, D: Heraklith, rund um das Wasserleitungsrohr ist es nass, vermutlich undicht, die Ablaufrinne beim Eingang ist rostig, Metall-Geländer</t>
  </si>
  <si>
    <t>4950|Oberdorfstrasse 11a|Schulhaus Städtli|9200.00</t>
  </si>
  <si>
    <t>Mauerwerk, Hourdisdecke und Metallstützen im UG, stellenweise rostig, Kunststeintreppen</t>
  </si>
  <si>
    <t>Satteldach mit Falzziegeln, im Dachraum teilweise ausgebaut, Bibliothek, einzelne Wasserflecken beim Unterdach</t>
  </si>
  <si>
    <t>Mauerwerk verputzt, Kunststeingewände, gestrichen</t>
  </si>
  <si>
    <t>Holz-/Metallfenster (''04) mit Rafflamellenstoren, Windfang aus Metall/Glas, undicht, fehlende Panikbeschläge</t>
  </si>
  <si>
    <t>Ausreichender Druck vorhanden, Apparate und Armaturen i.O., Wasser kann ungehindert ablaufen</t>
  </si>
  <si>
    <t>Warmwasser-Boiler, Beleuchtung, EDV-Anlagen</t>
  </si>
  <si>
    <t>Windfang, Holztreppe, Einbauschränke, Garderoben, Arbeitssimse, Küchen, Glas-Metallabschlüsse</t>
  </si>
  <si>
    <t>B: Linol, Parkett, Klinker, Kunststein, W: Verputz , an einzelnen Stellen sind Abplatzungen und Risse ersichtlich, D: Gipskartonplatten, Täfer, Verputz</t>
  </si>
  <si>
    <t>4950|Oberdorfstrasse 13/15/15b|Werkhof|3750.00</t>
  </si>
  <si>
    <t>Naturstein-Mauerwerk, Holzbalkendecken, BS-/KS-Mauerwerk mit Hourdisdecke, z.T. Beton</t>
  </si>
  <si>
    <t>Krüppelwalmdach mit Falzziegel und Eternitziegeln, Satteldach im ehem. Wohngebäude</t>
  </si>
  <si>
    <t>Bürogebäude: Mauerwerk verputzt und Eternitschindeln, \nWerkhof:  Holz, Anbau KS-Sichtmauerwerk</t>
  </si>
  <si>
    <t>Holzfenster mit Holz-/Fensterläden und Sprossen, Oblicht, Sektionaltor</t>
  </si>
  <si>
    <t>Beleuchtung, genügende Absicherung</t>
  </si>
  <si>
    <t>Bodenheizung und Radiatoren</t>
  </si>
  <si>
    <t>Tw. sind keine Mischventile vorhanden, ansonsten sind keine Mängel ersichtlich</t>
  </si>
  <si>
    <t>Einbauschränke, Garderoben, Holztreppe, Teeküche, Trennwände</t>
  </si>
  <si>
    <t>B: Linol, Keramik, W: Verputz, Abrieb, Holz, Keramikplatten, D: Abrieb, tw. Schimmelpilz, Täfer</t>
  </si>
  <si>
    <t>4950|Buchenweg 6b|Wasserversorgung|480.00</t>
  </si>
  <si>
    <t>Satteldach mit Falzziegel, Untersichten aus Holz\nNebengebäude: Satteldach mit Biberschwanzziegel</t>
  </si>
  <si>
    <t>Mauerwerk, verputzt, Natursteingewände am Eingang</t>
  </si>
  <si>
    <t>Holzfenster mit Schutzgitter, Aussentüre aus Holz</t>
  </si>
  <si>
    <t>Einbauschrank, Hebezug</t>
  </si>
  <si>
    <t>B: Keramik, Beton gestrichen, an einzelnen Stellen Vermoosungen und Rostflecken erkennbar, W+D: Verputz</t>
  </si>
  <si>
    <t>4950|Huttwilwald 1a|Pumpwerk|291.00</t>
  </si>
  <si>
    <t>KS-Mauerwerk und Stahlbeton, Stahlträger/Laufschiene</t>
  </si>
  <si>
    <t>Blechdach</t>
  </si>
  <si>
    <t>Klimaanlage</t>
  </si>
  <si>
    <t>Pumpen</t>
  </si>
  <si>
    <t>Pumpensteuerung, Beleuchtung</t>
  </si>
  <si>
    <t>Lüftung</t>
  </si>
  <si>
    <t>Elektro-Hebezug, Metallgeländer</t>
  </si>
  <si>
    <t>B: Beton gestrichen, eingesandt, W: Kalksandstein, gestrichen, D: Beton gestrichen</t>
  </si>
  <si>
    <t>4950|Dornackerweg 2a/b|Wasserversorgung|330.00</t>
  </si>
  <si>
    <t>Begrüntes Flachdach</t>
  </si>
  <si>
    <t>Sichtbeton zum Teil verschmutzt, Naturstein</t>
  </si>
  <si>
    <t>Aluminiumfenster und -Aussentüre</t>
  </si>
  <si>
    <t>Elektroheizung, Warmwasser-Boiler</t>
  </si>
  <si>
    <t>Radiator</t>
  </si>
  <si>
    <t>Pumpen, keine Mängel bekannt</t>
  </si>
  <si>
    <t>Lüftung, Kompressor</t>
  </si>
  <si>
    <t>Treppengeländer (entsprechen nicht den aktuellen Anforderungen)</t>
  </si>
  <si>
    <t>B: Linol, Kunststein, W: Verputz gestrichen, D: Pavatex Akustikdecke</t>
  </si>
  <si>
    <t>4950|innere Schlüecht 5a|Wasserversorgung|2540.00</t>
  </si>
  <si>
    <t>Extensiv begrünt, keine Mängel bekannt</t>
  </si>
  <si>
    <t>Mauerwerk mit Eternitschindeln</t>
  </si>
  <si>
    <t>Holzfenster, Aussentüre aus Aluminium</t>
  </si>
  <si>
    <t>Elektroboiler</t>
  </si>
  <si>
    <t>mobiler Entfeuchter vorh.</t>
  </si>
  <si>
    <t>keine Mängel ersichtlich</t>
  </si>
  <si>
    <t>Treppengeländer (entspricht nicht den heutigen Anforderungen)</t>
  </si>
  <si>
    <t>B: Keramik, Beton gestrichen, W+D: Verputz</t>
  </si>
  <si>
    <t>4950|Möhrenweid 1a|Wasserversorgung|1950.00</t>
  </si>
  <si>
    <t>Überdeckt, int. begrünt</t>
  </si>
  <si>
    <t>Mauerwerk, verputzt, div. z.T. grössere Risse im Putz und Gewände</t>
  </si>
  <si>
    <t>Metallfenster mit Schutzgitter, Aussentür aus Aluminium</t>
  </si>
  <si>
    <t>Entfeuchter</t>
  </si>
  <si>
    <t>Pumpe, Leitungen tw. rostig</t>
  </si>
  <si>
    <t>Geländer (entspricht nicht den aktuellen Anforderungen)</t>
  </si>
  <si>
    <t>B: Beton gestrichen, W+D: Verputz</t>
  </si>
  <si>
    <t>4950|Moostrasse 2a|Garage Feuerwehr|27.00</t>
  </si>
  <si>
    <t>Hourdisdecke, Mauerwerk</t>
  </si>
  <si>
    <t>Nacktdach und Dachrand vermoost</t>
  </si>
  <si>
    <t>Aussentüre aus Holz, tw. gestrichen, verwittert</t>
  </si>
  <si>
    <t>B: Zementüberzug, W: Mauerwerk roh, D: Hourdisdecke, roh</t>
  </si>
  <si>
    <t>8477|Hanffeldstrasse 18|Kindergarten|789.00</t>
  </si>
  <si>
    <t>Mauerwerk, Holzwerk Dach in gutem Zustand</t>
  </si>
  <si>
    <t>Sparrendach mit Flachziegeleindeckung, Falzziegel tw. defekt</t>
  </si>
  <si>
    <t>MW gestrichen, tw. verputzt, Sichtmauerwerk</t>
  </si>
  <si>
    <t>Holzfenster, doppelverglast mit Sprossen, Rafflamellenstoren</t>
  </si>
  <si>
    <t>Ungenügende Beleuchtung</t>
  </si>
  <si>
    <t>Alte Apparate und Armaturen ohne Mischventile</t>
  </si>
  <si>
    <t>Garderoben, Einbaukästen, Simse und Vorhangbretter, Küche sehr veraltet</t>
  </si>
  <si>
    <t>B: Linol, Keramik, W: MW verputzt, D: Pavatexplatten</t>
  </si>
  <si>
    <t>9471|Rheinau|Clubhaus FC Buchs|4207.00</t>
  </si>
  <si>
    <t>Holzbau, Mauerwerk, Stahlkonstruktion</t>
  </si>
  <si>
    <t>Hinterlüftete Fassade</t>
  </si>
  <si>
    <t>Isolierverglasung-Kunststofffenster (2008), 2-fach-verglast mit Rafflamellenstoren</t>
  </si>
  <si>
    <t>Gasheizung, Boiler</t>
  </si>
  <si>
    <t>Duschen, Sanitärapparate neuwertig, Leitungen isoliert, Grundwasserpumpen, Schuhputzanlage</t>
  </si>
  <si>
    <t>Einzelne Keramiksicherungen vorhanden, ansonsten Starkstromanlage auf aktuellem Stand, Audioanlagen</t>
  </si>
  <si>
    <t>Kühlraum, Boiler, Küche, Wasserpumpen</t>
  </si>
  <si>
    <t>B: Flüssigkunststoff, Kunststoffplatten\nW: Betonsteine, Keramik, gestrichen\nD: Rohbeton, Heraklitplatten</t>
  </si>
  <si>
    <t>Einbauschränke, Briefkasten, Garderoben, Küche, Theke Restaurant</t>
  </si>
  <si>
    <t>Lüftungsanlage Garderoben und Küche</t>
  </si>
  <si>
    <t>9471|Buchersplatz|Schiessanlage|6121.00</t>
  </si>
  <si>
    <t>Mauerwerk, KS-Wände, Stahlbeton</t>
  </si>
  <si>
    <t>Satteldach mit Eternitschindeln</t>
  </si>
  <si>
    <t>PVC-Fenster aus dem Jahr 1997, 2-fach-Verglasung, 2-fach Verglasung, Isolierverglasung mit Fensterläden</t>
  </si>
  <si>
    <t>Radiatoren, Konvektor</t>
  </si>
  <si>
    <t>Apparate funktionstüchtig, keine Mängel bekannt, Leitungen i.O.</t>
  </si>
  <si>
    <t>BMA, Alarmanlage, Trefferanzeige</t>
  </si>
  <si>
    <t>B: Keramik, Teppich\nW: Verputz, Holz, Akustik, Keramik\nD: Holz, heruntergehängte Akustikdecke</t>
  </si>
  <si>
    <t>Innere Verglasung, Küche</t>
  </si>
  <si>
    <t>9471|Buchserau|Freibad Rheinau|3308.00</t>
  </si>
  <si>
    <t>Stahlbeton, Kalksandstein, Mauerwerk, Schichtbrettträger</t>
  </si>
  <si>
    <t>Kiesklebedach auf Holzunterkonstruktion</t>
  </si>
  <si>
    <t>Mauerwerk, Stahlbeton, gestrichen</t>
  </si>
  <si>
    <t>Metallfenster im UG, Holzmetallfenster, Metallrollläden</t>
  </si>
  <si>
    <t>Sonnenkollektoren für die Becken, Elektrisch für Duschen, Elektroboiler</t>
  </si>
  <si>
    <t>Duschen, Fusswaschanlage, bei Lavabos tw. keine Mischventile vorhanden, ansonsten sind keine Mängel bekannt</t>
  </si>
  <si>
    <t>Alarmanlage, Audioanlage, Steuerungen</t>
  </si>
  <si>
    <t>Kälteanlage</t>
  </si>
  <si>
    <t>B: Keramik, Beton, gestrichen\nW: Verputz, Kalksandstein, gestrichen\nD: Holz, Verputz, Heraklit</t>
  </si>
  <si>
    <t>Innere Verglasung, Trennwände Kunstharzplatten mit Metallrahmen, Gastronomieküche, Garderoben, Kälteraum</t>
  </si>
  <si>
    <t>9471|Brunnenweg 1|Bezirksgefängnis Wohnhaus|1097.00</t>
  </si>
  <si>
    <t>Mauerwerk, Hourdisdecken</t>
  </si>
  <si>
    <t>Mansardendach mit Lukarnen mit Kupfer-Blechdach, Dachrinnen und Ablaufrohre ohne sichtbare Mängel</t>
  </si>
  <si>
    <t>Mauerwerk, verputzt, Sandsteingewände, Sockel, Fries</t>
  </si>
  <si>
    <t>Doppelverglaste Holzfenster mit zwischenliegenden Sprossen, Holzläden und Rollläden, tw. vergittert, Fensterbänke aus Holz sind morsch. Holztüre beim Schuppen etwas verwittert.</t>
  </si>
  <si>
    <t>Elektrotableau, ev. mit asbesthaltiger Grundplatte, tw. neue Sicherungen vorhanden</t>
  </si>
  <si>
    <t>Die Leitungen sind nicht isoliert</t>
  </si>
  <si>
    <t>Innentrennwände, Holzverleidungen, Geländer aus Holz, Einbauschränke, Innentüren aus Holz, tw. verstärkt oder gepanzert (Gefängniszellen)</t>
  </si>
  <si>
    <t>B: Teppich, Holz, PVC, Parkett, Klinkersteine, Keramik, Holzbretter im Schuppen W: Holz, Verputz, Keramik, D: Verputzt, Holz, Gipskartonplatten</t>
  </si>
  <si>
    <t>Küchenzeile mit Backofen, Waschmaschine, kleinere Einbauküche im DG</t>
  </si>
  <si>
    <t>Entlüftung im Bad UG</t>
  </si>
  <si>
    <t>8104|Haslernstrasse 20|Villa|1753.00</t>
  </si>
  <si>
    <t>Stahlbeton, Stahl- und Holzbau. Wassereintritt in Kellerraum, vermutlich über Terrasse</t>
  </si>
  <si>
    <t>Eternitschindeldach. Keine Mängel sichtbar, gem. Hr. Senese keine Altlasten vorhanden.</t>
  </si>
  <si>
    <t>Nacktdach über Sitzplatz mit Aussenchminée. Keine Mängel sichtbar.</t>
  </si>
  <si>
    <t>Verputzte Flächen tw. verschmutzt, Holzflächen und Sichtbetonmauern tw. verwittert.</t>
  </si>
  <si>
    <t>Metallfenster und -hebeschiebetüren tw. schwergängig, Aussentüren tw. undicht</t>
  </si>
  <si>
    <t>Ältere Oelheizung, Die neuen Grenzwerte der LRV werden vermutlich nicht mehr eingehalten.</t>
  </si>
  <si>
    <t>Radiatoren und Konvektoren. In den neueren Bädern Elektro-Bodenheizung</t>
  </si>
  <si>
    <t>Apparate in den Bädern mehrheitlich neuwertig. Leitungsdruck ausreichend, Wasser kann ungehindert ablaufen.</t>
  </si>
  <si>
    <t>Elektroinstallationen müssen ersetzt werden, alte Sicherungen auf vermutlich asbesthaltigen Grundplatten</t>
  </si>
  <si>
    <t>Böden mit Naturstein, Teppich und Keramik, Hartbeton in Garage. Wände verputzt oder mit Holz verkeidet, im Büro Sichtbeton. Decken verputzt oder mit Holztäfer verkleidet.</t>
  </si>
  <si>
    <t>Cheminée aussen und innen</t>
  </si>
  <si>
    <t>8335|Hermetsbüelweg 16|Hermetsbüel Primar|7330.00</t>
  </si>
  <si>
    <t>Stahlbetonbau mit Mauerwerk, feine Risse im Mauerwerk*</t>
  </si>
  <si>
    <t>Ziegeldach, Spuren von Wassereintritt bei Dachuntersicht**</t>
  </si>
  <si>
    <t>Eternitschindelfassade</t>
  </si>
  <si>
    <t>Holzfenster, Metall-Fenster, Metalltür, Rafflamellenstoren, tw. ohne IV-Verglasung, tw. 3-fach-Verglasung</t>
  </si>
  <si>
    <t>Keine Mängel bekannt.</t>
  </si>
  <si>
    <t>FI-Schutzschalter vorhanden</t>
  </si>
  <si>
    <t>Genügender Druck vorhanden, Wasser kann ungehindert ablaufen, zeitgemässe san. Apparate, Boiler, Enthärtungsanlage vorh.</t>
  </si>
  <si>
    <t>Einbaukästen, Innere-Verglasung, Windfang</t>
  </si>
  <si>
    <t>D: Putz, Holz, Spritzputzdecken (Verdacht auf Asbest!), Gips, Beton (Keller)\nW: Putz, Zementblock (Keller), Beton (Keller)\nB: Natursteinplatten (Risse vorh. *), Parkett, Klinker, Beton (Keller)</t>
  </si>
  <si>
    <t>8476|Bahnhofstrasse 8|Schulhausanlage|13710.00</t>
  </si>
  <si>
    <t>Stahlbeton, Mauerwerk, Gerätehaus: Stahlbeton</t>
  </si>
  <si>
    <t>Sparrendach mit Falzziegel und Glasdächer, Untersichten aus Holz, Unterdach mit Holzschindeln alt, Dachraum alt: Wasserfleck ist sichtbar am Boden, gemäss Hauswart Wassereintritt da Feuchteschaden über Akustikdecken im Schulhaus, wird gem. HW repariert</t>
  </si>
  <si>
    <t>Eternit/Holz (Stulpschalung), Betonsockel, Naturstein, Gerätehaus: Eternit und Sichtbeton</t>
  </si>
  <si>
    <t>Holz-/Metallfenster (''02) und Holzfenster (alt) sind schlecht isoliert, innere Verdunkelungen alt und defekt, Rafflamellenstoren, Metalltür in der Bibliothek, Gerätehaus: Kunsttoffenster, Tor beschädigt</t>
  </si>
  <si>
    <t>Beleuchtung (''02, tw. ''05)</t>
  </si>
  <si>
    <t>EDV Leitungen erneuert, Gong, Sonnerie</t>
  </si>
  <si>
    <t>Radiatoren mit Thermostaten, Steuerung und Pumpen müssen ersetzt werden</t>
  </si>
  <si>
    <t>Die Sanitäranlagen im Schulhaus (''69) sind veraltet, die vier Aussenanschlüsse i.O.</t>
  </si>
  <si>
    <t>Arbeitsflächen aus Holz, Wandschränke, Gerätehaus: Gestelle, WC-Trennwände: Türen klemmen tw.</t>
  </si>
  <si>
    <t>B: Linol, Parkett, Keramik, Kunststeintreppen, Teppich W: Verputz D: Beton roh, Holz, Akustikdecken, Gerätehaus: B: Beton roh, W: Eternit, Sichtbeton D: Holz</t>
  </si>
  <si>
    <t>Teeküchen in der Bibliothek und im Lehrerzimmer, Lüftungsanlage im Singsaal ausser Betrieb</t>
  </si>
  <si>
    <t>8006|Sonneggstrasse 42 + 44|MFH Sonnegg 42 + 44|5424.00</t>
  </si>
  <si>
    <t>Ziegeldach, Unterdach aus Schindeln, einzelne Spuren von Wassereintritten ersichtlich</t>
  </si>
  <si>
    <t>Mauerwerk verputzt, gestrichen, Balkone mit neuen Geländer aus Glas</t>
  </si>
  <si>
    <t>tw. neuere IV-Holzfenster mit Rollläden, Garagentore aus Holz/Metall, Eingangstüre mit Glasfüllungen</t>
  </si>
  <si>
    <t>Beleuchtung Treppenhaus, Sonnerie, TV-/Telefonanschlüsse, tw. alte Keramiksicherungen</t>
  </si>
  <si>
    <t>Fussbodenheizung</t>
  </si>
  <si>
    <t>Apparate unterschiedliche Zustände, funktionstüchtig</t>
  </si>
  <si>
    <t>tw. veraltet aber insgesamt intakt, genügender Druck vorhanden, Wasser läuft ungehindert ab</t>
  </si>
  <si>
    <t>Aufzug veraltet, fehlende Innentür</t>
  </si>
  <si>
    <t>Fenstersimse, Fensterbretter, Einbauten, UG: Boden aus Beton roh, Kunststeintreppen im Treppenhaus, Wohnung: B: Keramikplatten</t>
  </si>
  <si>
    <t>W+D: Verputz</t>
  </si>
  <si>
    <t>unterschiedliche Zustände</t>
  </si>
  <si>
    <t>8476|Bahnhofstrasse 8|Sporthalle|9813.00</t>
  </si>
  <si>
    <t>Stahl, Holz</t>
  </si>
  <si>
    <t>Steildach mit Falzziegeleindeckung (Dachraum konnte nicht besichtigt werden)</t>
  </si>
  <si>
    <t>Kiesklebedach zwischen Sporthalle und Schulhaus</t>
  </si>
  <si>
    <t>Eternit, Holz, Sockel Stahlbeton</t>
  </si>
  <si>
    <t>Holz-/Metallfenster wurden für CHF 25`000 ersetzt, inkl. 2 Motoren pro Fenster, neue Storen im ''16 für CHF 17`000, grosse Fluchttür in Sporthalle wurde an andere Fassade verschoben, da Wasser eintrat</t>
  </si>
  <si>
    <t>Zeitgemässe und genügende Sicherungen mit FI-Schutzschalter</t>
  </si>
  <si>
    <t>Bodenheizung und Wärmelüftung, Steuerung wurde optimiert</t>
  </si>
  <si>
    <t>Lüftungsanlage Fa. Bösch ohne Mängel</t>
  </si>
  <si>
    <t>Lüftungsanlage funktioniert gem. Angaben HW einwandfrei, Nachtauskühlung</t>
  </si>
  <si>
    <t>Armaturen und Apparate: keine Mängel bekannt</t>
  </si>
  <si>
    <t>Gerätehalterungen, Trennwand Doppelturnhalle, Innentüren einwandfrei</t>
  </si>
  <si>
    <t>B: Parkett, Keramik, Zement, W: Holz (tw. erneuert), Backstein gestrichen, Verputz gestrichen, Keramik; Pinselrenovation wurde im Innenraum gemacht, D: Holz (auch in Du/Gard: ungeeignet!), Beton gestrichen, in TH neuer Boden (höhere Dämpfung)</t>
  </si>
  <si>
    <t>9471|St. Gallerstrasse 2|Rathaus|11240.00</t>
  </si>
  <si>
    <t>Stahlbeton und Mauerwerk, einzelne Risse an den Wänden im UG, Stahlstütze im UG</t>
  </si>
  <si>
    <t>Bitumen-Kiesklebedach, (vor 2 Jahren saniert) mit Cupolux Oblichtern</t>
  </si>
  <si>
    <t>Vorderseite: Waschbeton- und Sichtbetonelemente, Rückseite: verputzt</t>
  </si>
  <si>
    <t>Doppelverglaste Holz-/Metallfenster (''94/98'') mit Rafflamellenstoren, Metallfensterfront beim Eingang</t>
  </si>
  <si>
    <t>Tw. alte Keramiksicherungen vorhanden, Beleuchtung tw. erneuerungsbedürftig</t>
  </si>
  <si>
    <t>Brandmeldeanlage, Schliessanlage (vor 2 Jahren ersetzt), EDV-Server und Netzwerk</t>
  </si>
  <si>
    <t>Fernwärme (Anpassung vor 2 Jahren)</t>
  </si>
  <si>
    <t>Konvektoren und Radiatoren</t>
  </si>
  <si>
    <t>WC - Lüftung, Garagenlüftung</t>
  </si>
  <si>
    <t>Fallleitungen und Wasserleitungen sind rostig, Pumpenschacht in UG, Apparate z.T. älter, jedoch funktionstüchtig, Feuerlöschposten, WM/WT</t>
  </si>
  <si>
    <t>Personen-/Warenaufzug</t>
  </si>
  <si>
    <t>Einbauschränke, heruntergehängte Decken, mobile Trennwände aus Kunstleder im Saal, Türen verglast, innere Verglasungen, Schalter, Innentrennwände, Verkleidungen der Konvektoren, Archivsystem (Compactus)</t>
  </si>
  <si>
    <t>B: Naturstein, Kunststein, Teppich, PVC, Zementüberzug mit Rissen im UG, W: Verputz, Beton gestrichen, Keramikplatten, D: Verputz, Täfer, Akustikdecken, einzelne Risse am Boden und an den Wänden</t>
  </si>
  <si>
    <t>5620|Obertorplatz|Parkgarage|35355.00</t>
  </si>
  <si>
    <t>Stahlbetonbau, einzelne Spuren von Wassereintritt vorhanden, zumindest tw. bereits behoben</t>
  </si>
  <si>
    <t>Walmdach aus Trapezblech mit Glasoblicht, begehbares Flachdach (Schulhausplatz), asphaltiert, tw. mit Pflastersteinen und Treppenstufen</t>
  </si>
  <si>
    <t>Metall-/Glasfassade bei Treppenhäusern</t>
  </si>
  <si>
    <t>Eingangstüren bei Treppenhäuser aus Glas/Metall, keine Schäden bekannt</t>
  </si>
  <si>
    <t>Die Beleuchtung wurde 2011 erneuert, Ampelanlage, Brunnenbeleuchtung und -steuerung</t>
  </si>
  <si>
    <t>Brandmeldeanlage, Gaswarnanlage, Schranken und Ampelsteuerung, Brunnensteuerung, Videoüberwachung (wird erneuert)</t>
  </si>
  <si>
    <t>Sprinkleranlage, Feuerlöschposten, Ablaufrinnen, Brunnen (Pyramide) mit Umwälzpumpe und Filter, Fäkalienpumpen</t>
  </si>
  <si>
    <t>Hydraulische Personenaufzüge</t>
  </si>
  <si>
    <t>Granitstufen, Asphalt (guter Zustand), Hartbeton, gestrichen, Metalltreppe unter dem Brunnen ist tw. durchgerostet, Wände und Decken tw. gestrichen</t>
  </si>
  <si>
    <t>Lüftungsanlage (Abluft), Schutzraumlüftung</t>
  </si>
  <si>
    <t>8335|Jakob Stutz-Str 60|Mehrzweckhalle|17239.00</t>
  </si>
  <si>
    <t>Stahlbetonbau, Mauerwerk</t>
  </si>
  <si>
    <t>Trapezwellblech über Halle (Aufbau unbekannt), Wasserschaden Meteor Wasser - Schmelzwasser füllt Schacht und läuft über.</t>
  </si>
  <si>
    <t>Putz</t>
  </si>
  <si>
    <t>Holz-Metallfenster mit IV-Verglasung</t>
  </si>
  <si>
    <t>Bühnenbeleuchtung, Bühnentechnik, Solaranlage (Eigentümerin EKZ?)</t>
  </si>
  <si>
    <t>Fernwärme gehört Stadtwerke Winterthur. Holzschnitzelfeuerungsanlage</t>
  </si>
  <si>
    <t>Radiatoren mit Thermostaten, Bodenheizung?</t>
  </si>
  <si>
    <t>WC-Anlage, Duschen, Feuerlöschposten</t>
  </si>
  <si>
    <t>Gewerbliche und Aufbereitungs-/Ausgabeküche, Trennwände (beweglich), Garderobenbänke</t>
  </si>
  <si>
    <t>D: Heraklit, Akustikdecke, Beton-gestrichen\nW: Beton-gestrichen, Zementstein, Glasfasern Tapete, Akustik-wände \nB: Parkett, Kunststoff, PU</t>
  </si>
  <si>
    <t>Lüftungsanlage Halle und Küche</t>
  </si>
  <si>
    <t>8335|Hermetsbüelweg 8|Hauswartwohnung|1112.00</t>
  </si>
  <si>
    <t>Stahlbeton, Mauerwerk, feuchte Wände im UG unter Treppe</t>
  </si>
  <si>
    <t>Notüberläufe konstruktiv mangelhaft, stehendes Wasser bei Vordach, Glasvordach</t>
  </si>
  <si>
    <t>Mauerwerk, verputzt, Eternitplatten, Balkongeländer</t>
  </si>
  <si>
    <t>Holz/Metallfenster mit Isolierverglasung, Metallfenster, Rafflamellenstoren, Franz. Balkone, Garagentor</t>
  </si>
  <si>
    <t>Genügende Absicherung, Gegensprechanlage</t>
  </si>
  <si>
    <t>Fernwärme(?)</t>
  </si>
  <si>
    <t>Bad, WC: Apparate zeitgemäss, Waschmaschine, Boiler</t>
  </si>
  <si>
    <t>Genügender Druck vorhanden, Wasser kann ungehindert ablaufen</t>
  </si>
  <si>
    <t>Einbauschränke, Küche, Treppengeländer (bekletterbar!)</t>
  </si>
  <si>
    <t>D: Putz, Holz\nW: Putz mit Rissen bei fehlendem Trennschnitt, Keramikplatten\nB: Parkett, Keramik, Kunststein</t>
  </si>
  <si>
    <t>Küche original mit Natursteinabdeckung und Glaskeramikkochfelder, funktionstüchig</t>
  </si>
  <si>
    <t>8335|Hermetsbüelweg 24|Turnhalle Hermetsbüel|7977.00</t>
  </si>
  <si>
    <t>Stahlbeton, feine Risse in Kellerdecke, tw. mit Rostspuren, Mauerwerk in gutem Zustand</t>
  </si>
  <si>
    <t>Dacheindeckung aus Pfannenziegeln, Stirn- und Traufbretter sowie Untersichten stellenweise verwittert</t>
  </si>
  <si>
    <t>Holz, hinterlüftet, Mauerwerk, verputzt, ausser Holzflächen (etwas verwittert) ohne Mängel</t>
  </si>
  <si>
    <t>Holzfenster mit Dreifachverglasung (original), Dichtungen schadhaft, Metall-Fenster mit Dreifachverglasung, Rafflamellenstoren, Eingangstüre und Fluchttüre Saal aus Metall</t>
  </si>
  <si>
    <t>LED-Leuchten in Turnhalle, übrige Installationen (Schalter, Leuchten) älter aber funktionstüchtig, Bühnentechnik wird gerade erneuert</t>
  </si>
  <si>
    <t>Audioanlage Turnhalle, Audioanlage Bühne</t>
  </si>
  <si>
    <t>Fernwärme, alter Öltank (außer Betrieb)</t>
  </si>
  <si>
    <t>Bodenheizung und Lufterwärmung über Lüftung</t>
  </si>
  <si>
    <t>Duscharmaturen, WC-Apparate und Fusswaschanlage funktionstüchtig, Wasserschaden (Sanitärinst. hat die Ursache nicht gefunden), Feuerlöschposten</t>
  </si>
  <si>
    <t>Bühne, Einbauschränke, Inntüren aus Holz, WC-Trennwände, Sprossenwände Turnhalle</t>
  </si>
  <si>
    <t>D: Holz, Zement\nW: Putz, Holz\nB: Klinker, Parkett, Kunststoff, Keramik, Hartbeton (feiner Riss bei Bodenablauf)</t>
  </si>
  <si>
    <t>Lüftungsanlage aus Bauzeit (Ersatzteile nur noch begrenzt erhältlich), Haartrockner Garderobe</t>
  </si>
  <si>
    <t>8335|Hermetsbüelweg 9|Dorfschule|5912.00</t>
  </si>
  <si>
    <t>Stahlbeton (Rostflecken in Ecke in UG, ev. von Armierungseisen), Zweischalen-Mauerwerk</t>
  </si>
  <si>
    <t>Wellblechdach</t>
  </si>
  <si>
    <t>Hinterlüftete Holzfassade mit Metallfensterbänken und -leibungen, Mauerwerk verputzt (mit tw. grösseren Rissen und verschmutztem Putz), Sichtbeton</t>
  </si>
  <si>
    <t>Holz/Metal mit IV-Verglasung (2002), Rafflamellenstoren, Aussentüre aus Metall</t>
  </si>
  <si>
    <t>Genügende Absicherung, keine Mängel bekannt</t>
  </si>
  <si>
    <t>Audioanlagen, IT-Netz</t>
  </si>
  <si>
    <t>Genügender Druck vorhanden, Wasser kann ungehindert abfliessen, Leitungen isoliert, Boiler, Tauchpumpe, Enthärtungsanlage</t>
  </si>
  <si>
    <t>Einbauschränke, Windfang</t>
  </si>
  <si>
    <t>D: Akustik, Putz, Beton\nW: Sichtbeton, Putz (einzelne Risse), Gips\nB: Keramikplatten, PVC (Linoleum?), Zementboden (Keller), Schmutzschleuse</t>
  </si>
  <si>
    <t>8335|Wetzikerstrasse 20|Kiga Oberhittnau, Wohnung/Garage|2321.00</t>
  </si>
  <si>
    <t>Mauerwerk mit Holzbalkendecken, im KG mit Metallstütze und -träger</t>
  </si>
  <si>
    <t>Ziegeldach, Holzwerk stellenweise mit Spuren von Feuchtigkeit, ansonsten trocken, Spuren von Holzfrass an Sparren und Firstpfette, Unterdach aus Brettern, tw. ausgebaut mit Dachzimmer, beheizt</t>
  </si>
  <si>
    <t>Mauerwerk, verputzt mit Natur- oder Kunssteingewänden und -Friesen, Balkon mit Geländer aus Schmiedeisen</t>
  </si>
  <si>
    <t>Holzfenster (ca. 30-40 Jahre alt), Kunststofffenster mit Doppelverglasung (7.04), Holzrollläden, Eingangstüre aus Holz, möglicherweise aus Bauzeit</t>
  </si>
  <si>
    <t>Leitungen tw. auf Putz, Gegensprechanlage, ältere Beleuchtung im KG</t>
  </si>
  <si>
    <t>Luftwärmepumpe mit alter Ölheizung, Entfeuchter, Kachelöfen</t>
  </si>
  <si>
    <t>Radiatoren mit Thermostaten (tw. defekt)</t>
  </si>
  <si>
    <t>Bad mit Dusche sep. Armaturen und Apparate funktionstüchtig (tw. ohne Mischbatterien), WM neuwertig</t>
  </si>
  <si>
    <t>Leitungen neuwertig, genügend Druck vorhanden, Wasser kann ungehindert abfliessen</t>
  </si>
  <si>
    <t>Einbauschränke, Innentüren aus Holz mit Holzrahmen und inneren Verglasungen, Simse und Gewände aus Holz, Geländer aus Metall mit Holzhandläufen, Garderobenbänke und -haken, neuere Metalltreppe mit Verglasung und Geländer</t>
  </si>
  <si>
    <t>D: verputzt\nW: Putz tw. mit Rissen bei Anschluss an Decke, Holztäferung\nB: PVC/Linoleum, Naturstein, Porphyrplatten, Holzplatten, Holzkarton (Estrich), Parkett Fischgrat und Langriemen, Teppich</t>
  </si>
  <si>
    <t>Einfache Küche mit Geschirrspüler, Chromstahlbecken</t>
  </si>
  <si>
    <t>8335|Jakob Stutz-Str. 7|Kiga Unterhittnau und Wohnung|1449.00</t>
  </si>
  <si>
    <t>Ziegeldach, Dachfenster (Holz) mit Spuren am Rahmen von Kondenswasser, ausgebauter Dachraum, Holzwerk trocken und schadlos, Dachuntersichten schadlos</t>
  </si>
  <si>
    <t>Mauerwerk, verputzt, Balkon mit Geländer aus Holz</t>
  </si>
  <si>
    <t>Kunststofffenster mit IV-Verglasung, Alufensterläden</t>
  </si>
  <si>
    <t>Genügende Absicherung, tw. Aufputzleitungen, FI-Schutzschalter vorh.</t>
  </si>
  <si>
    <t>Wärmepumpe mit Wärmeabgabe an KGSonne</t>
  </si>
  <si>
    <t>WC-Anlage: Apparate zeitgemäss und funktionstüchtig, Boiler</t>
  </si>
  <si>
    <t>Leitungsdruck ist schwach</t>
  </si>
  <si>
    <t>Einbauschränke, Garderobenbänke und -simse aus Holz, WC-Trennwände, Vorhänge, Treppengeländer aus Holz (zu niedrig)</t>
  </si>
  <si>
    <t>D: Putz (tw. mit Rissen), Holzkassetten, gestrichen, Gipskartonplatten, gestrichen\nW: Putz (tw. Risse), Holzverkleidungen, gestrichen\nB: Linoleum, Keramik, Holzboden, Steinplatten, Parkettboden, Laminat, Teppich</t>
  </si>
  <si>
    <t>Küche mit Glaskeramikkochfeld und Geschirrspüler, neuwertig</t>
  </si>
  <si>
    <t>8335|Jakob Stutz-Str 7A|Kiga Sonne|867.00</t>
  </si>
  <si>
    <t>Holzbau, Kellerraum aus Stahlbeton</t>
  </si>
  <si>
    <t>Ziegeldach, Dachfenster, Spuren von Holzfrass im Bereich der Firstpfette sichtbar (Kontrolle erforderlich!), Dachrinnen mängelfrei</t>
  </si>
  <si>
    <t>Holzfenster mit IV-Doppelverglasung</t>
  </si>
  <si>
    <t>Genügende Absicherung vorhanden, FI-Schutzschalter</t>
  </si>
  <si>
    <t>Fernwärme (von KG Unterhittnau)</t>
  </si>
  <si>
    <t>Radiatoren</t>
  </si>
  <si>
    <t>Genügend Druck vorhanden, Wasser kann ungehindert ablaufen, Boiler</t>
  </si>
  <si>
    <t>Normaler Wasserdruck</t>
  </si>
  <si>
    <t>Einbauschränke, einfache Küche mit Glaskeramikkochfeld und Chromstahlbecken, Galerie aus Holz mit Holztreppe und -geländer, Innentüren aus Holz</t>
  </si>
  <si>
    <t>D: Holztäfer, gestrichen\nW: Verputzt, gestrichen\nB: Holz-Bretterboden, Linoleum</t>
  </si>
  <si>
    <t>8444||altes Postlokal|0.00</t>
  </si>
  <si>
    <t>Flachziegel</t>
  </si>
  <si>
    <t>Verputz gestrichen</t>
  </si>
  <si>
    <t>IV-Fenster (11.93), Gitter</t>
  </si>
  <si>
    <t>Beleuchtung, Leuchtstoffröhren</t>
  </si>
  <si>
    <t>Telefon, Radio</t>
  </si>
  <si>
    <t>Erdsonden-Wärmepumpe, (zentrale Heizung)</t>
  </si>
  <si>
    <t>Radiatoren mit Termostaten</t>
  </si>
  <si>
    <t>Metallzarge abgenutzt, beschädigt, Teeküche mit 2 Kochplatten</t>
  </si>
  <si>
    <t>Wände: Verputz, gestrichen, Decke: Beton, gestrichen, Boden: Linoleum, WC: Boden und Wände aus Keramikplatten</t>
  </si>
  <si>
    <t>4950|Bahnhofstrasse 4|Wohn- und Geschäftshaus|2300.00</t>
  </si>
  <si>
    <t>Mauerwerk, Hourdisdecken über UG, Holzbalkendecken, Treppen aus Holz, Metallstütze im Laden</t>
  </si>
  <si>
    <t>Satteldach mit Falzziegeln, teilweise isoliert</t>
  </si>
  <si>
    <t>Holz-/Metallfenster mit Aluminium-Rolläden, tw. alte Holzfenster, Fenster im WC des 2. OG''s ist undicht, Wasser dringt ein</t>
  </si>
  <si>
    <t>Sicherungen i.O., tw. alte Keramiksicherungen vorhanden</t>
  </si>
  <si>
    <t>Radiatoren mit Thermostaten, im WC des 2. OG''s funktioniert der Radiator nicht</t>
  </si>
  <si>
    <t>Allg. guter Zustand, WM/WT in Küche, Sanitär-Apparate in einer Wohneinheit und El.-Boiler veraltet</t>
  </si>
  <si>
    <t>Leitungen i.O., jedoch tw. unisoliert</t>
  </si>
  <si>
    <t>Bei Treppengeländer fehlt ein Stakette, die Innentüre, sowie die Balkontüre der Wohnung im 2. OG sind undicht.</t>
  </si>
  <si>
    <t>Boden aus Linol, Keramik, Teppich oder Holz Küche: Laminat; Wände verputzt, Keramikpl. Decken tw. Holztäfer, tw. Gips mit Rissen, Wandanstrich und Böden in einer Wohneinheit überholungsbedürftig sowie Anstriche von Türen und anderen Schreinerarbeiten</t>
  </si>
  <si>
    <t>Die Küchen sind intakt.</t>
  </si>
  <si>
    <t>4950|Bahnhofstrasse 6|Wohn- und Geschäftshaus|3600.00</t>
  </si>
  <si>
    <t>Stahlbeton, KS, Mauerwerk mit Holzbalkendecken</t>
  </si>
  <si>
    <t>Satteldach, isoliert mit Lukarnen</t>
  </si>
  <si>
    <t>über Garagen Flachdach, Bitumen-Nacktdach, die Dachränder sind z.T. vermoost</t>
  </si>
  <si>
    <t>Holzschindeln, gestrichen, mehrere Risse auf dem Balkonboden, Laubengang aus Holz</t>
  </si>
  <si>
    <t>Holz-/Metallfenster mit Fensterläden. Fenster im DG sind tw. undicht. Garagentore aus Holz</t>
  </si>
  <si>
    <t>Beleuchtung, EDV</t>
  </si>
  <si>
    <t>Druck i.O., das Wasser kann ungehindert ablaufen</t>
  </si>
  <si>
    <t>Aufzug, neuwertig</t>
  </si>
  <si>
    <t>Die Einbauschränke, Innentüren und Holztreppen sind mängelfrei</t>
  </si>
  <si>
    <t>B: Keramikplatten, Linoleumboden, W: verputzt, tw. mit Holz verkleidete Wände, Holz-Deckenverkleidung, D: Holz und Gipsdecken in gutem Zustand</t>
  </si>
  <si>
    <t>Die Küche ist i.O.</t>
  </si>
  <si>
    <t>4950|Marktgasse 5b|Garagen / Tankraum / Parkplatz|833.00</t>
  </si>
  <si>
    <t>Stahlbeton, Mauerwerk, Rostflecken an Decke</t>
  </si>
  <si>
    <t>Begehbar, dient als Parkplatz</t>
  </si>
  <si>
    <t>Mauerwerk, verputzt, grösserer Riss bei der Garage 5b ersichtlich</t>
  </si>
  <si>
    <t>Garagentore</t>
  </si>
  <si>
    <t>Bei der Garage 5b) ist kein Wasseranschluss vorhanden. Der Ablauf ist in Ordnung.</t>
  </si>
  <si>
    <t>B: Hartbeton, W: Mauerwerk gestrichen, D: Heraklit</t>
  </si>
  <si>
    <t>4950|Dornackerweg 2|Turnhalle, Sportplatz|8000.00</t>
  </si>
  <si>
    <t>Satteldach mit Falzziegeleindeckung, Blechdach beim Anbau, Untersichten ohne Schäden</t>
  </si>
  <si>
    <t>Skelettbau mit Ausfachungen aus Mauerwerk, tw. Sicht-MW und verputzt, gestrichen mit Kunststeingewänden, diverse Risse und Abplatzungen im Sockelbereich erkennbar, Anbau mit Eternitsschindeln, einzelne Beschädigungen vorh., Velounterstand: Sichtbeton</t>
  </si>
  <si>
    <t>Holz-/Metallfenster 3-fach IV und Glasbausteine, Eingangstüre aus Metall-/Glas mit Windfang, Oblicht aus Glasbausteinen beim Velokeller, Metallfenster im Geräteraum</t>
  </si>
  <si>
    <t>Beleuchtung Turnhalle mit LED, alte Keramik-Sicherungen und Schalter vorhanden, Elektrotableau möglicherweise mit asbesthaltiger Grundplatte, Schliessanlage</t>
  </si>
  <si>
    <t>Fernwärme, Sonnenkollektoren für Brauchwarmwasser und Heizungsunterstützung</t>
  </si>
  <si>
    <t>Teilw. ältere Apparate vorh., jedoch keine Mängel bekannt, Secomat-Wäschetrockner, Fusswaschanlagen und Duschen vorhanden</t>
  </si>
  <si>
    <t>Einzelne Leitungen sind nicht isoliert und weisen Rost und Ausblühungen auf</t>
  </si>
  <si>
    <t>Innentüren aus Holz, Einbauschränke, innere Verglasung, Garderoben</t>
  </si>
  <si>
    <t>B: Keramikplatten, Linoleum, PVC, Natursteinplatten, Kunststeinplatten, Teppich, W: Verputz, Holztäfer, Keramikplatten, Heraklith, D: Verputz, Holz, Akustikdecke, Schimmelbildung an dem Wand-/Deckenanschluss vorhanden</t>
  </si>
  <si>
    <t>4950|Friedhofweg 31a/37a|Friedhof, Leichenhalle|1085.00</t>
  </si>
  <si>
    <t>Mauerwerk mit Holzstützen beim Eingang, Stahlbetondecke und KS im UG</t>
  </si>
  <si>
    <t>Mansarddendach mit Eternitschindeleindeckung, Untersichten aus Holz</t>
  </si>
  <si>
    <t>Sichtmauerwerk</t>
  </si>
  <si>
    <t>Holzfenster, doppelverglast, keine IV, Oblicht, Eingangstüre aus Holz mit Glaseinfassung</t>
  </si>
  <si>
    <t>Elektrotableau vermutlich mit asbesthaltiger Grundplatte, alte Keramiksicherungen vorhanden</t>
  </si>
  <si>
    <t>Kühlraum mit Kühlaggregat im UG</t>
  </si>
  <si>
    <t>Keine Mängel ersichtlich</t>
  </si>
  <si>
    <t>Holzverkleidungen, innere Verglasung, Einbauschränke, Innentüren aus Holz, Gewölbe im Entrée verputzt, Simse aus KH-Platten</t>
  </si>
  <si>
    <t>B: Keramik, Kunststeinplatten, W: Holz und Verputz, D: Verputz</t>
  </si>
  <si>
    <t>4950|Hofmattstrasse 5/5a|Sekundarschulhaus|16065.00</t>
  </si>
  <si>
    <t>3 versch. Gebäude, Stahlbeton, Mauerwerk mit Stahlstüzen, Risse im Mauerwerk des Zwischenbaus ersichtlich, vermutlich von Setzungen</t>
  </si>
  <si>
    <t>Mansardendach mit Falzziegel, Untersichten aus Holz, Doppelstehfalzdach aus Kupferblech beim Verbindungstrakt</t>
  </si>
  <si>
    <t>Flachdach beim Anbau extensiv begrünt</t>
  </si>
  <si>
    <t>Mauerwerk, verputzt mit Kunststeingewänden, Stahl-Glasfassade (Pfosten-Riegelkonstruktion) beim Mittelbau</t>
  </si>
  <si>
    <t>IV-Fenster tw. mit Sprossen (''04 und ''08) und Rafflamellenstoren, die Holzfenster in der Aula sind älter und müssen mittelfristig ersetzt werden, die Storen im Mehrzweckraum lassen sich nicht ganz schliessen, Oblicht, Aussentüre aus Holz</t>
  </si>
  <si>
    <t>Beleuchtung, Notlichtanlage</t>
  </si>
  <si>
    <t>Sonnerie, EDV, Telefon</t>
  </si>
  <si>
    <t>Bodenheizung / Heizkörper (tw. ohnen Thermostaten)</t>
  </si>
  <si>
    <t>Die Apparate und Armaturen sind grösstenteils neuwertig, WM</t>
  </si>
  <si>
    <t>Teeküche, Einbauschränke, Innentüren, WC-Trennwände</t>
  </si>
  <si>
    <t>B: Keramik, Linoleum, Parkett, PU-Boden muss nach 10 Jahren neu versiegelt werden, W: Verputz, Keramik, mehrere Risse vorhanden, D: Heraklith, Verputz, Gipskartonplatten</t>
  </si>
  <si>
    <t>Aufzüge</t>
  </si>
  <si>
    <t>4950|Willimatt 2a|Wasserversorgung|2700.00</t>
  </si>
  <si>
    <t>Sichtbeton, Aussentüre aus Metall</t>
  </si>
  <si>
    <t>Metalltür mit Glaseinfassung</t>
  </si>
  <si>
    <t>Geländer</t>
  </si>
  <si>
    <t>B: Kunststein, Keramik, W: Verputz, Keramik, D: Verputz</t>
  </si>
  <si>
    <t>4950|Spitalstrasse 14|Wohnhaus und Vereinslokal|2415.00</t>
  </si>
  <si>
    <t>Im Sockel Einbau WC-Anlage aus Stahlbeton und Mauerwerk, neuwertig, im UG Natursteinmauerwerk</t>
  </si>
  <si>
    <t>Holzkonstruktion</t>
  </si>
  <si>
    <t>Zeltdach mit Falzziegel, Dachraum ausgebaut, Stirn- / Traufbretter verwittert</t>
  </si>
  <si>
    <t>Verputzt mit Holzgewänden und -fensterbänken, tw. verwittert, einzelne Risse sind vorhanden, die Nord-/Westfassade besteht aus Eternitschindeln</t>
  </si>
  <si>
    <t>Holz-/Metallfenster mit Sprossen und Fensterläden. Die Fensterbänke weisen Verwitterungsspuren auf, Eingangstüre aus Holz</t>
  </si>
  <si>
    <t>Beleuchtung, Telefon, tw. noch alte Keramiksicherungen vorhanden</t>
  </si>
  <si>
    <t>Elektrospeicherheizung, Kachelofen</t>
  </si>
  <si>
    <t>Keine Mängel bekannt, Feuerlöschanlage</t>
  </si>
  <si>
    <t>Genügend Druck vorhanden</t>
  </si>
  <si>
    <t>Einbauschränke, Holztreppen, Garderobe</t>
  </si>
  <si>
    <t>B: Naturstein, Teppich, Holz, Keramik, Linol, Vermoosungen im Keller, W: Verputz gestrichen, Holz, D: Holz, einzelne Risse an den Wänden ersichtlich, Wasserfleck am Holzträger vorhanden</t>
  </si>
  <si>
    <t>Die Einrichtung ist intakt.</t>
  </si>
  <si>
    <t>4950|Spitalstrasse 54a|Magazin, Museum|360.00</t>
  </si>
  <si>
    <t>Mansardendach mit Biberschwanzziegel, Vordach aus Kupfer (Doppelstehfalz)</t>
  </si>
  <si>
    <t>Verputz, mehrere Risse und Abplatzungen im Sockelbereich vorhanden, Verwitterungsspuren ersichtlich</t>
  </si>
  <si>
    <t>Holz-/Metallfenster mit Sprossen und Fensterläden, Gitter im EG, Eingangstor aus Holz</t>
  </si>
  <si>
    <t>Keine FI-Schalter, Beleuchtung</t>
  </si>
  <si>
    <t>Elektroboiler in Küche</t>
  </si>
  <si>
    <t>ältere Armaturen im EG, jedoch keine Mängel bekannt</t>
  </si>
  <si>
    <t>Innentüren und Innentreppen aus Holz, Küche älteren Datums, jedoch intakt</t>
  </si>
  <si>
    <t>B: Teppich, Keramik, W: Holz, Verputz, Keramik, D: Verputz</t>
  </si>
  <si>
    <t>4950|Nyffel 26|Schulhaus Nyffel|4142.00</t>
  </si>
  <si>
    <t>Mauerwerk und Stahlbeton, örtliche Risse vorhanden</t>
  </si>
  <si>
    <t>Satteldach mit asbesth. Eternit-Dachdeckung. Der Dachstock ist ein Kaltdach mit einem Unterdach aus Schindeln. Es sind keine Schäden ersichtlich.</t>
  </si>
  <si>
    <t>Mauerwerk verputzt, einzelne Abplatzungen und mehrere Risse vorhanden</t>
  </si>
  <si>
    <t>Holz-/Metallfenster mit 3-fach Isolierverglasung und Rafflamellenstoren sowie einzelne Fenster aus Aluminium. Die Fenster wurden im 2004 saniert, die Fenster im Keller jedoch nicht. Einzelne Fenster sind verwittert. Die Eingangsfront ist undicht.</t>
  </si>
  <si>
    <t>Radiatoren mit Thermostaten, tw. ohne Thermostat</t>
  </si>
  <si>
    <t>Die Leitungen sind nicht isoliert, z.T. ältere Apparate und Armaturen, jedoch intakt, Rostflecken sind im Lavabo des UG''s ersichtlich</t>
  </si>
  <si>
    <t>Ältere Keramiksicherungen vorhanden, Elektrotableau möglicherweise mit asbesthaltiger Grundplatte</t>
  </si>
  <si>
    <t>Einbauschränke, Innentüren, Teeküche, Garderoben weisen Abnützungsspuren auf</t>
  </si>
  <si>
    <t>Estrich: Der Dachboden ist gedämmt. B: Parkett, Klinker, Linoleum, Kork, W: verputzt, Glasfasertapeten, mehrere Risse ersichtlich, D: Holztäfer, Gipskartonplatten, Putz</t>
  </si>
  <si>
    <t>4950|Bernstrasse 78|Schulhaus HPS Schüpbach|2600.00</t>
  </si>
  <si>
    <t>Mauerwerk mit Hourdisdecken und Holzstüzen, welche Verwitterungs- und Holzfrassspuren aufweisen, Velounterstand aus Holz</t>
  </si>
  <si>
    <t>Zeltdach mit Falzziegeln und Ochsenaugen</t>
  </si>
  <si>
    <t>Hauptgebäude: Eternitschindeln, mit Fries, Gewänden und Fensterbänken aus Holz, Anbau: Eternitschindeln</t>
  </si>
  <si>
    <t>Holz-/Metallfenster 3-fach IV mit zwischenliegenden Sprossen und Stoffstoren, Eingangstüre mit alter Schliessung, aber dicht. Fensterbänke sind verwittert</t>
  </si>
  <si>
    <t>Beleuchtung, relativ alt, Kühlanlagen</t>
  </si>
  <si>
    <t>Brandmeldeanlage, EDV-Anlage</t>
  </si>
  <si>
    <t>Ölheizung (Kessel ''85, Brenner neuer)</t>
  </si>
  <si>
    <t>Einbauschränke, Innentüren aus Holz, Garderoben, Kücheneinrichtung mit Steamer, Treppenlift</t>
  </si>
  <si>
    <t>B: Linol, Keramikplatten, Parkett, Klötzliboden, W+D: Verputz,  Holzverkleidung, einzelne Risse im Putz ersichtlich</t>
  </si>
  <si>
    <t>9471|Langäulistrasse 20|Werkhalle (Werkhof)|7188.00</t>
  </si>
  <si>
    <t>KS-Wände</t>
  </si>
  <si>
    <t>Stahlbau</t>
  </si>
  <si>
    <t>Vermutlich Metall-Sandwichkonstruktion, Vordach: Trapezwellbleche, keine Mängel bekannt</t>
  </si>
  <si>
    <t>Holzwerkstoffplatten, Eternitplatten und Blech</t>
  </si>
  <si>
    <t>Holzfenster, doppelverglast, PVC-Fenster, Rollläden und Rafflamellenstoren, in Halle: Aluminiumfenster 3-fach, Sektionaltor</t>
  </si>
  <si>
    <t>Beleuchtung, Brandmeldeanlagen, EDV-Anlage</t>
  </si>
  <si>
    <t>Fernwärme, Warmlufttrockner, Boiler</t>
  </si>
  <si>
    <t>Bodenheizung, Halle: Warmluft</t>
  </si>
  <si>
    <t>Abzugsanlagen, Entfeuchtungsgerät</t>
  </si>
  <si>
    <t>Kananlage mit mot. Seilwinde</t>
  </si>
  <si>
    <t>Innentüren, Stahltreppe</t>
  </si>
  <si>
    <t>B: Keramik, Holz, Hartbeton, gestrichen\nD: Holz, Hallendecke\nW: Verputz, Keramik, Holz, Rohbeton</t>
  </si>
  <si>
    <t>4950|Bahnhofstrasse 2|Mehrzweckgebäude|700.00</t>
  </si>
  <si>
    <t>Mauerwerk, Hourdis- und Holzbalkendecken</t>
  </si>
  <si>
    <t>Eternitschindeldach, Turm: Kupferblechdach</t>
  </si>
  <si>
    <t>Mauerwerk, verputzt und gestrichen</t>
  </si>
  <si>
    <t>Holzmetallfenster aus dem Jahr 2011 mit Rollläden</t>
  </si>
  <si>
    <t>teilweise alte Keramiksicherungen vorhanden</t>
  </si>
  <si>
    <t>Fernwärme, Oelheizung in einem Zimmer</t>
  </si>
  <si>
    <t>alt aber funktionstüchtig</t>
  </si>
  <si>
    <t>Türen renovationsbedürftig</t>
  </si>
  <si>
    <t>Boden aus Linol, Keramik, Teppich, \nWände und Decke verputzt. Wandanstrich und Böden abgenutzt (ausser EG)</t>
  </si>
  <si>
    <t>Die Einbauküche im EG ist in einem guten Zustand.</t>
  </si>
  <si>
    <t>4950|Marktgasse 2|Verwaltungsgebäude|6300.00</t>
  </si>
  <si>
    <t>Walmdach mit Dachgaupen, trocken, teilweise Wasserflecken ersichtlich</t>
  </si>
  <si>
    <t>vorgehängte Natursteinfassade</t>
  </si>
  <si>
    <t>Holz-/Metallfenster ohne Isolierverglasung, mit Rolladen, im 1. Stock\nelektr. Storen., Holzrahmentüren</t>
  </si>
  <si>
    <t>Ausreichende Absicherung, Sirene Zivilschutz</t>
  </si>
  <si>
    <t>Telefon, EDV</t>
  </si>
  <si>
    <t>Fernwärme, Warmwasserspeicher</t>
  </si>
  <si>
    <t>Radiatoren mitr Thermostaten</t>
  </si>
  <si>
    <t>Wasserenthärtungsanlage, Apparate funktionstüchtig, tw. keine Mischventile\nvorhanden</t>
  </si>
  <si>
    <t>Personenaufzug, keine Mängel bekannt</t>
  </si>
  <si>
    <t>Einbauschränke, Innentüren, Fensterbänke, Teeküche, innere Verglasungen</t>
  </si>
  <si>
    <t>Treppenhaus und Gänge: B: Klinker, Naturstein und Teppich W: Natursteinpl. D: Gips, im 2. Stock: W: Naturstein, Saal: Boden und Wände aus Holz, WC: Keramik, 3. Stock: Linolboden,\nW: Glasfasertapete, D: gestrichen; diverse Risse in Putz und Tapete, WC:Böde</t>
  </si>
  <si>
    <t>4950|Marktgasse 4|Geschäftshaus|2020.00</t>
  </si>
  <si>
    <t>Satteldach</t>
  </si>
  <si>
    <t>Holzfenster ohne Isolierverglasung mit Rollladen, vor wenigen Jahren erneuert\nIm Saal Holzmetallfenster mit Rolladen.Elektrische Storen im 1. Stock</t>
  </si>
  <si>
    <t>Beleuchtung, EDV-Anlagen</t>
  </si>
  <si>
    <t>insgesamt in gutem Zustand</t>
  </si>
  <si>
    <t>Einbauschränke, Innentüren-Holzrahmentüren, Teeküche, innere Verglasung</t>
  </si>
  <si>
    <t>B: Keramik,linol,Boden, Parkett W: Verputz,Glassfasadtapete gestrichen,Naturstein  D: Verputz</t>
  </si>
  <si>
    <t>8253|Schulstrasse 5|Sanierung Schulhaus Zentrum|13886.00</t>
  </si>
  <si>
    <t>8476|Unterdorf 8|Schulhaus und Kindergarten|5910.00</t>
  </si>
  <si>
    <t>Mauerwerk, verputzt, Betonsockel, KS-Mauerwerk, massiv mit Holzbalkendecken, im Altbau Riss im DG, Dachstuhl i.O.</t>
  </si>
  <si>
    <t>Ziegeldach, Pergola: neue Stoffstoren (gleiche wie in Turnhalle Bahnhofstr. 7), Neubau Verbindungsgang (Dez ''17)</t>
  </si>
  <si>
    <t>RIss im Altbau</t>
  </si>
  <si>
    <t>Holzfenster, im Altbau 3-fach Verglasung mit Aluläden -&gt; Dichtungen schlecht, im Neubau IV-Verglasung 2-fach mit Rafflamellenstoren, Metalltüre 3/89, innere Verdunkelung im Kindergarten, Aussentüre aus Metall/Glas</t>
  </si>
  <si>
    <t>Unterverteilungen mit neuen Sicherungen</t>
  </si>
  <si>
    <t>EDV, Gong, Erneuerung IT</t>
  </si>
  <si>
    <t>Fernwärme, Wärmeaustauscher, Boiler</t>
  </si>
  <si>
    <t>Radiatoren mit Thermostaten, tw. ferngesteuert</t>
  </si>
  <si>
    <t>Santäreapparate tw. älter aber funktionstüchtig und gepflegt, Sanitär-Leitungen: keine Mängel bekannt, WW-Leitungen isoliert, Lavabos und Wand neu gefliest (''15)</t>
  </si>
  <si>
    <t>Einbauschränke, Arbeitssimse, Kleinküche, Riss im Grundputz, DG Altbau: Dämmung im Estrich/DG mangelhaft</t>
  </si>
  <si>
    <t>B: Laminat, Linol, PVC, Keramik W: Verputz D: Gips, Akustikdecken im EG, Anbau (''95): B: Linol W: Verputz D: Holz</t>
  </si>
  <si>
    <t>8444|Dorfstrasse 39|Kindergarten|2933.00</t>
  </si>
  <si>
    <t>Mauerwerk mit Holzbalkendecken, Dachstuhl weist Spuren von Holzfrass aus</t>
  </si>
  <si>
    <t>Mansardenwalm- und Satteldach mit Biberschwanzziegel, Dachraum tw. isoliert, Untersichten ohne Mängel</t>
  </si>
  <si>
    <t>Holzfenster mit IV-Verglasungen und Holzläden, Aussentüre aus Holz mit Glaseinsatz</t>
  </si>
  <si>
    <t>Tw. alte Keramiksicherungen, Beleuchtung</t>
  </si>
  <si>
    <t>Fernwärme, WW: Boiler</t>
  </si>
  <si>
    <t>Armaturen im Badezimmer und Putzraum ohne Mischventile, sonstige Apparate und Armaturen zeitgemäss und funktionstüchtig</t>
  </si>
  <si>
    <t>Keine Mängel erkennbar</t>
  </si>
  <si>
    <t>Innentüren aus Holz, Einbauschränke, Innentreppen tw. aus Holz und tw. aus Kunststeinplatten, Garderobe, Küche, Fenstersimse aus Holz</t>
  </si>
  <si>
    <t>B: Kugelgarnteppich, Kunststein, Linol, PVC, Zementüberzug im UG, Holzboden im Dachgeschoss\n, W: Verputz, mehrere Risse ersichtlich, Abplatzung des Putzes im Spielzimmer, Keramik, tw. mit Holz verkleidet, D: Holz, Holzbalken im UG, Verputz</t>
  </si>
  <si>
    <t>4950|Buchenweg 5|Wohnhaus / Scheune|3350.00</t>
  </si>
  <si>
    <t>Naturstein-Gewölbe im Keller, grösstenteils trocken, Houdisdecken über Keller</t>
  </si>
  <si>
    <t>Mansardendach mit Falzziegeln ohne Unterdach</t>
  </si>
  <si>
    <t>Holzschindeln und -bretter, tw. stark verwittert, verglaster Laubengang</t>
  </si>
  <si>
    <t>Holzfenster mit Fensterläden, tw. verwittert, doppelverglast, keine Isolierverglasung, Aussentüre aus Holz mit alter Schliessung, Scheunentor</t>
  </si>
  <si>
    <t>Alte Keramiksicherungen vorhanden, Aufputzleitungen, Elektrotableau möglicherweise mit asbesthaltiger Grundplatte</t>
  </si>
  <si>
    <t>Gasheizung mit freistehendem Gastank im Garten, Boiler in Küche, Kachelofen im Wohnzimmer, sep. Ofen in Küche</t>
  </si>
  <si>
    <t>Neue WM in Küche. Armaturen: tw. keine Mischventile vorhanden</t>
  </si>
  <si>
    <t>Isoliert und i.O.</t>
  </si>
  <si>
    <t>Holztüren und Holztrennwände</t>
  </si>
  <si>
    <t>B: Keramik, Laminat, Teppich, Parkett W: Holz, Verputz D: Verputz, Holz</t>
  </si>
  <si>
    <t>Freistehende, ältere Küchenapparate: Backofen, Glaskeramikherd, Kühlschrank</t>
  </si>
  <si>
    <t>4950|Hoffmattstrasse 3|Feuerwehrmagazin|3300.00</t>
  </si>
  <si>
    <t>Mauerwerk, Stahlstützen, Houdisdecken mit Stampfbeton</t>
  </si>
  <si>
    <t>Krüppelwalmdach mit Biberschwanzziegel, kein Unterdach, Holzwerk trocken, Auf dem Dachboden Spuren eines Wassereintritts</t>
  </si>
  <si>
    <t>Mauerwerk, verputzt, grösserer Riss im Putz und Sockel, tw. mit Schindeln verkleidet</t>
  </si>
  <si>
    <t>Sektionaltore, Aussentüren aus Metall, 3-fach-IV-Holz-/Metallfenster, alte Holzfenster in Garage, Oblichter</t>
  </si>
  <si>
    <t>Neuwertig, IF-Schutzschalter vorh., Ladestation, Beleuchtung</t>
  </si>
  <si>
    <t>Fernwärme, Elektroboiler</t>
  </si>
  <si>
    <t>Radiatoren mit Thermostaten und Bodenheizung</t>
  </si>
  <si>
    <t>Lüftung, Schlauchtrocknungsanlage, Druckluftanlage</t>
  </si>
  <si>
    <t>Duschen, Sanitärapparate ohne Mängel, Feuerlöschposten, WM</t>
  </si>
  <si>
    <t>Garderoben, Schalfstellen, Einbauschränke, Innentreppe aus Holz</t>
  </si>
  <si>
    <t>B: Keramik, Linol (''01), Kunststein, W+D: Abrieb, gestrichen, in Garage: heruntergehängte Gipsdecke</t>
  </si>
  <si>
    <t>4950|Oberdorfstrasse 11c|Alte Turnhalle|1630.00</t>
  </si>
  <si>
    <t>Holzkonstruktion mit Aussteifungen aus Mauerwerk</t>
  </si>
  <si>
    <t>Satteldach, Falzziegel, tw. vermoost</t>
  </si>
  <si>
    <t>verputzt und gestrichen, Risse im Putz, Ausbesserungen;\neine Seite Verkleidung mit Täferung, tw. verwittert</t>
  </si>
  <si>
    <t>Holzfenster mit Sprossen ohne Rollläden, tw. verwittert, Eingangstüre aus Holz</t>
  </si>
  <si>
    <t>Küche in gutem Zustand, freistehender Backofen mit Keramikplatten</t>
  </si>
  <si>
    <t>B: Holzboden mit deutlichen Nutzungsspuren , Keramik, W: Holztäferung, Keramik, Verputz, D: Holz</t>
  </si>
  <si>
    <t>4950|Lindenstrasse 21|Zivilschutzanlage|1300.00</t>
  </si>
  <si>
    <t>Ladestation, Elektrotableau vermutlich mit asbesthaltiger Grundplatte, Beleuchtung, Telefonanlage</t>
  </si>
  <si>
    <t>Ölheizung, jedoch ausser Betrieb</t>
  </si>
  <si>
    <t>Ältere Apparate, jedoch keine Mängel bekannt, Feuerlöschposten</t>
  </si>
  <si>
    <t>Innentüren</t>
  </si>
  <si>
    <t>Beton gestrichen</t>
  </si>
  <si>
    <t>Die Küchenzeile mit Spülmaschine und Herdplatten ist alt, jedoch intakt</t>
  </si>
  <si>
    <t>4950|Oberdorfstrasse 19|Wohnhaus und Büros|880.00</t>
  </si>
  <si>
    <t>Mauerwerk, Holzbau</t>
  </si>
  <si>
    <t>Satteldach mit Falzziegeln, einzelne Wasserflecken am Dachboden ersichtlich</t>
  </si>
  <si>
    <t>Holzschindel-Fassade, tw. stark verwittert</t>
  </si>
  <si>
    <t>Tw. neue Sprossenfenster (''06) mit Fensterläden</t>
  </si>
  <si>
    <t>Beleuchtung, tw. alte Keramiksicherungen vorhanden</t>
  </si>
  <si>
    <t>Fernwärme, Elektroboiler (letzte Entkalkung ''04)</t>
  </si>
  <si>
    <t>Badewanne enthält Rostflecken, die Sanitär-Apparate sind allgemein veraltet</t>
  </si>
  <si>
    <t>Innentüren und Wände aus Holz</t>
  </si>
  <si>
    <t>B: Bodenplatten, Holz, Keramik, PVC, W + D: Holzverkleidung, PVC</t>
  </si>
  <si>
    <t>Die Kücheneinrichtung mit Backofen und Herdplatten, Kühlschrank ist ziemlich veraltet, jedoch funktionstüchtig</t>
  </si>
  <si>
    <t>3032|Kappelenring 34a|Kindergarten Kappelenring|2763.00</t>
  </si>
  <si>
    <t>Das extensiv begrünt Flachdach konnte nicht besichtigt werden (s. zus. Bemerkungen).</t>
  </si>
  <si>
    <t>Holz 3-fach IV</t>
  </si>
  <si>
    <t>PV-Anlage</t>
  </si>
  <si>
    <t>Lüftungsanlage Minergie; die Lüftung pfeift</t>
  </si>
  <si>
    <t>Innentüren mit Glasfüllungen, Oberflächen: B: Parkett, W: Holz, D: Holz (Akustik)</t>
  </si>
  <si>
    <t>3034|Murzelenstrasse 82|Schulhaus/Kindergarten/Hauswartwohnung|3920.00</t>
  </si>
  <si>
    <t>Mauerwerk, verputzt/MW, gestr. im UG, Kunststeintreppen</t>
  </si>
  <si>
    <t>Falzzeigel, Welleternit, Dachraum isol. (tw.), Dachflächenfenster neu in Wg., Dachgaupen/Lukarnen mit Blechdach</t>
  </si>
  <si>
    <t>Holz-/Metallfenster m. IV, Holzf. IV, Stoffstoren, Haustüre ohne Gummidichtung seitl., KZ: innere Verdunklungen</t>
  </si>
  <si>
    <t>Beleuchtung veraltet, dito Schalter, in KG neu, alte Sicherungen</t>
  </si>
  <si>
    <t>Telefon, Funk, EDV, Uhr, Gong, neuer Server nach Hochwasser ''14</t>
  </si>
  <si>
    <t>Radiatoren m. Thermostaten, tw. o. Thermost. (im Entrée)</t>
  </si>
  <si>
    <t>Leitungen: s. Bem., Apparate älter</t>
  </si>
  <si>
    <t>Einbauschränke, Simse aus holz, Geländer aus Metall, Vorhangbretter</t>
  </si>
  <si>
    <t>B: Korkpl., Klinker, PVC, Linol, Kunststoffguss in WC, Parkett, W: Putz, Korkpl.schild, Beton, gestr., Keramikpl.schild</t>
  </si>
  <si>
    <t>Küche in KG und GR, Wg DG (wurde ''14 ersetzt)</t>
  </si>
  <si>
    <t>8253|Schulstrasse 5|Janus Schulhaus Zentrum|11967.00</t>
  </si>
  <si>
    <t>9651|Obere Laui 1665|Ferienhaus|509.00</t>
  </si>
  <si>
    <t>Holzblockbau, Stahlbeton im UG mit Schutzraum, Garagenanbau, keine Spuren von aufsteigender Feuchtigkeit erkennbar</t>
  </si>
  <si>
    <t>Welleternitdach*, Dachuntersichten i.O.</t>
  </si>
  <si>
    <t>Holz, Balkon mit Holzgeländer</t>
  </si>
  <si>
    <t>Holzfenster mit Isolierverglasung (''3/82) und Holzläden, Holzgewände, Eingangstüre aus Holz</t>
  </si>
  <si>
    <t>Elektrospeicheröfen, Elektroradiator und Cheminéeofen</t>
  </si>
  <si>
    <t>Apparate original, keine Mischarmaturen, genügender Leitungsdruck, Wasser läuft ungehindert ab</t>
  </si>
  <si>
    <t>Sicherungen ohne FI-Schutzschalter, alte Keramiksicherungen</t>
  </si>
  <si>
    <t>Küche mit alten Apparaten, Fenster-, Vorhangbretter und Einbauten aus Holz, Innentüren aus Holz, B: Holz, PVC, Teppich W: Holztäfer, Keramik, D: Holztäfer</t>
  </si>
  <si>
    <t>|Teststrasse.|Testgebäude1|1025.00</t>
  </si>
  <si>
    <t>3033|Schulgasse 14a|Garage (Nebengebäude)|145.00</t>
  </si>
  <si>
    <t>Bitumen (Nacktdach)</t>
  </si>
  <si>
    <t>Sichtbeton, gestr.</t>
  </si>
  <si>
    <t>Garagentor</t>
  </si>
  <si>
    <t>3034|Murzelenstrasse 84|Turnhalle|4608.00</t>
  </si>
  <si>
    <t>Stahlbeton, -stützen, -träger</t>
  </si>
  <si>
    <t>Welleternit</t>
  </si>
  <si>
    <t>Mauerwerk, verputzt, Welleternit</t>
  </si>
  <si>
    <t>Metallfenster, Holzf. in Gard./WC, Windfang: Gläser ''78</t>
  </si>
  <si>
    <t>Beleuchtung alt, Notbeleuchtung, alte Sicherungen</t>
  </si>
  <si>
    <t>Uhr, LS-Anlage</t>
  </si>
  <si>
    <t>Holzschnitzelfeuerung ''09</t>
  </si>
  <si>
    <t>Lüftungsheizung (alt), Radiatoren m. Thermostaten</t>
  </si>
  <si>
    <t>Abwasserschacht unter Treppe schadhaft -&gt; rep. im ''13, Leitungen tw. rostig</t>
  </si>
  <si>
    <t>Tore Geräteraum neu, Garderobenschränke</t>
  </si>
  <si>
    <t>B: Hallenboden intakt, Gumminoppenbel., Teppichschleuse, Logop.: Teppich W: Putz, Keramik in WC, Putz in Logop. D: Täfer, Metalldecke, Pavatexpl. gestr.</t>
  </si>
  <si>
    <t>4303|Dorfstrasse 18|Turnhalle Dorf|6792.00</t>
  </si>
  <si>
    <t>Stahlbeton, KS-Mauerwerk, Brettschichträger in Halle</t>
  </si>
  <si>
    <t>Ziegeldach (in Anschuss an Flachdach undicht), Dachflächenfenster: Spuren von Kondenswasser an Rahmen vorh.</t>
  </si>
  <si>
    <t>Kiesdach bei Verbindungsbau</t>
  </si>
  <si>
    <t>Aussenwärmedämmung</t>
  </si>
  <si>
    <t>Holz-Metall ''85 IV (dicht), Eingangstüre aus Holz; alt, undicht</t>
  </si>
  <si>
    <t>tw. Fl-Schalter vorhanden, tw. noch alte Keramiksicherungen, Bühnentechnik alt (tw. erneuert)</t>
  </si>
  <si>
    <t>Fernwärme ohne Plattentauscher, Boiler</t>
  </si>
  <si>
    <t>Radiatoren, meist ohne Thermostaten, Pumpen älter, aber funktionstüchtig</t>
  </si>
  <si>
    <t>Hallenlüftung, orig. mit WRG, Garderoben- und WC Lüftung</t>
  </si>
  <si>
    <t>alte Apparate, aber funktionstüchtig</t>
  </si>
  <si>
    <t>genügender Druck vorhanden, Wasser kann ungehindert ablaufen</t>
  </si>
  <si>
    <t>Industrieküche tw. neu, Sprossenwand etc., Wandtafeln und Bühne</t>
  </si>
  <si>
    <t>Boden: TH-Boden i.O., PVC, Gang: Kunstst.pl., Garderobe: Keramikpl., Linol, Wand: Putz, Keramikpl., Decke: Abrieb, Anstrich, Holztäfer, Akustikdecken</t>
  </si>
  <si>
    <t>4303|Dorfstrasse 20|Schulhaus Dorf inkl. Blockheizkraftwerk|4875.00</t>
  </si>
  <si>
    <t>Mauerwerk, Hourdisdecken, mögl.w. noch tw. Holzdecken</t>
  </si>
  <si>
    <t>Mauerwerk, verputzt, Kunstst.gewände</t>
  </si>
  <si>
    <t>Holz IV, Aussentüre aus Holz mit Beistössen</t>
  </si>
  <si>
    <t>FI-Schalter vorhanden</t>
  </si>
  <si>
    <t>EDV-Verkabelung, Gaswarnanlage</t>
  </si>
  <si>
    <t>Gasheizung Avesco 97.9 kW therm. Leist., Bj. 2009 und Ygnis-Gastherme</t>
  </si>
  <si>
    <t>Apparate: alt, aber i.O., genügender Druck vorh., keine Mängel bekannt</t>
  </si>
  <si>
    <t>Wandschränke, Garderoben, Teeküchen mit Backofen, Innentüren aus Holz</t>
  </si>
  <si>
    <t>Boden: Kunststein, Parkett, Klinker, Linol, Wand: Putz, Keramik, Decken:Täfer, Abtrieb, Täfer, Holzwerkstoffpl., Pressspanpl.</t>
  </si>
  <si>
    <t>4303|Kastellstrasse 3|Löwenparking|6907.00</t>
  </si>
  <si>
    <t>Stahlbeton, Wassereintritt bei Dilatationsfuge</t>
  </si>
  <si>
    <t>mit Biotop, rest. Asphalt, tw. eingefärbt, tw. Fallschutzplatten, tw. Rasen</t>
  </si>
  <si>
    <t>Tore + Türe, Fenster Metall, Einscheibenglas</t>
  </si>
  <si>
    <t>Garagenbeleuchtung</t>
  </si>
  <si>
    <t>Videoüberwachung, Gasmelder, Torsteuerung</t>
  </si>
  <si>
    <t>Lüftungsanlage</t>
  </si>
  <si>
    <t>Waschbecken und Durchlauferhitzer</t>
  </si>
  <si>
    <t>B: Hartbeton, W: Anstrich, D: Anstrich</t>
  </si>
  <si>
    <t>4303|Dorfstrasse 19|Kindergarten Dorf|1993.00</t>
  </si>
  <si>
    <t>Extensiv-Begrünung, Cupolux Oblichter</t>
  </si>
  <si>
    <t>Holz-Metallfenster, Metalltüren, Rafflamellenstoren, el.</t>
  </si>
  <si>
    <t>Neuwertig, inkl. PV-Anlage</t>
  </si>
  <si>
    <t>Apparate und Armaturen neuwertig, Chromstahlbecken</t>
  </si>
  <si>
    <t>Leitungen neuwertig</t>
  </si>
  <si>
    <t>Innere Verglasungen, Innentüren, Einbaukästen, Garderoben, Küche</t>
  </si>
  <si>
    <t>Boden: Linol, Parkett, Keramikplatten. Wand: Glasfasertapeten, Keramikpl. Decke: Holz/Akustikdecken</t>
  </si>
  <si>
    <t>Lüftung mit WRG je KG</t>
  </si>
  <si>
    <t>4303|Dorfstrasse 19|Geräteschopf|23.00</t>
  </si>
  <si>
    <t>Nacktdach</t>
  </si>
  <si>
    <t>Holztüre</t>
  </si>
  <si>
    <t>4303|Dorfstrasse 27|Wohnhaus Dorfstr. 27|1156.00</t>
  </si>
  <si>
    <t>Mauerwerk, Holzdecken, Holzwerk im UG tw. morsch</t>
  </si>
  <si>
    <t>Ziegeldach mit Lukarnen, isoliert m. Unterdach</t>
  </si>
  <si>
    <t>Mauerwerk, verputzt mit Kunststeingewänden, unisoliert</t>
  </si>
  <si>
    <t>Kunststofffenster (''05), Holzläden, Rafflamellenstoren</t>
  </si>
  <si>
    <t>Etagenverteilung: keine Fl-Schalter (nur OG), tw. Keramiksicherungen</t>
  </si>
  <si>
    <t>Ältere Apparate und Armaturen, jedoch funktionsfähig</t>
  </si>
  <si>
    <t>Kaltwasser:Druckabfall (im  Vergleich zu WW)</t>
  </si>
  <si>
    <t>Innentüren, Geländer, Vorhangbretter, Simse</t>
  </si>
  <si>
    <t>Boden: PVC, Vinyl, Teppich, Tonplatten, Parkett, Wand: Abrieb, Keramikplatten, Dach: Pavatex, Putz</t>
  </si>
  <si>
    <t>Küchen tw. alt, im OG neu</t>
  </si>
  <si>
    <t>4303|Hintere Liebrüti|Schulhaus Liebrüti|32195.00</t>
  </si>
  <si>
    <t>Stahlbeton, Stahlträger im Saal</t>
  </si>
  <si>
    <t>Kies 2017/2018, saniert 2014, Vordach Eingang</t>
  </si>
  <si>
    <t>Metall, Eternit</t>
  </si>
  <si>
    <t>Holz-Metall,3-fach IV\nIn Gang Pfosten/Riegel-System\nIn Altbau Metallfenster</t>
  </si>
  <si>
    <t>EDV, Brandmeldeanlage nachgerüstet</t>
  </si>
  <si>
    <t>Bodenheizung, Radiatoren mit Thermostaten im Altbau</t>
  </si>
  <si>
    <t>genügender Druck vorhanden, Wasser kann ungehindert ablaufen, moderne Apparate und Armaturen, Händetrockner, Waschmaschine</t>
  </si>
  <si>
    <t>Geländer, Einbaukästen, Garderoben, Schulküchen, Wandtafeln (ev. nicht in GV-Wert enth.)</t>
  </si>
  <si>
    <t>Boden: Linol, Kunststein, Waschbeton in Altbau, Schmutzschleuse textil, Parkett in Werkräumen, Zementboden in Chemiezimmer, Wand: Glasfasertapeten\nKZ: Holz, Decke: Heraklith, in KZ Holz, Akustikdecke, in Verbindungsbau: Metalldecke</t>
  </si>
  <si>
    <t>4303|Hintere Liebrüti|Pavillon Liebrüti|2204.00</t>
  </si>
  <si>
    <t>Systemholzbau (Erne)</t>
  </si>
  <si>
    <t>Eternitplatten, grossformatig</t>
  </si>
  <si>
    <t>Kunststofffenster, Aussentür aus Metall, Rafflamellenstoren, man.</t>
  </si>
  <si>
    <t>Genügende Absicherung, Beleuchtung, Uhrenanlage, Beamer</t>
  </si>
  <si>
    <t>EDV</t>
  </si>
  <si>
    <t>Zeitgemässe Armaturen und Apparate, keine Mängel bekannt</t>
  </si>
  <si>
    <t>Wandtafeln, Garderobe, Innentüren</t>
  </si>
  <si>
    <t>Boden: Linol, im Eingangsbereich Schmutzschleuse\nWand: Glasfasertapeten\nDecke: Holz</t>
  </si>
  <si>
    <t>4303|Hintere Liebrüti|Turnhalle Liebrüti|23095.00</t>
  </si>
  <si>
    <t>Stahlstützen, Stahlbeton</t>
  </si>
  <si>
    <t>Extensivbegrünung, Vordächer: Gitterroste mit Glas</t>
  </si>
  <si>
    <t>Metallpaneele</t>
  </si>
  <si>
    <t>Pfosten-/Riegelsystem, Metalltüren</t>
  </si>
  <si>
    <t>EDV, Beleuchtung alt, tw. alte Sicherungen (kein Ersatz mehr erhältlich)</t>
  </si>
  <si>
    <t>Lüftungsanlage alt, rev., Schtzraumlüftung</t>
  </si>
  <si>
    <t>Apparate ok</t>
  </si>
  <si>
    <t>Leitungen und Abläufe rostig, Bewässerungsanlage Spielfeld</t>
  </si>
  <si>
    <t>Küchen, Garderoben, Türzargen tw. rostig, Kletterwand, Turngeräte</t>
  </si>
  <si>
    <t>Boden: Keramik, Kunststoff, TH-Boden vor 2 Jahren saniert für ca. CHF 90''000\nWand: Gips, Holz, Abrieb\nDach: Holz, Metall im UG</t>
  </si>
  <si>
    <t>4303|Hintere Liebrüti, Böttmeweg|Gerätehaus Liebrüti|289.00</t>
  </si>
  <si>
    <t>Ext. begrüntes Kiesdach, Cupolux Oblicht (defekt)</t>
  </si>
  <si>
    <t>Sichtbeton mit Anstrich</t>
  </si>
  <si>
    <t>Aussentüre aus Holz</t>
  </si>
  <si>
    <t>Rasenbewässerung</t>
  </si>
  <si>
    <t>Steuerung f. Rasenbewässerungsanlage, Beleuchtung</t>
  </si>
  <si>
    <t>keine Mängel sichtbar</t>
  </si>
  <si>
    <t>Boden: Beton \nWand: Beton\nDecke: Beton, roh</t>
  </si>
  <si>
    <t>4950|Heimstrasse 1|Kindergarten Heimstrasse|1400.00</t>
  </si>
  <si>
    <t>4303|Schwarzackerstrasse 59|KIGA Schwarzackerstrasse|6007.00</t>
  </si>
  <si>
    <t>Holzmetall, Rafflamellenstoren, Markise</t>
  </si>
  <si>
    <t>alte Sicherungen</t>
  </si>
  <si>
    <t>Apparate ohne Mischventile</t>
  </si>
  <si>
    <t>Leitungen rostig</t>
  </si>
  <si>
    <t>Schränke, Küche</t>
  </si>
  <si>
    <t>Boden: Linol, PVC, Keramik\nWand: Täfer, Abrieb, Anstrich, Plattenschild\nDecke: Täfer</t>
  </si>
  <si>
    <t>4303|Liebrütistrasse 14|KIGA Liebrütistrasse|6566.00</t>
  </si>
  <si>
    <t>Stahlbeton, Holztäfer beim Eingang</t>
  </si>
  <si>
    <t>Metall, tw. undicht, tw. neu (''15)</t>
  </si>
  <si>
    <t>Beleuchtung nicht genügend</t>
  </si>
  <si>
    <t>Konvektoren mit Thermostaten</t>
  </si>
  <si>
    <t>App. älter</t>
  </si>
  <si>
    <t>Druck ok, Wasser fliesst ungehindert ab</t>
  </si>
  <si>
    <t>Küche alt</t>
  </si>
  <si>
    <t>Boden: Linol, Keramik\nWand: Täfer,Putz, Anstrich\nDecke;Täfer, Pavatex gestrichen</t>
  </si>
  <si>
    <t>8153|Im Hui|Pavillon|129.00</t>
  </si>
  <si>
    <t>Ziegeldach: Ziegel alt</t>
  </si>
  <si>
    <t>Holzfenster mit Holzläden, 2-fach-IV,\nFenster von 1991, im Büro von 2003</t>
  </si>
  <si>
    <t>Alte Keramiksicherungen, fehlende FI-Schutzschalter, Beleuchtung</t>
  </si>
  <si>
    <t>Elektrische Speicherheizung</t>
  </si>
  <si>
    <t>genügender Druck in Leitungen vorhanden, Apparate funktionstüchtig</t>
  </si>
  <si>
    <t>kleine Küche mit Herd</t>
  </si>
  <si>
    <t>Boden: Laminat\nWand und Decke : Holz</t>
  </si>
  <si>
    <t>4303|Im Liner|(Vereinshaus Kleingärten)|346.00</t>
  </si>
  <si>
    <t>4303|Friedhof|Abdankungshalle|2090.00</t>
  </si>
  <si>
    <t>Stahlbeton, Mauerwerk, Stahlstützen</t>
  </si>
  <si>
    <t>Ziegel</t>
  </si>
  <si>
    <t>Kiesdach, begrünt, Vordach und Dach über Halle mit Cupoluxoblichter (eines defekt)</t>
  </si>
  <si>
    <t>Mauerwerk, verputzt, Stahlbeton im Sturzbereich</t>
  </si>
  <si>
    <t>Metallfenster, Aussentüre aus Holz</t>
  </si>
  <si>
    <t>Elektrotableau m. aspesthaltiger Grundplatte, FI-Schalter, alte Keramiksicherungen,  Innenbeleuchtung und Aussenbeleuchtung am Haus</t>
  </si>
  <si>
    <t>Elektrische Bodenheizung, Radiatoren elektrisch, Durchlauferhitzer für WC-Anlage</t>
  </si>
  <si>
    <t>Elektrische Bodenheizung, Radiatoren elektrisch</t>
  </si>
  <si>
    <t>Abluft Aufbahrungsraum</t>
  </si>
  <si>
    <t>Zeitgemässe Apparate und Armaturen, keine Mängel bekannt</t>
  </si>
  <si>
    <t>Innentüren aus Holz, Metallgeländer</t>
  </si>
  <si>
    <t>B: Keramikpl., Naturstein, W: Keramik, Putz, Anstrich, D: Verputz, Anstrich</t>
  </si>
  <si>
    <t>Klima-Katafalk für Aufbahrung, Kompressor, Urnenwand unter Vordach</t>
  </si>
  <si>
    <t>4303|Friedhof|Geräteraum|198.00</t>
  </si>
  <si>
    <t>Holzbau mit Sockel aus Stahlbeton</t>
  </si>
  <si>
    <t>Falzziegel</t>
  </si>
  <si>
    <t>Holzschalung (Nut- und Kamm)</t>
  </si>
  <si>
    <t>Holztore und -fenster</t>
  </si>
  <si>
    <t>Beleuchtung, Tableau für Anschlüsse</t>
  </si>
  <si>
    <t>B: Verbundsteine</t>
  </si>
  <si>
    <t>4303|Lochmatt, Strandbadweg 59|Camping, Kiosk|698.00</t>
  </si>
  <si>
    <t>Welleternit, Vordach mit text. Storen</t>
  </si>
  <si>
    <t>Glasschiebefenster, Metallläden, Holztüren</t>
  </si>
  <si>
    <t>Fl-Schalter, Beleuchtung, Alarmanlage</t>
  </si>
  <si>
    <t>WW-Boiler</t>
  </si>
  <si>
    <t>Abluft Küche</t>
  </si>
  <si>
    <t>Ältere Armaturen, aber funktionstüchtig</t>
  </si>
  <si>
    <t>Wenig Druck, rostige Leitungen (WW/KW)</t>
  </si>
  <si>
    <t>Boden: Flüssigkunsststoff, Keramik, Abrieb\nWände: Pressspan, Plattenschilder aus Keramik\nDecke: Täfer, Gips, Pressspan</t>
  </si>
  <si>
    <t>Industrieküche, 10-jährig</t>
  </si>
  <si>
    <t>4303|Lochmatt|WC-Gebäude|131.00</t>
  </si>
  <si>
    <t>Welleternit, Untersicht Täfer</t>
  </si>
  <si>
    <t>Beton/Mauerwerk, gestrichen, verputzt</t>
  </si>
  <si>
    <t>Türen aus Holz, Metallgitter</t>
  </si>
  <si>
    <t>Leitungen aus Chromstahl, Apparate funktionstüchtig</t>
  </si>
  <si>
    <t>Metallgeländer, Holztrennwände, -türen</t>
  </si>
  <si>
    <t>Boden: Keramik \nWand: Keramik, Putz\nDecke: Täfer</t>
  </si>
  <si>
    <t>4303|Lochmatt|Garderobengebäude|304.00</t>
  </si>
  <si>
    <t>Mauerwerk KS, Sockel Beton, Metallträger (rostig)</t>
  </si>
  <si>
    <t>Eternitschindeldach, Spenglerarbeiten mangelhaft</t>
  </si>
  <si>
    <t>Mauerwerk, verputzt (Spuren von aufst. Feuchtigkeit) und Holzlattung (Nut und Kamm), Fensterbänke aus Holz (morsch)</t>
  </si>
  <si>
    <t>Holzfester und Fensterläden aus Holz, Holztüren, Sicherheitsglas (Sprung)</t>
  </si>
  <si>
    <t>FI-Schalter</t>
  </si>
  <si>
    <t>Durchlauferhitzer</t>
  </si>
  <si>
    <t>Lüftungen Dusche</t>
  </si>
  <si>
    <t>Lavabo Chromstahl alt, WM/WT alt</t>
  </si>
  <si>
    <t>Holztrennwände, Garderobe</t>
  </si>
  <si>
    <t>B: Keramik, Beton, W: KeramikPutz, KS roh, D: Täfer</t>
  </si>
  <si>
    <t>4303|Lochmatt|Magazin|31.00</t>
  </si>
  <si>
    <t>Ziegeldach, vermoost</t>
  </si>
  <si>
    <t>Holztüre, Holzläden</t>
  </si>
  <si>
    <t>Beleuchtung, Steckdose, Sicherung</t>
  </si>
  <si>
    <t>Boden: Beton\nWand: gestrichen, Mauerwerk verputzt\nDach: Täfer</t>
  </si>
  <si>
    <t>4303|Lochmatt|Betriebsgebäude|207.00</t>
  </si>
  <si>
    <t>Stahlbeton, KS, Holzbau</t>
  </si>
  <si>
    <t>Holzschalung, Sichtbeton</t>
  </si>
  <si>
    <t>Holztüren</t>
  </si>
  <si>
    <t>Beleuchtungen, Schwimmbadtechnik, Kompressor, Aussenanschlüsse</t>
  </si>
  <si>
    <t>Kompressor</t>
  </si>
  <si>
    <t>Schwimmbadtechnik (Wasseraufbereitungsanlage mit Filter, Pumpe), Verteilung</t>
  </si>
  <si>
    <t>Boden: Beton\nWand: KS roh</t>
  </si>
  <si>
    <t>9471|St. Gallerstrasse 6|Wohn- und Geschäftshaus|3736.00</t>
  </si>
  <si>
    <t>Mauerwerk, Decken im UG mit Stahlträger, Holzbalkendecken in den OG''s</t>
  </si>
  <si>
    <t>Mansardendach mit Falzziegel, Dach bei Erkerturm aus Kupferblech, Holzschindel-Unterdach, tw. geflickt, Kaltdach, Dachstuhl weitgehend mängelfrei, Spuren von Wassereintritt vorhanden, vor allem im Bereich des Turms, ansonsten trocken</t>
  </si>
  <si>
    <t>Metallfenster mit 3-fach Verglasung und Rollläden, tw. Holzfenster mit Sprossen, Eingangstüren aus Holz im UG und EG, Dichtigkeit sollte geprüft werden</t>
  </si>
  <si>
    <t>Elektrotableau möglicherweise mit asbesthaltiger Grundplatte, tw. neue Sicherungen vorhanden, EDV-Anlage (Server und Leitungen)</t>
  </si>
  <si>
    <t>Die Sanitärapparate wurden erneuert</t>
  </si>
  <si>
    <t>Die Sanitärleitungen wurden teilweise erneuert. Druck ist i.O., das Wasser kann ungehindert abfliessen.</t>
  </si>
  <si>
    <t>Innenwände mit Holzverkleidungen, Holztrennwand, Einbauschränke und Badezimmermöbel, Schieberegale (Lista), Windfang, Holzbank, Innentüren tw. gepanzert, Treppengeländer geschmiedet mit Holzhandlauf</t>
  </si>
  <si>
    <t>B: Terrazzo (Riss min. 3mm), Teppich, Kunststein, Naturstein Granit, Parkett (Fischgrät), Laminat, Keramik, Holz, W: Verputz mit Holzapplikationen, D: Verputz teilweise mit Stuckaturen, tw. sind Abplatzungen, tw. Risse und Verfärbungen beim Verputz</t>
  </si>
  <si>
    <t>Einbauküche im OG und Teeküche im EG (nur Spülbecken mit Ober- und Unterbau)</t>
  </si>
  <si>
    <t>9471|Kirchgasse 2|Bibliothek und altes Pfarrhaus|3309.00</t>
  </si>
  <si>
    <t>Mauerwerk, Stahlbeton, tw. Spuren von aufsteigender Feuchtigkeit an den Wänden im UG</t>
  </si>
  <si>
    <t>Satteldach mit Biberschwanzziegel</t>
  </si>
  <si>
    <t>Anbau: Extensivbegrünung</t>
  </si>
  <si>
    <t>Verputzt, Spuren von aufsteigender Feuchtigkeit im Sockelbereich und der Nordwest-Fassade</t>
  </si>
  <si>
    <t>Holzfenster mit Isolierverglasung (''88) und Sprossen. Rafflamellenstoren nur im Anbau</t>
  </si>
  <si>
    <t>Teilweise alte Keramiksicherugen, fehlende FI-Schutzschalter</t>
  </si>
  <si>
    <t>Telefonanlage</t>
  </si>
  <si>
    <t>Fernwärme, Kachelofen</t>
  </si>
  <si>
    <t>Bodenheizung UG, EG, DG\nRadiatoren 1.OG und 2. OG</t>
  </si>
  <si>
    <t>Lüftungsanlage (89''), Schutzraumlüftung, Entfeuchter</t>
  </si>
  <si>
    <t>Aufzug hydraulisch</t>
  </si>
  <si>
    <t>Fenstersimse, Einbauschränke, Inselküche im UG</t>
  </si>
  <si>
    <t>B: Keramik, Teppich, Speckstein-Platten,  PVC, Parkett, W: Verputz, Keramik, Holz, D: Verputz, Holz, Akustikdecke, einzelne Verfärbungen am Putz sowie Risse ersichtlich</t>
  </si>
  <si>
    <t>Inselküche im UG</t>
  </si>
  <si>
    <t>9471|Schulhausstrasse 12|Logopädie mit Wohnung|1272.00</t>
  </si>
  <si>
    <t>Mauerwerk mit Hourdisdecken über UG</t>
  </si>
  <si>
    <t>Satteldach mit Falzziegel, Lukarne mit Kupfer-Blechdach</t>
  </si>
  <si>
    <t>Mauerwerk verputzt, Eternitschindeln an der Westfassade, einzelne Risse im Sockelbereich ersichtlich, Balkon mit Geländer aus Holz, Anbau mit Garage und Abstellraum aus Holz</t>
  </si>
  <si>
    <t>IV-Holzfenster (''88) mit Fensterläden aus Holz, Markise auf Balkon</t>
  </si>
  <si>
    <t>Teilweise alte und neue Sicherungen vorhanden, fehlende FI - Schutzschalter</t>
  </si>
  <si>
    <t>Fernwärme, Plattentauscher und Expansionsgefäss sind neu, alter Öltank vorh.</t>
  </si>
  <si>
    <t>Sanitärapparate ohne Mängel, WM/WT</t>
  </si>
  <si>
    <t>Druck ausreichend, Wasser aknn ungehindert abfliessen, es sind keine Mängel bekannt</t>
  </si>
  <si>
    <t>Geländer aus Holz, Einbauschränke, Fenstersimse, Innentüren aus Holz</t>
  </si>
  <si>
    <t>W: Verputz, Keramik, Kokosfasertapete\nD: Verputz, Holzbalkendecken, Holztäfer, an der Decke bei der Stütze ist ein grösserer Riss vorhanden\nB: Keramik, Laminat, Teppich, PVC</t>
  </si>
  <si>
    <t>2 Küchen aus Holz sind in einem guten Zustand</t>
  </si>
  <si>
    <t>9471|Volksgartenstrasse 38|Feuerwehr- &amp; Zivilschutzanlage|18049.00</t>
  </si>
  <si>
    <t>Stahlbeton, Skelettbauweise und Mauerwerk</t>
  </si>
  <si>
    <t>Kiesklebedach auf Holzunterkontruktion, die bituminöse Schicht löst\nsich an einzelnen Stellen und ist nicht mehr dicht, Oblichtkuppeln</t>
  </si>
  <si>
    <t>Mauerwerk, Stahlbeton, tw. verputzt</t>
  </si>
  <si>
    <t>Sektionaltore, doppelverglaste Aluminiumfenster mit Rafflamellenstoren,\nOblichter</t>
  </si>
  <si>
    <t>Feuerwehrzentrale, Tw. noch alte Keramiksicherungen vorh., Generator</t>
  </si>
  <si>
    <t>Radiatoren mit Thermostaten, Heizlüftung</t>
  </si>
  <si>
    <t>Kompressor, Schlauchtrocknungsanlage</t>
  </si>
  <si>
    <t>Keine Mischventile vorhanden. Die Leitungen sind tw. rostig.</t>
  </si>
  <si>
    <t>Schiebetüre aus Holz, Holztrennwände, innere Verglasungen, Übungsraum</t>
  </si>
  <si>
    <t>B: Hartbeton, Holzzement, gestrichen, PVC, Porphyrplatten, Kunststein,\neinzelne Risse im Hartbeton und Zementüberzug sowie Rostflecken\nvorhanden\nW: Holz, Keramik, gestrichen, verputzt\nD: Holz, Rohbeton, gestrichen, verputzt, Spritzputz</t>
  </si>
  <si>
    <t>Küche und Teeküche im OG mit gewerblichem GSP, Küche in der ZSA</t>
  </si>
  <si>
    <t>9471|Aeulistrasse 12|Kindertagesstätte und Pavillon|4075.00</t>
  </si>
  <si>
    <t>Holzfassade, hinterlüftet und Eternitplatten beim Verbindungstrakt</t>
  </si>
  <si>
    <t>Alter Teil: Doppelverglaste Holzfenster ohne Isolierverglasung mit Holzfensterläden\nNeuer Teil: Kunststofffenster, 3-fach-verglast mit Isolierverglasung und Rafflamellenstoren</t>
  </si>
  <si>
    <t>Türsprechanlage, EDV-Anlage</t>
  </si>
  <si>
    <t>Fernwärme, Boiler</t>
  </si>
  <si>
    <t>Bodenheizung, Radiatoren</t>
  </si>
  <si>
    <t>Die Apparate sind neuwertig, keine Mängel vorhanden, WM/WT</t>
  </si>
  <si>
    <t>Innere Verglasungen, Einbauschränke, Küche neuwertig, Windfang, Garderoben</t>
  </si>
  <si>
    <t>B: Linol, Teppich\nW: Tapete, Beton, Rohputz, Holz\nD: Akustik, Holz</t>
  </si>
  <si>
    <t>Lüftung mit WRG</t>
  </si>
  <si>
    <t>9471|Aeulistrasse 10|Internationale Schule Rheintal|4761.00</t>
  </si>
  <si>
    <t>Mauerwerk, Stahlbeton, einzelne kleinere Risse im Mauerwerk vorhanden</t>
  </si>
  <si>
    <t>Satteldach mit Falzziegel, Untersichten aus Holz, Dachraum ausgebaut</t>
  </si>
  <si>
    <t>Mauerwerk, verputzt, Balkonplatte mit Zementüberzug veralgt und rissig, Geländer sind rostig</t>
  </si>
  <si>
    <t>Holzfenster, doppelverglast, PVC-Fenster, Rollläden und Rafflamellenstoren, tw. verwittert</t>
  </si>
  <si>
    <t>Beleuchtung tw. älteren Datums</t>
  </si>
  <si>
    <t>Brandmeldeanlage</t>
  </si>
  <si>
    <t>Feuerlöschposten, bei Lavabos genügender Druck vorhanden, Wasser kann ungehindert ablaufen, Apparate funktionstüchtig</t>
  </si>
  <si>
    <t>Küche mit Backofen und Glaskeramik, Spülmaschine, Garderoben, Empfangstheke aus Holz, Fensterbretter, Treppengeländer und Handläufe, WC-Trennwände</t>
  </si>
  <si>
    <t>B: Teppich, Linol\nW: Verputz, Keramik, einzelne Risse ersichtlich\nD: Verputz</t>
  </si>
  <si>
    <t>Aufzug (ausser Betrieb)</t>
  </si>
  <si>
    <t>4303|Dorfstrasse 17|Gemeindehaus inkl. Wohnung Hauswart und Feuerwehrmagazin Dorf|10589.00</t>
  </si>
  <si>
    <t>Stahlbeton, MW, Holzdecken im Altbau, Stahlträger beim Oblicht, Stahlkonstr. im DG Neubau</t>
  </si>
  <si>
    <t>Flachziegel, Blechdach beim Zw.bau, Lukarnen, Oblichtbänder, tw. mit ablös. Folien, Dachraum ohne sichtbare Mängel, Dachflächenfenster</t>
  </si>
  <si>
    <t>Terrassenbelag defekt (Frostschaden), Vordach Eingang: Kiesklebedach</t>
  </si>
  <si>
    <t>Mauerwerk, verputzt, tw. Kunststein- und Stahlgewände, einzelne Risse im Putz und Abplatzungen vorhanden, Flickstelle bei Fensterbank</t>
  </si>
  <si>
    <t>Kunststoff-, Metall- und Holzfenster, Pfosten-Riegel-System beim Eingang, einz. Scheiben blind, el. Rafflamellenstoren, Holzläden beim Altbau, Aussentüren aus Holz und Metall, Feuerwehrtore</t>
  </si>
  <si>
    <t>Sicherungen genügend, Belechtung, Notstormbelechtung, el. Storen</t>
  </si>
  <si>
    <t>EDV-Analge und -verkabelung, Intrusions- und  Brandmeldeanlage</t>
  </si>
  <si>
    <t>Radiatoren mit Thermostaten, Pumpen älter aber funktionstüchtig</t>
  </si>
  <si>
    <t>Lüftungsanlage im DG, grosser Saal Neubau ''95, Abluft im GR-Zimmer</t>
  </si>
  <si>
    <t>Leitungen tw. mangelhaft, jedoch genügend Druck vorhanden, Wasser kann ungehindert ablaufen, Apparate zeitgemäss mit Mischarmaturen, WM/WT</t>
  </si>
  <si>
    <t>Personenaufzug</t>
  </si>
  <si>
    <t>Archivanlage (Compactus), Geländer, innere Verglasungen, Metalltüren, Küchen, tw. Risse im Putz, tw. Holzwände, Schalteranlagen, Vitrine, Teeküche und Küche in Wg.</t>
  </si>
  <si>
    <t>Boden: Kreamik, Textil, Natur- und Kunstst.platten, Hartbeton, Parkett in Wg., Wand: Putz, tw. m. Rissen, Täfer, Decke: Putz, Metalldecken, tw. beschäd., Gipsdecken, Kasettendecke im GR-Zi. aus Holz</t>
  </si>
  <si>
    <t>4303|Lochmatt|Chlorgasgebäude|45.00</t>
  </si>
  <si>
    <t>Nacktdach, Beton</t>
  </si>
  <si>
    <t>Holztüren mit Metallabdeckungen</t>
  </si>
  <si>
    <t>Beleuchtung, Steuerung</t>
  </si>
  <si>
    <t>Chlor-Anlage</t>
  </si>
  <si>
    <t>Boden: Hartbeton\nWand: Mauerwerk roh\nDecke: roh</t>
  </si>
  <si>
    <t>4303|Rinaustrasse 26|Asylbewerberunterkunft|2085.00</t>
  </si>
  <si>
    <t>Stahlkonstruktion, Stahlstützen und Stahlträger</t>
  </si>
  <si>
    <t>Wellblech, Metallfensterbänke, Laubengang mit Geländer aus Metall</t>
  </si>
  <si>
    <t>Kunststoff zweifach Verglasung, IV, Aussentüren aus Kunststoff</t>
  </si>
  <si>
    <t>Sicherungen mit FI-Schutzschaltern, Beleuchtung innen und aussen, Sat-Empfangsanlage</t>
  </si>
  <si>
    <t>Luft-Wärmepumpe, Warmwasserspeicher</t>
  </si>
  <si>
    <t>Radiatoren mit Thermostaten, Heizleitungen auf Putz</t>
  </si>
  <si>
    <t>Waschmaschinen, Wäschetrockner, Apparate und Armaturen zeitgemäss mit Mischventilen</t>
  </si>
  <si>
    <t>Leitungen aus Chromstahl, genügender Druck vorhanden, kein Rost sichtbar</t>
  </si>
  <si>
    <t>Gipsständerwände, Innentüren aus Holz</t>
  </si>
  <si>
    <t>Boden: PVC, Linol, Wand:Gips, Holzwerkstoffplatten, Wände: Gips, Keramik, Decken: Gipskartonplatten</t>
  </si>
  <si>
    <t>Küchen mit Backofen und el. Kochfeldern (keine Keramik), Umluft, Kühlschrank mit Gefrierteil</t>
  </si>
  <si>
    <t>4303|Rinaustrasse 28|Asylbewerberunterkunft|407.00</t>
  </si>
  <si>
    <t>Container aus Holz mit Holzanbau: Holz ist morsch</t>
  </si>
  <si>
    <t>Wellblech, Blech, Sparren aus Holz und Ortbrettter verwittert</t>
  </si>
  <si>
    <t>Holz, verwittert und morsch</t>
  </si>
  <si>
    <t>Holzfenster, IV, Storen nicht funktionierend, Tür: Holz und Metall (rückwertige Tür)</t>
  </si>
  <si>
    <t>Steckdosen und Leitungen auf Putz, Beleuchtung innen, einzelne Brandmelder</t>
  </si>
  <si>
    <t>El. Heizkörper (Radiatoren), alt</t>
  </si>
  <si>
    <t>Keine Mischvent. vorh., Waschmaschinen und Wäschetrockner, mobile Duschkabinen, alt</t>
  </si>
  <si>
    <t>Leitungen alt, jedoch mit genügendem Druck</t>
  </si>
  <si>
    <t>Innenwände und -türen aus Holz, abgenutzt</t>
  </si>
  <si>
    <t>Boden: PVC, abgenutzt, Wände und Decken: Gipskartonplatten, tw. defekt</t>
  </si>
  <si>
    <t>Kühlschrank und Herd nicht fest eingebaut, Chromstahlabdeckung und -becken, alte Küchenmöbel, Abluft zu Fassade</t>
  </si>
  <si>
    <t>4303|Allmendgasse 13|Wohnhaus|820.00</t>
  </si>
  <si>
    <t>Mauerwerk, Hourdisdecke über Keller, Holzanbau, Naturkeller</t>
  </si>
  <si>
    <t>Falzziegeldach, Lukarnen und Dachflächenfenster, Unterdach aus Holzwerkstoffplatten</t>
  </si>
  <si>
    <t>Mauerwerk, verputzt, im Sockel und der Stirnfassade: Risse vorh., beim Anbau unisol. Fassade aus Holz</t>
  </si>
  <si>
    <t>Holzfenster mit Holzläden, verwittert, Aussentüren aus Holz</t>
  </si>
  <si>
    <t>Alte Keramiksicherungen in Elektrotableau, vermutlich mit Asbestgrundplatte</t>
  </si>
  <si>
    <t>Holzheizung, Elektr. Durchlauferhitzer</t>
  </si>
  <si>
    <t>Elektr.-Heizungen</t>
  </si>
  <si>
    <t>alte App., Waschmaschine, Gasherd</t>
  </si>
  <si>
    <t>Leitungen mangelhaft (gemäss Herr Lüthi)</t>
  </si>
  <si>
    <t>Holztäfer, Innentüren aus Holz</t>
  </si>
  <si>
    <t>Boden: Laminat, PVC, Teppich. Wand: Tapeten, Täfer. Decke: Holztäfer</t>
  </si>
  <si>
    <t>Alte Einbauküche mit Gas- und Holzherd</t>
  </si>
  <si>
    <t>4303|Kirchgasse 21|Lötscher-Scheune|1600.00</t>
  </si>
  <si>
    <t>Mauerwerk, Holz</t>
  </si>
  <si>
    <t>Ziegel ohne Unterdach</t>
  </si>
  <si>
    <t>Mauerwerk, verputzt, tw. Klinker, Holz, Betonsockel</t>
  </si>
  <si>
    <t>Türen, Tore und Fenster aus Holz</t>
  </si>
  <si>
    <t>Beleuchtung, Leitungen und Schalter auf Putz</t>
  </si>
  <si>
    <t>Boden: Verbundsteine</t>
  </si>
  <si>
    <t>4303|Kirchgasse 19|Fährihäuschen / Stübli|250.00</t>
  </si>
  <si>
    <t>Mauerwerk, Riss, aussen ca. 2.5-3.0mm, innen &gt;5mm (wahrscheinlich durch Senkung)</t>
  </si>
  <si>
    <t>Ziegel, Holz</t>
  </si>
  <si>
    <t>Riss, Mauerwerk verputzt, Holz, bei Gewänden verwittert, Holzstützen und -geländer bei Balkon</t>
  </si>
  <si>
    <t>Holzfenster,  ohne Beschattungselemente</t>
  </si>
  <si>
    <t>Elektrische Bodenheizung</t>
  </si>
  <si>
    <t>WC-Anlage</t>
  </si>
  <si>
    <t>Sicherung mit IF-Schalter</t>
  </si>
  <si>
    <t>Boden: Keramikplatten Wand: verputzt und gestrichen, im WC Keramik, Decke: Holz</t>
  </si>
  <si>
    <t>4303|Rheinuferweg|Fährianlagestelle|231.00</t>
  </si>
  <si>
    <t>Holz, Stahlträger mit Beton</t>
  </si>
  <si>
    <t>Bieberschwanzziegel</t>
  </si>
  <si>
    <t>Holz Türe</t>
  </si>
  <si>
    <t>Elektrische Heizung, Klingelanlage (Funkverbindung), Wasser- und Luft-Temperaturanzeige, FI-Schalter vorh.</t>
  </si>
  <si>
    <t>Videoüberwachung Kamera, Dieseltank für Fähre</t>
  </si>
  <si>
    <t>Innere Verglasungen, Trennwände, Decke und Türe aus Holz, Metallgeländer, Bodenbelag aus PVC</t>
  </si>
  <si>
    <t>4303|Rheinuferweg|Zollhaus|34.00</t>
  </si>
  <si>
    <t>Welleternit (vermoost)</t>
  </si>
  <si>
    <t>Holz, Sockel: Beton</t>
  </si>
  <si>
    <t>Holzfenster einfach verglast, Fensterläden aus Holz, Holztür</t>
  </si>
  <si>
    <t>Zähler für Fährihäuschen, vermutlich auf asbesthaltiger Grundplatte, Belechtung</t>
  </si>
  <si>
    <t>Boden: Pflastersteine, Zementplatten, Wand: Beton, Stahlbeton, Holz</t>
  </si>
  <si>
    <t>4303|Rheinuferweg|Pumpenhaus|38.00</t>
  </si>
  <si>
    <t>Nacktdach, vermoost</t>
  </si>
  <si>
    <t>Türe und Fenster aus Holz</t>
  </si>
  <si>
    <t>alte Elektroheizung, nicht funktionstüchtig</t>
  </si>
  <si>
    <t>Wasserleitung Brunnen</t>
  </si>
  <si>
    <t>Elektroanlagen, nicht angeschlossen</t>
  </si>
  <si>
    <t>Boden: Beton, Wände: Anstrich, Decke: Anstrich</t>
  </si>
  <si>
    <t>4303|Rheinuferweg|Wartehäuschen Fähri / Werkhaus|29.00</t>
  </si>
  <si>
    <t>Beton</t>
  </si>
  <si>
    <t>Betondach (vermoost)</t>
  </si>
  <si>
    <t>Metalltüre</t>
  </si>
  <si>
    <t>Boden: Beton</t>
  </si>
  <si>
    <t>4303|Rheinuferweg|Pumpihaus Clubhaus Rheingenossen|638.00</t>
  </si>
  <si>
    <t>Mauerwerk, Holz, Holzstützen</t>
  </si>
  <si>
    <t>Biberschwanzziegel, Holzwerk trocken</t>
  </si>
  <si>
    <t>Sandstein gestrichen, Mauerwerk verputzt, Holzanbau</t>
  </si>
  <si>
    <t>Holz, Einscheibenglas, Läden aus Holz, neue Eingangstüre (2009), Isolierverglasung</t>
  </si>
  <si>
    <t>Beleuchtung, Sicherung genügend</t>
  </si>
  <si>
    <t>Heizung kaputt, Holzofen</t>
  </si>
  <si>
    <t>WC, Geschirrspüler in Küche</t>
  </si>
  <si>
    <t>Einbauten, Innentüren</t>
  </si>
  <si>
    <t>Boden: Linol,  Wand: Holz, Dach: Holzwerkstoffplatten Pavatex</t>
  </si>
  <si>
    <t>Küche, Buffet</t>
  </si>
  <si>
    <t>4303|Rheinuferweg Ergolzbucht|Bootshaus Lochmatt|897.00</t>
  </si>
  <si>
    <t>Fundationen, Holz</t>
  </si>
  <si>
    <t>Holzlatten, vertikal mit Zwischenräumen</t>
  </si>
  <si>
    <t>Beleuchtung, alte Keramiksicherungen, Anschlüsse, FI-Schutzschalter</t>
  </si>
  <si>
    <t>Boden: Gitterroste</t>
  </si>
  <si>
    <t>4303|Dorfstrasse 35|Landgasthof Adler + Autounterstand|3043.00</t>
  </si>
  <si>
    <t>Mauerwerk, im UG Bollensteine und KS, Holzdecken, im Keller: Hourdisdecke, im Weinkeller: Gewölbe aus Natursteinen</t>
  </si>
  <si>
    <t>Bieberschwanzziegeldach mit Gaupen</t>
  </si>
  <si>
    <t>Mauerwerk verputzt, Natursteingewände</t>
  </si>
  <si>
    <t>Holz, 3-fach-Verglasung, Holzläden (nur Dekor), Aussentüren aus Holz</t>
  </si>
  <si>
    <t>Neuwertig, Brandmeldeanlage, EDV, WLAN</t>
  </si>
  <si>
    <t>Gastherme</t>
  </si>
  <si>
    <t>Bad-Lüftung, Klimageräte, Küchenabluft, Rest. mit WRG, Kühlanlage für Buffet und Küche</t>
  </si>
  <si>
    <t>Küchenabluft, Rest. mit WRG, im Keller: Klimaanlage</t>
  </si>
  <si>
    <t>Leitungen, Apparate und Armaturen neuwertig, Entkaltkungsanlage</t>
  </si>
  <si>
    <t>neue Leitungen</t>
  </si>
  <si>
    <t>Warenlift (Zugang von aussen)</t>
  </si>
  <si>
    <t>Boden: Fliesskunststoff, Langriemenparket im Rest., Vynil in den Zimmern, Keramik in Nassräumen. Wand: verputzt, Tapeten in Zimmern, Keramik in Nassräumen. Decke: verputzt, gestrichen, Akustikdecken im Rest. In den Gängen: Gipsdecken, Brandschutzdecken</t>
  </si>
  <si>
    <t>Gewerbliche Küche mit Glaskeramikkochfeldern, div. Geräte, Apparate und Kühlmöbel</t>
  </si>
  <si>
    <t>4303|Violahof|Kinderkrippe|2867.00</t>
  </si>
  <si>
    <t>Holzsystembau von Erne, Stahlbau (Anbau)</t>
  </si>
  <si>
    <t>Kies, Terrassen: Zementplatten</t>
  </si>
  <si>
    <t>Grossfl. Eternitplatten, Holz</t>
  </si>
  <si>
    <t>Kunststoff, Metall (Aussentüre), Rafflamellenstoren</t>
  </si>
  <si>
    <t>PV-Anlage. BMA, FI-Schalter, Beleuchtung</t>
  </si>
  <si>
    <t>Gas, therm. Solaranlage</t>
  </si>
  <si>
    <t>Waschmaschinen, Wäschetrockner, Wasserenthärtungsanlage</t>
  </si>
  <si>
    <t>Innentüren/-wände, Glastüren, Einbauschränke, Geländer, Gastroküche</t>
  </si>
  <si>
    <t>Boden: Linol, Kugelgarn, Kork\nDach: Gipskartonplatten, gestrichen\nWand: Gipskartonplatten, gestrichen, Nassräume: PVC</t>
  </si>
  <si>
    <t>4303|Violahof|Jugendhaus inkl. ehemaliger Polizeiposten|2542.00</t>
  </si>
  <si>
    <t>Kies, extensiv begrünt. Oblicht, keine Mängel bekannt</t>
  </si>
  <si>
    <t>Holz (hinterlüftet), Stahlbeton, Metallfensterbänke, Sockel: Aussenwärmedämung</t>
  </si>
  <si>
    <t>Kunststofffenster mit Rafflamellenstoren, Aussentüre aus Metall</t>
  </si>
  <si>
    <t>Belechtung, genügende Absicherung vorhanden</t>
  </si>
  <si>
    <t>Brandmeldeanlage (exkl. Polizeiposten) Steuerung bei Jugendzentrum, EDV</t>
  </si>
  <si>
    <t>Elektroboiler, Fernwärme (ohne Plattentauscher)</t>
  </si>
  <si>
    <t>Bodenheizung, Radiatoren bei Polizeiposten</t>
  </si>
  <si>
    <t>zentrale Küchenabluft</t>
  </si>
  <si>
    <t>Zeitgemässe Apparate und Armaturen vorhanden, keine Mängel bekannt</t>
  </si>
  <si>
    <t>Genügend Druck vorhanden, Ablauf gewährleistet</t>
  </si>
  <si>
    <t>Schiebetüren/Wände, Schalter im UG, Brandschutztür, nicht gewerbliche Küche mit gewerblichem Geschirrspüler</t>
  </si>
  <si>
    <t>Boden: Keramik, Parkett, Limnat , Linol\nWand: Stahlbeton, Keramikplatten in der Küche</t>
  </si>
  <si>
    <t>4303|Violahof|Pfadihaus|1239.00</t>
  </si>
  <si>
    <t>Einsteinmauerwerk, wahrscheinlich unisoliert, Hourdisdecke über UG, sonst Holzbalkendecken</t>
  </si>
  <si>
    <t>Falzziegel, keine Mängel bekannt, Dachraum trocken</t>
  </si>
  <si>
    <t>Terrasse über behiztem Raum</t>
  </si>
  <si>
    <t>Mauerwerk verputzt, Gewände aus Natur- oder Kunststein, gestrichen, Balkon</t>
  </si>
  <si>
    <t>Markise elektrisch, Kunststofftüre Keller, Aussentür aus Holz</t>
  </si>
  <si>
    <t>Fernwärme, Elektroboiler für WW</t>
  </si>
  <si>
    <t>Bodenheizung und Radiatoren mit Themostaten</t>
  </si>
  <si>
    <t>Brandmeldeanlage, Beleuchtung</t>
  </si>
  <si>
    <t>Küche mit je zwei Backöfen, Glaskeramikkochfeldern und Abzügen, Natursteinabdeckung</t>
  </si>
  <si>
    <t>Boden: Kork, Tosteinplatten, Porphyrplatten Küche, Vynil im UG\nWand: Putz gestrichen, Glasfasertapeten</t>
  </si>
  <si>
    <t>4303|Violahof|Feuerwehrmagazin|1879.00</t>
  </si>
  <si>
    <t>Flachdach begrünt, Glasvordach</t>
  </si>
  <si>
    <t>Falttore, Eingangstür: 3-fach verglast, Notausgangstür: Kunststoff mit Alu, Aussentüre: Metall, Fenster: Kunststoff\nAlter Bauteil: Holzfenster, 2-fach-Verglasung</t>
  </si>
  <si>
    <t>Genügende Absicherungen mit FI-Schutzschaltern, Beleuchtung, EDV</t>
  </si>
  <si>
    <t>Radiatoren mit Thermostaten, Bodenheizung</t>
  </si>
  <si>
    <t>Entlüftung Vorratsraum, Abluft WC/Dusche</t>
  </si>
  <si>
    <t>Heizlüftungen, Kompressor</t>
  </si>
  <si>
    <t>Entfeuchter, Entkalkungsanlage, Leitungsdruck genügend, Armaturen zeitgemäss mit Mischventlien, tw. autom.</t>
  </si>
  <si>
    <t>Küche: Schiebetür/wand, innere Verglasungen, Einbaukästen, Küche mit gewerblichem Geschirrspüler</t>
  </si>
  <si>
    <t>Boden:Keramik, textiler Bodenbelag, Hartbeton gestrichen, alter Bauteil: PVC-Boden\nWand: Abrieb, gestrichen\nDecke: Beton, gestrichen, Akustikdecke</t>
  </si>
  <si>
    <t>4303|Rosenweg 18|KIGA Rosenweg|8501.00</t>
  </si>
  <si>
    <t>Metallvordach beim Entrée</t>
  </si>
  <si>
    <t>Kunststofffenster, Holz-Metalltüre (Metall löst sich ab), Rafflamellenstoren man.</t>
  </si>
  <si>
    <t>Fl-Schalter vorhanden</t>
  </si>
  <si>
    <t>Apparate funktionstüchtig, Armaturen mit Mischventilen</t>
  </si>
  <si>
    <t>Boden: Linol, Keramik\nWand: Anstrich, Keramik\nDecke: Anstrich, Holz (Akustikdecke)</t>
  </si>
  <si>
    <t>8556|Käsereistrasse 10|Mehrzweckhalle|2842.00</t>
  </si>
  <si>
    <t>Mauerwerk, Holzträger</t>
  </si>
  <si>
    <t>Gedämmt, Dachraum trocken und mängelfrei</t>
  </si>
  <si>
    <t>Mauerwerk, verputzte Aussenwärmedämmung</t>
  </si>
  <si>
    <t>Fenster Westfassade: Holz-Metal</t>
  </si>
  <si>
    <t>Beleuchtung, Turnhallenbeleuchtung, Bühnentechnik</t>
  </si>
  <si>
    <t>Armaturen ohne Mischventile, jedoch funktionstüchtig</t>
  </si>
  <si>
    <t>Küche ''10, Garderobe</t>
  </si>
  <si>
    <t>Turnhallenboden (Bretterboden, alt), Wand: Glasfasertapeten</t>
  </si>
  <si>
    <t>8556|Käsereistrasse 10|Primarschule Wigoltingen|4409.00</t>
  </si>
  <si>
    <t>Der Dachraum ist trocken und unbeschädigt, Spuren von Wassereintritt sichtbar (Mangel wurde behoben).</t>
  </si>
  <si>
    <t>Mauerwerk verputzt, Aussenwärmedämung</t>
  </si>
  <si>
    <t>Kunststofffenster, Windfang: Metalltüren mit Glasfüllungne, Rafflamellenstoren an der Nord-, West- und Südfassade</t>
  </si>
  <si>
    <t>Pausenglocke, EDV-Anlage</t>
  </si>
  <si>
    <t>WC neu ''09. Leitungen tw. rostig, Druck ist in Ordnung</t>
  </si>
  <si>
    <t>Garderoben, Einbauschränke, kleine Küche im KG-Raum\nGeländer (Höhe und Abstände nicht gesetzeskonform)</t>
  </si>
  <si>
    <t>Boden: Kunststein, Linol, PVC. Garagenboden: Beton, gestrichen\nWand: verputzt, Glasfasertapete\nDecke: Holztäferdecke, Akustik-, Gipsdecke</t>
  </si>
  <si>
    <t>8335|Oberdorfstrsse 91|Altersheim und Gartenhaus|1804.00</t>
  </si>
  <si>
    <t>Mauerwerk mit Holzdecken, über UG Hourdisdecken, Keller: Natur- und Kalksandstein-MW, tw. zu hoher Feutigkeitgehalt</t>
  </si>
  <si>
    <t>Ziegeldach mit Holzschindelunterdach, tw. Pavatexplatten, Ziegel defekt, Spuren von Wassereintritt erkennbar, Dachflächenfenster, Rauchabzug über Dachflächenfenster</t>
  </si>
  <si>
    <t>Gartenhäuschen: Mauerwerk, mit Kletterpflanzen verwachsen.\nAltersheim: Mauerwerk, verputzt, Gewände und Friese aus Naturstein, Balkone: Balkongeländer mangelhaft und rostig</t>
  </si>
  <si>
    <t>Obergeschoss: Velux-Fenster, Holztüre, Holzrahmen verzogen, Fenster mangelhaft, Holzläden, Gartenhäuschen: undichte Fenster</t>
  </si>
  <si>
    <t>Brandmelder nicht mehr in Berieb, Beleuchtung, Sicherung genügend, Elektrophysikalische Mauerentfeuchtung, Badentlüftung muss überprüft werden</t>
  </si>
  <si>
    <t>Ölheizung 53kW, 2005, Boiler</t>
  </si>
  <si>
    <t>Heizung mit Thermostaten, alte Heizleitungen im Keller, eine der zwei Pumpen ist neu.</t>
  </si>
  <si>
    <t>WC und Duschen, Waschmaschine, Waschtrockner, Druckwasseranlage</t>
  </si>
  <si>
    <t>Vermutlich rostige Leitungen oder zumindest verkalkt, Druck genügend, Gartenhäuschen: Aussenanschluss für Wasser</t>
  </si>
  <si>
    <t>Metallgeländer, Einbauschränke von ca. 1920, innere Verglasungen, Glastür, Gewände aus Holz, Holzausbauten</t>
  </si>
  <si>
    <t>Boden: Gumminoppenbelag, Parkett, Korkplatten, Decken: Holz, Gips, Wände: verputzt, tw. Holzverkleidung, \nWand im Keller: Kalksandstein, feucht</t>
  </si>
  <si>
    <t>Neue Küche mit Geschirrspüler, Natursteinabdeckung und -schild, Einbauschränke</t>
  </si>
  <si>
    <t>8335|Schulhausstrasse 2 bei 2|Schutzraum|478.00</t>
  </si>
  <si>
    <t>überdeckt</t>
  </si>
  <si>
    <t>Dichtung der Panzertür fehlt, Panzertüren bei Fluchtschächten</t>
  </si>
  <si>
    <t>Luftfilteranlage</t>
  </si>
  <si>
    <t>WC, Lavabos, Dusche</t>
  </si>
  <si>
    <t>Leitungen sind abgedreht</t>
  </si>
  <si>
    <t>Holzinnentüren, Leiter</t>
  </si>
  <si>
    <t>Wand: gestrichen</t>
  </si>
  <si>
    <t>In der Küche Armaturen ohne Mischventile, WC und Duschen</t>
  </si>
  <si>
    <t>4303|Kirchgasse|Kirchturm|583.00</t>
  </si>
  <si>
    <t>Mauerwerk verputzt, Holzbalkendecken, Glockenstuhl</t>
  </si>
  <si>
    <t>Ziegeldach (Bieberschwanz) ohne Unterdach</t>
  </si>
  <si>
    <t>Mauerwerk, verputzt, Natursteingewände</t>
  </si>
  <si>
    <t>Holzläden</t>
  </si>
  <si>
    <t>Beleuchtung, Turmuhr, Sicherungskasten</t>
  </si>
  <si>
    <t>Uhr- und Läutwerk</t>
  </si>
  <si>
    <t>Geländer aus Holz</t>
  </si>
  <si>
    <t>3 Glocken</t>
  </si>
  <si>
    <t>8335|Ghangetrietstrasse|Friedhofsgebäude|91.00</t>
  </si>
  <si>
    <t>Natursteinmauerwerk</t>
  </si>
  <si>
    <t>Holzdach, wenig Moos</t>
  </si>
  <si>
    <t>Kalksandstein, keine Mängel bekannt</t>
  </si>
  <si>
    <t>Keine Fenster, ausser opake Steine in Maueröffnung</t>
  </si>
  <si>
    <t>Keine Beleuchtung, Blitzschutz muss neu befestigt werden</t>
  </si>
  <si>
    <t>Aussenanschluss</t>
  </si>
  <si>
    <t>Holzbänke</t>
  </si>
  <si>
    <t>Wand: Kalksandstein\nBoden: Pflastersteine\nDecke: Holzdach</t>
  </si>
  <si>
    <t>8335|Ghangetrietstrasse|Friedhofsgebäude|705.00</t>
  </si>
  <si>
    <t>Stahlbeton, Naturstein- und Kalksandsteinmauerwerk</t>
  </si>
  <si>
    <t>Ziegeldach hinterlüftet, defekter Ziegel, keine Spuren von Wassereintritt</t>
  </si>
  <si>
    <t>Naturstein, Betonsockel, Mauerwerk verputzt, Holz</t>
  </si>
  <si>
    <t>Holztüre, Garagentor aus Holz, Holzfenster, Metallfenster im UG</t>
  </si>
  <si>
    <t>Beleuchtung, Aussenbeleuchtung,  Warmwasser-Boiler, Alte Keramiksicherungen, Kühlanlage</t>
  </si>
  <si>
    <t>Warmwasser-Boiler</t>
  </si>
  <si>
    <t>Kompressor (Kühlanlage) ca. vor 3 Jahren erneuert</t>
  </si>
  <si>
    <t>Lavabo, WC, Tropfrinne rostig</t>
  </si>
  <si>
    <t>Holz Innenwände, Innere Verglasungen, Holzgeländer, Glasabdeckung über dem Sarkophag nicht funktionstüchtig</t>
  </si>
  <si>
    <t>Boden: Hartbeton\nWand: verputzt, Holzverkleidung, in der Garage : Kalksandstein\nDecke: Holz</t>
  </si>
  <si>
    <t>8335|Dürstellenstrasse 8 bei 8|Zivilschutzanlage|907.00</t>
  </si>
  <si>
    <t>Panzertüre, Panzertüren bei Flcuhtschächten</t>
  </si>
  <si>
    <t>Beleuchtung, alte Keramiksicherungen</t>
  </si>
  <si>
    <t>Öltank, Generator, Boiler</t>
  </si>
  <si>
    <t>Dusche, WC, Wassertank</t>
  </si>
  <si>
    <t>Leitungen sind abgestellt</t>
  </si>
  <si>
    <t>Boden: Teppich, Eingangsbereich : Hartbeton\nWand und Decke : gestrichen</t>
  </si>
  <si>
    <t>Kleine Küche mit Lavabo und Herd, Glaskeramikherd</t>
  </si>
  <si>
    <t>8335|Hermetsbüel|Zivilschutzanlage|1799.00</t>
  </si>
  <si>
    <t>Unter Terrain</t>
  </si>
  <si>
    <t>Panzertüren, Gittertore mit Maschendrahtfüllungen</t>
  </si>
  <si>
    <t>Dieselgenerator, alte Keramiksicherungen, Beleuchtung, Telefonanlage</t>
  </si>
  <si>
    <t>Luftfilteranlagen</t>
  </si>
  <si>
    <t>Lüftungsrohre; keine Mängel bekannt</t>
  </si>
  <si>
    <t>Dusche, WC, Chromstahl-Lavabos, nur Kaltwasserarmaturen</t>
  </si>
  <si>
    <t>Wasser kann ungehindert ablaufen, Abläufe intakt, Wassertank, Leitungen müssen gespült und kontrolliert werden.</t>
  </si>
  <si>
    <t>Trennwände und Innentüren; Deckblätter lösen sich ab</t>
  </si>
  <si>
    <t>Boden: Teppich, Hartbeton im Eingangsbreich\nDecke: gestrichen\nWand: gestrichen, Kalksandstein,</t>
  </si>
  <si>
    <t>8335|Jakob Stuz-Strasse 54 bei 54|Altes Sekundarschulhaus inkl. Gerätehaus und Garagengebäude|1903.00</t>
  </si>
  <si>
    <t>Mauerwerk und Holzbalkendecken, Gerätehäuschen: Holzbau, Stahlbetonfertiggarage</t>
  </si>
  <si>
    <t>Ziegeldach, hinterlüftet, Balken weisen zu hohe Feuchtigkeit auf (nur im hinteren Bereich) ansonsten trocken, Dachuntersicht verwittert, Ziegel\n tw. defekt (gem. Herrn Hächler), Gerätehäuschen: Dacheindeckung vermoost, Unterdach aus Holzschindeln, Spuren</t>
  </si>
  <si>
    <t>Nacktdach beim Garagengebäude</t>
  </si>
  <si>
    <t>Mauerwerk, verputzt, Risse vorhanden (tw. &lt;2.0mm), Natursteingewände, Gerätehäuschen: Holzfassade, verwittert</t>
  </si>
  <si>
    <t>Holzfenster mit Einscheibengläser (stark verwittert), tw.2-Scheibengläser gekittet mit Sprossen, Fenster im Estrich ohne Glas, Holztüren, Holzläden, 3-fach-Verglasung im OG, April 1986, manuelle und Elektro-Storen, Holztüre mit Glaseinsatz und geschmiedet</t>
  </si>
  <si>
    <t>Keine FI-Schalter, Asbestverdacht bei Montageplatten, Bewegungssensor, Beleuchtung, alte Keramiksicherungen, Antennenanlage</t>
  </si>
  <si>
    <t>Heizung mit Thermostat, Leitungen im UG tw. nicht isoliert</t>
  </si>
  <si>
    <t>Waschmaschine, WC, Lavabo, Badewanne alt, jedoch intakt</t>
  </si>
  <si>
    <t>Keine Mischventile (ausser in der Wg. im OG), Druck ist genügend</t>
  </si>
  <si>
    <t>Einbauschränke im Musikzimmer, Holztreppen, Holzgeländer (h&lt;1.0m), eine Sprosse fehlt), Metallgeländer, Estrichabteile mit Holzprofil-Trennwänden, Fenstersimse aus holz</t>
  </si>
  <si>
    <t>Boden: Zementboden im Keller, Linolplatten, Teppich, Porphyrplatten in Bäder, Wand: verputzt und gestrichen, Risse im obersten Geschoss vorhanden, Plattenschild bei Küche, Keramikplatten in Bad, Decke: verputzt, gestrichen, Holztäfer im DG</t>
  </si>
  <si>
    <t>Alte Küche mit altem Kühlschrank und Herd, Chromstahlbecken</t>
  </si>
  <si>
    <t>8556|Käsereistrasse 10|Turnhalle (Sarnahalle)|4326.00</t>
  </si>
  <si>
    <t>Eternitschindeldach: keine Mängel bekannt (Dachraum konnte nicht besichtigt werden), Isolation über Hallendecke (Isofloc)</t>
  </si>
  <si>
    <t>Eternitplatten ''10, einige Risse vorhanden</t>
  </si>
  <si>
    <t>Kunststoffenster, Rafflamellenstoren (tw. beschädigt), an der Westfassade: Metallfenster (Gläser wurden ersetzt), Aussentüren aus Holz, tw. mit Glasfüllungen</t>
  </si>
  <si>
    <t>Beleuchtung ''10 in Ordnung, Turnhallenbeleuchtung</t>
  </si>
  <si>
    <t>Die grosse Lüftung gehört zur Mehrzeckhalle</t>
  </si>
  <si>
    <t>Lüftung Garderoben/Duschen</t>
  </si>
  <si>
    <t>WC neu , Dusche, Armaturen ersetzt</t>
  </si>
  <si>
    <t>teilweise erneuert</t>
  </si>
  <si>
    <t>Garderoben, Treppengeländer (h=92cm), Einbauschränke</t>
  </si>
  <si>
    <t>Boden: alt (noch original), mangelhaft, Klinker\nDecke: Holz, Heraklith im Werkraum, Hartbeton, gestrichen</t>
  </si>
  <si>
    <t>8556|Bahnhofstrasse 40|Werkzentrum|7617.00</t>
  </si>
  <si>
    <t>Stahlbeton, Mauerwerk, Kalksandstein</t>
  </si>
  <si>
    <t>Isoliertes Ziegeldach, Welleternit</t>
  </si>
  <si>
    <t>Eternitplatten, Sichtbeton</t>
  </si>
  <si>
    <t>Holzfenster (nur Gläser ausgetauscht), Rafflamellenstoren</t>
  </si>
  <si>
    <t>FI-Schutzschalter neu ''19</t>
  </si>
  <si>
    <t>Fernwärme, Gasheizung als Ergänzung (Übergangszeiten)</t>
  </si>
  <si>
    <t>Druck und Leitungen in Ordnung</t>
  </si>
  <si>
    <t>Innere Verglasungen, Trennwände, kleine Teeküche im Singsaal, Garderobe</t>
  </si>
  <si>
    <t>Boden: Klinkersteine, PVC, Parkett, Linol, in der Teeküche: Hartbeton\nWand: Putz, Täfer\nDecke: Holztäfer</t>
  </si>
  <si>
    <t>8335|Hermetsbüelweg 10|Hermetsbüel Oberstufe|8453.00</t>
  </si>
  <si>
    <t>Stahlbetonbau mit Mauerwerk, feine Risse vorh.</t>
  </si>
  <si>
    <t>Ziegeldach, Holzschindelunterdach trocken und mängelfrei, Dachfenster (Holz), stellenweise morsch wegen Kondenswasser, Putzraum (OG): Feuchtigkeitsschaden beim Dachfenster (behoben?)</t>
  </si>
  <si>
    <t>Flachdach beim Anbau, Vordach Garage</t>
  </si>
  <si>
    <t>Putz, Steinplatten (tw. bschädigt), Eternitplatten</t>
  </si>
  <si>
    <t>Kunststofffenster mit IV-Doppelverglasung (03/91),  Kunststofffenster 2007, Metallfenster mit IV-Verglasung beim Verbindungsteil zum Anbau, Alte nicht isolierte Fenster, Rafflamellenstoren, Metallstor (Garage)</t>
  </si>
  <si>
    <t>Beleuchtung ca. 30 Jahre alt</t>
  </si>
  <si>
    <t>Audioanlagen, Feuermelder, IT-Netz, FI-Schutzschalter vorh.</t>
  </si>
  <si>
    <t>Fernwärme, Heizlüfter (Keller)</t>
  </si>
  <si>
    <t>Radiatoren mit Thermostat, Bodenheizung</t>
  </si>
  <si>
    <t>Genügender Druck vorhanden, Wasser kann ungehindert ablaufen, Enthärtungsanlage vorh., zeitgemässe san. Apparate, Feuerlöschposten ohne Mangel</t>
  </si>
  <si>
    <t>Einbaukästen, innere Verglasungen, Windfang, WC-Trennwände</t>
  </si>
  <si>
    <t>D: Putz, gestrichen, Holztäfer, Gips, Akustikdecken, Betondecken (Schulküche)\nW: Putz, gestrichen, Glasfasertapeten\nB: Klinker, Parkett, Laminat, Schmutzschleuse, Natursteinplatten, Korkplatten. tw. a</t>
  </si>
  <si>
    <t>8335|Oberdoftstrasse 21|Kiga Oberdorf|680.00</t>
  </si>
  <si>
    <t>Mauerwerk mit Holzbalkendecke, Fundamente mit Kriechkeller, Hourdisdecke über Keller</t>
  </si>
  <si>
    <t>Ziegeldach, Holzschindelunterdach und Holzwerk trocken und schadlos, Dachuntersichten leicht verwittert, Ort- und Traufbretter neuwertig</t>
  </si>
  <si>
    <t>Mauerwerk, verputzt, Sockelputz verschmutzt und an Ecke leicht beschädigt</t>
  </si>
  <si>
    <t>Kunststofffenster mit IV-Doppelverglasung, Rafflamellenstoren, Holztüre zum Keller</t>
  </si>
  <si>
    <t>Beleuchtung KG-Raum, Problem beim Ein- und Ausschalten des Lichts vorhanden, Sicherungskasten war bei Besichtigung verdeckt</t>
  </si>
  <si>
    <t>Ölheizung mit offenem Öltank</t>
  </si>
  <si>
    <t>Bodenheizung, Radiatoren mit Thermostaten</t>
  </si>
  <si>
    <t>Apparate und Armaturen zeitgemäss und funktionstüchtig, Boiler</t>
  </si>
  <si>
    <t>Genügend Druck vorhanden, Wasser kann ungehindert ablaufen</t>
  </si>
  <si>
    <t>Einbauschränke, WC-Trennwände, Arbeitssimse</t>
  </si>
  <si>
    <t>D: Gibs, Holz\nW: Putz\nB: Linoleum, Karton/Holz (Estrich), Zement (Keller)</t>
  </si>
  <si>
    <t>8477|Hauptstrasse 15|Schulhaus|8114.00</t>
  </si>
  <si>
    <t>Mauerwerk, massiv (kleine Risse), Dachstuhl intakt</t>
  </si>
  <si>
    <t>Sparrendach mit Biberschwanzziegeleindeckung ohne Unterdach, Dachboden: Estrich gedämmt (''13), Dacheindeckung und Kehlboden schadhaft!</t>
  </si>
  <si>
    <t>Nutzschicht: Zementplatten (Zwischenbau), Dichtigkeit im Anschluss an Fassade problematisch</t>
  </si>
  <si>
    <t>Naturstein verputzt, Wassereintritt bei Fassade vor dem Flachdach, Pausenhalle wurde neu gestrichen</t>
  </si>
  <si>
    <t>3-fach-Isolierverglasung, Holz-/Metallfenster mit Holzläden: undicht, auch akustisch und wärmetechnisch nicht in optimalem Zustand, Kunststein-Fensterbänke, Aussentüre Metall (''96) ist undicht</t>
  </si>
  <si>
    <t>Sicherungen mit FI-Schutzschaltern, genügende Absicherung</t>
  </si>
  <si>
    <t>EDV wird gemäss B. Frei erneuert, Telefon, Pausenglocke</t>
  </si>
  <si>
    <t>Leitungen (''95/''96): keine Mängel bekannt</t>
  </si>
  <si>
    <t>Einbauschränke, Arbeitssimse, Unterlagsboden Risse</t>
  </si>
  <si>
    <t>B: Linol, PVC, Keramik, Parkett (z.T. Risse), Teppich (nur noch in einem Raum im DG), W: Verputz D: Gipsplatten, Verputz, Holz</t>
  </si>
  <si>
    <t>8588|Kirchstrasse|Primarschulanlage Mehrzweckhalle|7217.00</t>
  </si>
  <si>
    <t>Stahlbeton, Mauerwerk und Holzbalkendecken, Holzschichtträger, Sichtbetonelemente</t>
  </si>
  <si>
    <t>Dach der Turnhalle tw. isoliert, Holzschindeln mit Falzziegeln. Boden isoliert mit Glaswolle</t>
  </si>
  <si>
    <t>Spritzputzfassade, gestrichen, im Sockelbereich verfärbt (ev. durch aufsteigende Feuchtigkeit)</t>
  </si>
  <si>
    <t>Doppelverglasung (keine IV), Rafflamellen schwergängig, Aussentüre und Garagentor aus Holz/Metall</t>
  </si>
  <si>
    <t>Genügende Absicherungen, FI-Schutzschalter, Audioanlage, Hallenbeleuchtung</t>
  </si>
  <si>
    <t>Bodenheizung, Radiatoren mit Thermostat</t>
  </si>
  <si>
    <t>Verteilung in Garderobe und Küche. Abzug in Küche, WC und Duschräume.</t>
  </si>
  <si>
    <t>Dito Zentrale lufttechnische Anlagen</t>
  </si>
  <si>
    <t>Feuerlöschposten, Aussenanschlüsse (Schuhwaschstelle), Armaturen Duschen, bei Lavabos ohne Mischventile, Apparate</t>
  </si>
  <si>
    <t>Genügneder Druck vorhanden</t>
  </si>
  <si>
    <t>Windfang, Küche und Garderoben; kein vollständiges Abfliessen des Wassers, Kalkflecken in den Ecken, , Einbauschränke, Verdunklungsvorhang</t>
  </si>
  <si>
    <t>B: Parkett, Kuststeinplatten, PU Turnhallenboden,</t>
  </si>
  <si>
    <t>9220|Sandbänkli 5|Verwaltungsgebäude|2139.00</t>
  </si>
  <si>
    <t>KS UG, Mauerwerk, Holzbalkendecken, Hourdisdecken, Riss in Wand UG, Dachstuhl aus Holz (Feuchtigkeitsgehalt überpüfen), Eisenstützen beim Eingang</t>
  </si>
  <si>
    <t>Ausgebaut und isloliert mit Eternitschindeln, Kupferblechen, Dachflächenfenster, Untersichten i.O.</t>
  </si>
  <si>
    <t>Terrasse mit Natursteinplatten</t>
  </si>
  <si>
    <t>Natursteinsockel und Putz</t>
  </si>
  <si>
    <t>3 x Isolierverglasung 2013, Holzrollläden, Aussentüren aus Holz mit Glaseinsätzen</t>
  </si>
  <si>
    <t>Beleuchtung und Aufputztableau (Asbestverdacht), alte Keramiksicherungen vorh.</t>
  </si>
  <si>
    <t>EDV, Drucker und Telefon</t>
  </si>
  <si>
    <t>Ölheizung vom Jahr ''68</t>
  </si>
  <si>
    <t>Boiler, Entfeuchtungsgerät im UG</t>
  </si>
  <si>
    <t>Einbauschränke, Garderobe, Sitzecke und spez. Schreinerarbeiten, Innentüren aus Holz mit Glaseinsätzen</t>
  </si>
  <si>
    <t>B: Mosaik, Linol, Estrichboden Holz, Kokosfaser- und Kugelgarnteppich und Textil W: div. Holzverkleidungen, Textilverkleidung und Putz (tw. Risse) D: Täfer, Akustikdecken und Putz (tw. mit Stukkaturen)</t>
  </si>
  <si>
    <t>8022|Fraumünsterstrasse 8 und Stadthausquai 3,5,7|SNB|30260.00</t>
  </si>
  <si>
    <t>Beton, Mauerwerk, Treppen aus Naturstein und Beton im EG, beim Ausgang tw. beschädigt</t>
  </si>
  <si>
    <t>Kupferblechdächer mit Doppelstehpfalz, Schiefer- und Eternitschindeldächer, Glasdächer verschmutzt</t>
  </si>
  <si>
    <t>Dachterrassen mit Zementplatten</t>
  </si>
  <si>
    <t>Balustraden nicht absturzsicher (zu niedrig), Fassade aus Sandstein</t>
  </si>
  <si>
    <t>Metallfenster (''99), Holzmetallfenster (''07), Fenster zum Hof älter (''70er/''80er-Jahre), innere Verdunklung und Rafflamellen. Verglaste Aussentüre und tw. original erhaltene Türen.</t>
  </si>
  <si>
    <t>Beleuchtung tw. nicht mehr zeitgemäss, tw. schadhaft. Hauptverteilungen und Unterverteilungen sind intakt, keine FI-Schutzschalter vorhanden (entsprechen nicht den heutigen Normen), Absicherungen: ungenügende Reserven für weiteren Ausbau, Notlichtanlage</t>
  </si>
  <si>
    <t>Audio-, Brandmelde- und EDV-Anlagen (Server und Leitungen/Anschlüsse), Telefonie, Einbruchmeldeanlage (Intrusionsanlage), Zutrittskontrollsystem, Wächterfunk, Störmeldesystem, Evakuationsanlage, Videoüberwachungsanlage, Radio/TV, MSR</t>
  </si>
  <si>
    <t>Bivalente Oel-/Gasheizung (Oelheizung ''92)</t>
  </si>
  <si>
    <t>Entlüftung Hof defekt, Lüftungsanlage ca. 10-jährig, Ersatzteile für Steuerung nicht mehr erhältlich</t>
  </si>
  <si>
    <t>Lüftungskanäle und -gitter intakt, keine Mängel bekannt</t>
  </si>
  <si>
    <t>Leitungsnetze, Apparate und Armaturen</t>
  </si>
  <si>
    <t>Personenaufzüge alle mit inneren Lifttüren</t>
  </si>
  <si>
    <t>Innenwand UG: örtliche Abplatzungen des Putzes wegen aufsteigender Feuchtigkeit, innere Verglasungen (schadhaft: blind), Stuckdecken, Geländer (nicht absturzsicher), Archive, Einbauten aus Holz, Holzverkleidungen bei Fenstern tw. mit Rissen</t>
  </si>
  <si>
    <t>Eingang:Riss in der Gipswand, Fuge im Marmorboden im Foyer (vor 14 Jahren  Wasserschaden 15cm), mangelhafte Platten mit Fugen beim Ausgang WC, Büro: Dilatationsfuge im Parkett, Beim Durchgang auf Decke &amp; Boden Feuchtigkeits- und Schimmelpilzfl.</t>
  </si>
  <si>
    <t>4303|Violaweg 75|KIGA Violaweg|7344.00</t>
  </si>
  <si>
    <t>Sichtbeton, Metalltür undicht</t>
  </si>
  <si>
    <t>Metallfenster, Dichtungen mangelh., Rafflamellenstoren, Markise</t>
  </si>
  <si>
    <t>alte Sicherungen, keine Fl</t>
  </si>
  <si>
    <t>Leitungen rostig, Druck reduziert</t>
  </si>
  <si>
    <t>Ältere Küche, Einbaukäste, Innentüren</t>
  </si>
  <si>
    <t>B: Linol, Keramik, W: Täfer, Putz, Anstrich, Keramikpl., D: Täfer, Pavatex</t>
  </si>
  <si>
    <t>4303|Stelliweg|Waldhütte|607.00</t>
  </si>
  <si>
    <t>Betonfundamente, Mauerwerk, Holzbau</t>
  </si>
  <si>
    <t>Bieberschwanzziegeldach</t>
  </si>
  <si>
    <t>Holz Fenster (einfach verglast) und Türen, teilweise vergittert, Markise</t>
  </si>
  <si>
    <t>Feuerstelle</t>
  </si>
  <si>
    <t>Boden:Verbundstein, Beton\nWand: Holz\nDecke:Holz</t>
  </si>
  <si>
    <t>8153|Katzenrütistrasse 4|Sekundarschulhaus Rümlang|15732.00</t>
  </si>
  <si>
    <t>Kiesklebedach, Blechdach über Chemiezimmer, Dachaufbau 1976/1977, Oblichtkuppeln</t>
  </si>
  <si>
    <t>Mauerwerk verputzt, im Sockelbereich vermoost</t>
  </si>
  <si>
    <t>Holz-/Metall-Fenster 3-fach-IV mit Beschichtung, im Obergeschoss 2-fach Verglasung 2004, Metall-Fenster im Computerzimmer (2015), fehlendes Sicherheitsglas, im Budget enthalten, wird in 1-2 Jahren ersetzt, Eingangstüre aus Glas</t>
  </si>
  <si>
    <t>alte Keramiksicherungen</t>
  </si>
  <si>
    <t>EDV, ältere Beleuchtung im Werkzimmer, aber ausreichend, fehlender FI-Schutz, wurde bei einer kürzlicher Kontrolle bereits aufgenommen</t>
  </si>
  <si>
    <t>Fernwärme (vom Nachbargebäude)</t>
  </si>
  <si>
    <t>Lüftungen wurden alle abgehängt ausser die für den Computerraum (neue Lüftung ca. 2j. alt) und das Musikzimmer</t>
  </si>
  <si>
    <t>Geringer Druck, ältere K/W-Wasser Leitungen, im neuem Teil der Schule Druck genügend, Warmwasser-Boiler, undichte Heizleitung</t>
  </si>
  <si>
    <t>Innentüren aus Glas, Treppengeländer nur 90 cm, Einbauschränke, Garderoben, Teeküche Lehrerzimmer inkl. Herd</t>
  </si>
  <si>
    <t>Boden: Kunststein, Linol in Schulzimmer, PU-Platten im OG, Teppich im Lehrerzimmer, älterer Boden im Werkzimmer, Parkett im Computerzimmer\nWand: Putz gestrichen \nDecke: Spritzputz (allenfalls asbesthaltig), Akustik, Heraklith</t>
  </si>
  <si>
    <t>8153|Katzenrütistrasse bei 6|Primarschulhaus Rümlang inkl. Turnhalle|14846.00</t>
  </si>
  <si>
    <t>Mauerwerk, Stahlbeton und Stahlträger im Gemeindesaal</t>
  </si>
  <si>
    <t>Ziegeldach, wurde renoviert, Dachraum trocken</t>
  </si>
  <si>
    <t>Holzfenster im Geräterraum, Kunststoff 2-fach-IV 1997, Holzfenster im WC (2005/2007)</t>
  </si>
  <si>
    <t>Fehlende FI-Schalter, Bühnenbeleuchtung, Turnhallenbeleuchtung, allg. Beleuchtung</t>
  </si>
  <si>
    <t>Gasmelde-Anlage</t>
  </si>
  <si>
    <t>Gasheizung ca 10-jährig</t>
  </si>
  <si>
    <t>Problem mit Warmwasser-Zuleitung in der Küche,\ngenügend Druck vorhanden, Duschen in der Garderobe</t>
  </si>
  <si>
    <t>Innereverglasung, Treppenlift, Garderoben, Einbauschränke, Küche mit gewerb. Geschirrspüler, Industrieküche im Schulgebäude, Küchenapparate, Treppengeländer 90 cm mit 14cm Abstände zw. den Stäben</t>
  </si>
  <si>
    <t>Boden: Turnhalle: neu vor ca 5j. (auf bestehendem Boden aufgebaut), Korkbelag, Keramik, Porphyrplatten, Linol\nWand: Betonsteine, eingefärbt, in Schulräumen verputzt\nDecke: Metall, Akustikdecken</t>
  </si>
  <si>
    <t>Warenaufzug</t>
  </si>
  <si>
    <t>8556|Kirchstrasse 12a|Sekundarschulgebäude|18276.00</t>
  </si>
  <si>
    <t>Schmetterlingsdach mit Fachwerk aus Holz und Eindeckung aus Blech, Ablauf teilweise defekt, Wassereintritt</t>
  </si>
  <si>
    <t>Kiesklebedach, neues Glas Unterdach bei der Einganstür</t>
  </si>
  <si>
    <t>Mauerwerk verputzt, teilweise vermoost</t>
  </si>
  <si>
    <t>Eingangstür aus Metal und Glas, manuelle Rollläden, Mittagsraum: Fenster defekt</t>
  </si>
  <si>
    <t>Genügende Absicherungen, Teilweise alte Beleuchtung, Notlichtanlage</t>
  </si>
  <si>
    <t>Steuerung Notlichtanlage, Server</t>
  </si>
  <si>
    <t>Fernwärme von Holzschnitzelheizung (bei Turnhalle/Werkzentrum), tw. Gasheizung Werkzentrum. Eigentumsverhältnisse unklar (Pol. Gemeinde oder Schulgemeinde?)</t>
  </si>
  <si>
    <t>Waschmaschine, Chromstahlleitungen, Entkalkungsanlage, teilweise wenig Druck beim WC</t>
  </si>
  <si>
    <t>Garderobe, Innere Verglasung, Treppengeländer aus Metall, Einbauschränke, Küche beim Mittagstisch, Schulküche, Küchengeräte wurden ersetzt</t>
  </si>
  <si>
    <t>Boden: Teppich im Eingang, Linol, Parkett (tw. beschädigt aufgrund Wassereintritts), \nWand: Holz, Beton, Putz, KS und Beton im UG\nDecke: Beton, Täfer</t>
  </si>
  <si>
    <t>8556|Schulstrasse 7|Primarschule Raperswilen, Altbau inkl. Whg|2834.00</t>
  </si>
  <si>
    <t>Falzziegel, leicht vermoost, Dachraum Isoliert</t>
  </si>
  <si>
    <t>Mauerwerk verputzt, Sockel und Gewände aus Naturstein</t>
  </si>
  <si>
    <t>Holzfenster April ''89, Gitter vor Glasfüllungen (Eingangstür), Aluläden</t>
  </si>
  <si>
    <t>EDV, FI-Schutzschalter vorh.</t>
  </si>
  <si>
    <t>Holzpelletheizung, Boiler</t>
  </si>
  <si>
    <t>Einbauschränke, Fenstersims aus Holz (Arbeitssims), Teeküche, Garderoben, Wohnungsküche mit Geschirrspüler, Holzrahmentüren</t>
  </si>
  <si>
    <t>Boden: Klinker, Parkett, Naturstein, Keramik\nDecke: Holztäfer, Holzbalken (tw. beschädigt)\nWand: Putz, Glasfasertapeten, Rauhfasertapeten, Keramik</t>
  </si>
  <si>
    <t>5318|Hauptstrasse 46|EFH|670.00</t>
  </si>
  <si>
    <t>Mauerwerk, Brandmauer tw. aus Bruchsteinmauerwerk, Holzbalkendecken (auch über UG), im UG tw. Feuchtigkeitsspuren sichtbar (Schimmelpilzbildung)</t>
  </si>
  <si>
    <t>Ziegeldach mit Gaupe, Dachuntersichten aus Holz ungestrichen, Dachraum trocken, einseitig Unterdach aus Holzwerkstoffplatten, Dachflächenfenster</t>
  </si>
  <si>
    <t>Mauerwerk, verputzt, auf Strassenseite mit Kletterpflanze bewachsen, verschmutzt, hofseitig im Sockelbereich Verschmutzungen, Gewände aus Naturstein, Isolation ungenügend, Laubengang hofseitig aus Holz</t>
  </si>
  <si>
    <t>Kunststofffenster und Holzfenster ''08, Holzfenster 1/90 im Wohnzimmer, im DG Holzfenster mit Doppelverglasung, gekittet und verschraubt</t>
  </si>
  <si>
    <t>Alte Keramiksicherungen vorh., Grundplatte vermutlich asbesthaltig, keine FI-Schutzschalter vorhanden</t>
  </si>
  <si>
    <t>Elektrospeicheröfen mit Thermostaten, Elektroboiler (defekt), Kachelofen (1956) in gutem Zustand</t>
  </si>
  <si>
    <t>Elektroöfen</t>
  </si>
  <si>
    <t>Bad, WC: ältere Apparate und Armaturen, jedoch funktionstüchtig, WM</t>
  </si>
  <si>
    <t>Wasser läuft ungehindert ab, Druck genügend, Leitungen wurden tw. erneuert</t>
  </si>
  <si>
    <t>Innentüren aus Holz, Wohnungstür und Innentür mit Kathedralglaseinsatz, Holzschiebetür im EG, Geländer aus Holz (Sicherheit ungenügend), Fenstersimse und Vorhangbretter aus Holz, tw. mit Keramikplättchen (Simse)</t>
  </si>
  <si>
    <t>B: PVC, Laminat, Holzriemen, Porphyrpl.\nW: Täfer, tw. gestrichen, Putz, gestrichen, Holztafeln, Keramikpl.\nD: Täfer, Kassettendecken, gestrichen (örtlich grössere Risse vorhanden), Pavatex, verputzt, gestrichen</t>
  </si>
  <si>
    <t>Glaskeramikherd kombiniert mit Holzofen, Chromstahlbecken, Backofen, ältere Küchenmöbel</t>
  </si>
  <si>
    <t>5318|Hauptstrasse 108|MFH|842.00</t>
  </si>
  <si>
    <t>Mauerwerk, Stahlbeton, KS-MW im UG, Kellerdecke isoliert</t>
  </si>
  <si>
    <t>Ziegeldach mit Gaupe, Dachuntersichten aus Holz ungestrichen, Dachraum trocken, Unterdach aus Holz oder Holzwerkstoffen, Isolation, Dachflächenfenster</t>
  </si>
  <si>
    <t>Mauerwerk, verputzt, Gewände aus Naturstein, Dämmung ungenügend (bauphysikalische Probeme*), Balkone aus Stahlbeton mit Metallgeländern</t>
  </si>
  <si>
    <t>Holzfenster (83/84) mit Sprossen, Holzläden, 1 Rolladen, Aussentüre aus Holz, Dichtungen bei Fenstertüre defekt, Kunststofffenster im UG, Garagentor mit Holzfüllung</t>
  </si>
  <si>
    <t>Etwas schwach abgesichert</t>
  </si>
  <si>
    <t>Elektroheizung, Holz- und Kachelöfen, Elektro-Boiler</t>
  </si>
  <si>
    <t>Elektro-(Speicher-)öfen, Bad ist nicht beheizt.</t>
  </si>
  <si>
    <t>Armaturen mit Mischventilen, Apparate alt, aber funktiontüchtig, WM/WT im UG</t>
  </si>
  <si>
    <t>Genügender Druck vorhanden, Wasser kann ungehindert ablaufen, Abwasserleitung ungenügend isoliert (friert im Winter ein), Leitungen aus Messing und verzinkte Leitungen, tw. unisolisert</t>
  </si>
  <si>
    <t>Innentüren aus Holz, Wohnungstür aus Holz mit Kathedralglaseinsatz, Fenstersimse, Vorhangbretter, Badezimmer-Einbaumöbel, Geländer aus Holz</t>
  </si>
  <si>
    <t>B: Keramikplatten, Holz, Laminat, Hartbeton in Garage\nD: Täfer, im EG und OG verputzt, im UG Beton gestrichen\nW: Putz/Abrieb, gestrichen, Keramikplatten, tw. Täfer, im tw. UG KS roh</t>
  </si>
  <si>
    <t>Küche älter, jedoch funktionstüchtig, mit Elektro- und Holzherd und Chromstahlbecken</t>
  </si>
  <si>
    <t>5318|Mitteldorf 45|Scheune|1294.00</t>
  </si>
  <si>
    <t>Mauerwerk, Kalksandstein (im An-/Umbau)</t>
  </si>
  <si>
    <t>Holzständerbau, Holzstütze und -balken</t>
  </si>
  <si>
    <t>Ziegeldach ca. 5-jährig tw. mit Glasziegel, Unterdach aus Pavatex</t>
  </si>
  <si>
    <t>Klinker-Sichtmauerwerk, tw. KS-Sichtmauerwerk, Betongewände, tw. Welleternit, Holz</t>
  </si>
  <si>
    <t>Holzfenster, -türe und -tore, Kunststofffenster mit Doppel-IV, Aussentüre ~93/94, Fenster Stirnfassade aus Well-PVC, Holzfenster tw. mit Drahtgitterglas</t>
  </si>
  <si>
    <t>Ausreichende Absicherung, keine FI-Schutzschalter vorh., Aufputz-Montage, auch im Aussenbereich, Beleuchtung mit FL-Leuchten</t>
  </si>
  <si>
    <t>Wasserleitung gekappt,  Abwasserleitungen (Jauchegrube vorh.)</t>
  </si>
  <si>
    <t>Innenwände und Fenstersimse aus Holz, Leitern, Bretterboden</t>
  </si>
  <si>
    <t>B: Zementböden, Ziegel\nW: verputzt, gestrichen\nD: roh (Holz)</t>
  </si>
  <si>
    <t>5318|Mitteldorf 47|Schopf mit Garage|668.00</t>
  </si>
  <si>
    <t>Mauerwerk, Holzbalkendecke</t>
  </si>
  <si>
    <t>Biberschwanz- und Falzziegel ohne Unterdach, Dachraum durchlüftet, Holzwerk trocken</t>
  </si>
  <si>
    <t>Mauerwerk, verputzt, gestrichen, tw. ungestrichen, Holz, Laube aus Holz, Aussentreppe aus Holz, gedeckt</t>
  </si>
  <si>
    <t>Aussentüren und Tore aus Holz, Kunststoff- und Holzfenster, Garagentor aus Holz (''80er)</t>
  </si>
  <si>
    <t>Abwasser an Kanalisation angeschlossen, Leitung muss im Winter entleert werden (Frostgefahr), WC</t>
  </si>
  <si>
    <t>Anschluss vom Nachbargebäude, Beleuchtung</t>
  </si>
  <si>
    <t>B: Zementboden, Ziegel, im WC Porphyrpl.\nW: Holz, roh, tw. verputzt und gestrichen\nD: Gips, Holz roh</t>
  </si>
  <si>
    <t>4303|Guggeregge 1|Werkhof|4728.00</t>
  </si>
  <si>
    <t>Stahlbeton und Holzkonstruktion, KS Wände, Stahlstützen</t>
  </si>
  <si>
    <t>Kiesdach mit leichtem, zweiseitigem Gefälle (über Holzbinder), extensiv begrünt, Lichtkuppeln aus Kunststoff, Vordach aus Blech</t>
  </si>
  <si>
    <t>Sichtbeton und Holz</t>
  </si>
  <si>
    <t>Holz, Metall, 3-fach-Verglasung, Aussentüre: Kunststoff, Metall. Bei Wasserversorgung Fenster: Kunststoff, Rafflamellenstoren, Sektionaltore</t>
  </si>
  <si>
    <t>Brandmeldeanlage, Photovoltaikanlage, FI-Schutzschalter und 400V-Anschlüsse vorh., Beleuchtung</t>
  </si>
  <si>
    <t>Heizlüftung, Gastherme (3.2010), Kleiderwärmeschrank/-trocknung</t>
  </si>
  <si>
    <t>Radiatoren und Heizlüftung</t>
  </si>
  <si>
    <t>Entlüftung Erweiterungsbau</t>
  </si>
  <si>
    <t>Regenwassertank, Leitungen: genügend Druck vorhanden, Oelabscheider</t>
  </si>
  <si>
    <t>Innere Verglasungen, Metallgeländer, Einbaukästen, WC-Trennwände, Innentüren</t>
  </si>
  <si>
    <t>Boden: Keramik, Kunststein, Linol, Hartbeton (leichte Risse). Wand: Abrieb, Heraklith-Platten, Gips (einzelne Risse)</t>
  </si>
  <si>
    <t>4303|Im Liner, Römerweg|Sportplatz im Liner|1660.00</t>
  </si>
  <si>
    <t>Systemholzbau</t>
  </si>
  <si>
    <t>Welleternit, Oblichter Cupolux</t>
  </si>
  <si>
    <t>Grossformatige Eternitplatten</t>
  </si>
  <si>
    <t>Holz-/Metallfenster, Eingang: Metalltüren, Tore</t>
  </si>
  <si>
    <t>Elektroanlagen inkl. Solaranlage 8m2 und Uhrenanlage</t>
  </si>
  <si>
    <t>Gas, WW-Speicher mit Sonnenkollektoren</t>
  </si>
  <si>
    <t>Lüftung mit Heizung. WRG</t>
  </si>
  <si>
    <t>Lüftung mit Heizung, WRG</t>
  </si>
  <si>
    <t>Zeitgemässe Apparate und Armaturen, Fön in Garderoben, Entkalkungsanlage</t>
  </si>
  <si>
    <t>Platzbewässerung nicht enthalten</t>
  </si>
  <si>
    <t>Garderoben, Küche</t>
  </si>
  <si>
    <t>B: Flüssigkunststoff, W: Pressspan roh, Keramik D: Pressspan roh, Metalldecken</t>
  </si>
  <si>
    <t>5425|Widenstrasse|Feuerwehrlokal, Bauamt, Zivilschutzgebäude|5948.00</t>
  </si>
  <si>
    <t>Stahlbeton, Mauerwerk KS, gestrichen</t>
  </si>
  <si>
    <t>Vordach Stahlkonstruktion mit Doppelstehfalz-Kupferblechdach</t>
  </si>
  <si>
    <t>Begeh- und befahrbares Flachdach (Parkplatz), tw. asphaltiert, tw. begrünt, Gitterroste, keine Mängel bekannt</t>
  </si>
  <si>
    <t>Sichtbeton, tw. mit Rostspuren und Verschmutzungen bei Laibungen, einzelne Risse und Abplatzungen vorhanden, tw. gestrichen</t>
  </si>
  <si>
    <t>Holz-Metall-Fenster (4/82) mit Isolierverglasung 2-fach, Sektionaltore aus Metall mit Fenster, Gittertor und Holztor mit Tür bei Zivilschutzanlage, Panzertor</t>
  </si>
  <si>
    <t>Alte Keramiksicherungen, tw. FI-Schalter vorh., keine Mängel bekannt, Beleuchtung mit älteren FL-Röhren</t>
  </si>
  <si>
    <t>Heizlüfter im Depot, Elektroboiler für WW-Aufbereitung, Trockner für Arbeitskleidung</t>
  </si>
  <si>
    <t>Kompressor für Druckluft, Lüftungsaggregate in ZS-Anlage</t>
  </si>
  <si>
    <t>Lüftungskanäle in ZS-Anlage</t>
  </si>
  <si>
    <t>Leitungen (verzinkte Leitungsstücke und tw. aus Messing), genügender Druck vorh., Apparate funktionstüchtig, Leitungen isoliert, befahrbare Rinnen im Depot, Tankraum von aussen zugänglich, Chromstahlbecken in ZS-Anlage, Küchenapparate</t>
  </si>
  <si>
    <t>Unterbauten mit Waschbecken aus mit Kunstharz belegten Spanplatten, Trennwände aus Holz/Holzwerkstoffplatten in Zivilschutzanlage, Metallgeländer aussen (h=55cm über Mauerkrone), Bürocontainer in Halle</t>
  </si>
  <si>
    <t>B: Hartbeton, tw. gestrichen (in ZS-Anlage), Keramikplatten\nW: Beton roh, KS gestrichen, Keramikplatten\nD: Beton roh, tw. mit Heraklit-Decken, tw. mit Syroporplatten (Akustik) verkleidet, tw. gestrichen</t>
  </si>
  <si>
    <t>8564|Schulstrasse 1|Primarschule Sonterswil  Erweiterungsbau|4808.00</t>
  </si>
  <si>
    <t>Steildach mit Pfannenziegeln. Es sind keine Mängel bekannt. Der Dachraum konnte nicht besichtigt werden.</t>
  </si>
  <si>
    <t>Mauerwerk, verputzt. Keine Mängel sichtbar.</t>
  </si>
  <si>
    <t>Holzmetall-Fenster, Manuelle Storen, Alte Holzfenster, tw. einfach verglast, tw. nicht isoliert (Kindergarten), elektrische Rolläden, Eingangstür : Holz mit IV-Glaseinsätzen, Holzmetallfenster</t>
  </si>
  <si>
    <t>Sicherungen tw. defekt</t>
  </si>
  <si>
    <t>Alte Beleuchtung im Lehrerzimmer</t>
  </si>
  <si>
    <t>Ölheizung ''90, Boiler</t>
  </si>
  <si>
    <t>Leitungen mit genügendem Druck, Wasser kann ungehindert ablaufen, Apparate und Armaturen funktionstüchtig</t>
  </si>
  <si>
    <t>Einbauschränke,  Garderoben, Teeküche,  Arbeitssimse im Kindergarten, innere Verglasung im Kindergarten (Erweiterungsbau), Innentüren aus Holz</t>
  </si>
  <si>
    <t>Decke: Holztäfer, Gipskartonplatten, Holztäfer (Kindergarten)\nBoden: Parkett, Kunststein, PVC, Korkplatten und Klinker (Kindergarten)\nWand: Glasfasertapeten, Putz, Keramikplatten (Kindergarten)</t>
  </si>
  <si>
    <t>4303|Rifälderhübel|Waldhütte|108.00</t>
  </si>
  <si>
    <t>Ziegeldach, vermoost und bewachst</t>
  </si>
  <si>
    <t>Holztüre, Fenster: Holz mit Gitter</t>
  </si>
  <si>
    <t>Boden: Naturstein, Beton</t>
  </si>
  <si>
    <t>4303|Violahof|Jugend- und Kulturzentrum Violahof|4600.00</t>
  </si>
  <si>
    <t>Ziegeldach, Gaupen mit Eternitschindeln verkleidet</t>
  </si>
  <si>
    <t>Bekiest, extensiv begrünt</t>
  </si>
  <si>
    <t>Mauerwerk verputzt, Aussenwärmedämmung</t>
  </si>
  <si>
    <t>Rafflamellenstoren, Kunststofffenster, Aussentüre aus Holz</t>
  </si>
  <si>
    <t>Beleuchtung, Brandmeldeanlage, EDV, Bühnentechnik veraltet (wird ersetzt)</t>
  </si>
  <si>
    <t>Lüftung, im Saal mit Fernbedinung</t>
  </si>
  <si>
    <t>WC, Dusche in Garderobe</t>
  </si>
  <si>
    <t>Einbauschränke, Geländer, Innentüren, Schallschutzwand</t>
  </si>
  <si>
    <t>Boden: Linol, Keramik, im Saal Parkett, Wand: Putz, Decke: Metall, Holz</t>
  </si>
  <si>
    <t>Küche für Bereitstellung, Geschirrspüler, Kühlschrank</t>
  </si>
  <si>
    <t>8335|Loweidstrasse|Schutzraum|436.00</t>
  </si>
  <si>
    <t>Stahlbeton, inkl. Wassertank</t>
  </si>
  <si>
    <t>erdüberdeckt</t>
  </si>
  <si>
    <t>Panzertür, Gittertor mit Maschendrahtfüllungen, Panzerdeckel</t>
  </si>
  <si>
    <t>Genügende Absicherung, keine Mängel bekannt, Beleuchtung</t>
  </si>
  <si>
    <t>WC, Dusche, Lavabos, Armaturen sind funktionstüchtig</t>
  </si>
  <si>
    <t>Leitungen sind abgestellt, keine Kontrolle möglich</t>
  </si>
  <si>
    <t>Trennwände, Metallleiter</t>
  </si>
  <si>
    <t>Böden, Wände und Decken: gestrichen</t>
  </si>
  <si>
    <t>Kleine Teeküche</t>
  </si>
  <si>
    <t>8335|Dürstelen|Feuerwehrgebäude|102.00</t>
  </si>
  <si>
    <t>Ziegeldach ohne Unterdach, mit Turm, Ziegel sind intakt</t>
  </si>
  <si>
    <t>Holzfassade mit Betonsockel</t>
  </si>
  <si>
    <t>Holzläden, keine Gläser vorhanden</t>
  </si>
  <si>
    <t>Alte Keramik-Sicherungen, Beleuchtung, Steckdosen</t>
  </si>
  <si>
    <t>Schlauchtrocknungsanlage (im Turm)</t>
  </si>
  <si>
    <t>Wände aus Holz, Boden: Hartbeton, wenige Risse sichtbar</t>
  </si>
  <si>
    <t>8335|Dürstelenstrasse 73|Wohnhaus|1122.00</t>
  </si>
  <si>
    <t>Mauerwerk, Holzbalkendecken, über UG Hourdisdecke</t>
  </si>
  <si>
    <t>Biberschwanzziegel Satteldach mit Gaupe, Dachuntersichten stark verwittert, Spenglerarbeiten (Abschlüsse, Rinnen) mangelhaft, Dachfenster</t>
  </si>
  <si>
    <t>Betonsockel weist Feuchtigkeit auf, Mauerwerk, einzelne Risse tw. zugegekittet, Sandsteingewände, Fachwerk im OG</t>
  </si>
  <si>
    <t>Holztore, Holztüre mit Glaseinsätzen und Metallgitter, 2-Scheibenglas unisoliert, Holzfenster mit Sprossen, im EG mit Metallgitter, Holzläden, tw. Rollläden</t>
  </si>
  <si>
    <t>Beleuchtung, FI-Schutzschalter vorhanden, Eine Steckdose aufputz im Türrahmen, Sicherungskasten Etagenverteilung wurde überstrichen und konnte nicht kontrolliert werden.</t>
  </si>
  <si>
    <t>Thermostaten teilweise nicht vorhanden</t>
  </si>
  <si>
    <t>Waschmaschinen, Tumbler, Dusche, WC, Chromstahl-Lavabo, Armaturen und Apparate funktionstüchtig</t>
  </si>
  <si>
    <t>Druck und Leitungen sind in Ordnung</t>
  </si>
  <si>
    <t>Einbauschränke, Schiebetür zum WC, Holzgeländer (h&lt;1.0m), Holztreppen, Innentüren, Vorhangbretter und Fenstersimse aus Holz</t>
  </si>
  <si>
    <t>Boden: Parkett, Keramikplatten im WC, PVC in Bad\nWand: verputzt, gestrichen, Tapeten, Keramikplatten im WC und Bad</t>
  </si>
  <si>
    <t>Küchen mit Abluft, tw. alte Herdplatten, Chromstahlbecken</t>
  </si>
  <si>
    <t>8335|Oberdorfstrasse 95|Wohnhaus|1156.00</t>
  </si>
  <si>
    <t>Mauerwerk mit Betonsockel</t>
  </si>
  <si>
    <t>Tw. mit Moos bewachsen, Sparren und Pfetten sind zu feucht, mit Unterdach. Lukarnen, Dachflächenfenster verwittert, Kot auf Estrichboden (vermutlich von Marder)</t>
  </si>
  <si>
    <t>Mauerwerk verputzt, tw. feucht (Treppenbereich), Kunststeingewände tw. beschädigt (Sockelbereich), Risse sichtbar (an der Innenwand der Küche im Bereich der Lukarne)</t>
  </si>
  <si>
    <t>Alte Holzfenster mit 2-Scheibengläser, ohne IV-Gläser, mit Sprossen, Metallgitter, Dachfenster mangelhaft, Holzläden verwittert, Fenster in der Wohnung des Hauswarts ist schadhaft, undichte Fenster; Simse werden nass, Eingangstüre aus Holz, verwittert</t>
  </si>
  <si>
    <t>Sicherungen wurden in einer Wohnung überbrückt (lebensgefährlich!), da ungenügend abgesichert, alte Keramiksicherungen, tw. Aufputzsteckdosen (Bad)</t>
  </si>
  <si>
    <t>Ölheizung 30-50kW, Jg. 2000</t>
  </si>
  <si>
    <t>Heizung tw. keine Thermostate vorhanden.</t>
  </si>
  <si>
    <t>Waschmaschine, WC, Armaturen ohne Mischventile</t>
  </si>
  <si>
    <t>Holzgeländer (h&lt;1.0m), Einbauschränke, Fenstersimse, Täfer</t>
  </si>
  <si>
    <t>Keller: Mauerwerk Naturstein und Kalksandstein, Dach: Holz, Täfer, Gipskartonplatten, Böden: PVC, Laminat, Teppich, Wände: verputzt, Plattenschilder in Küche</t>
  </si>
  <si>
    <t>Küchen mit Chromstahlbecken und Glaskeramikherd</t>
  </si>
  <si>
    <t>8556|Kirchstrasse 12a|Turnhallengebäude Sekundarschule|4933.00</t>
  </si>
  <si>
    <t>Blechdach, Verdacht auf Feuchtigkeit bei den Holzfachwerkträgern</t>
  </si>
  <si>
    <t>Aussentür aus Metall und IV-Glas, Holz-/Metallfenster, Milchglasfenster, Dichtung der Fenster mangelhaft, Kondensation bei den Fenstern</t>
  </si>
  <si>
    <t>Genügende Absicherung, Beleuchtung neu</t>
  </si>
  <si>
    <t>Audioanlage</t>
  </si>
  <si>
    <t>Fernwärme von Holzschnitzelheizung</t>
  </si>
  <si>
    <t>Duschen, WC, Chromstahlleitungen</t>
  </si>
  <si>
    <t>Garderoben, Geländer aus Metall, innere Verglasungen, Einbauschränke, Schiebetür im Geräteraum</t>
  </si>
  <si>
    <t>Decke: Holztäfer\nBoden: veralteter Turnhallenboden wurde tw. geflickt,\nWand: KS-Wände im Geräteraum, Beton in der Turnhalle, mangelhafte Fugen in der Frauengarderobe, Schimmelpilzbildung bei Duschen</t>
  </si>
  <si>
    <t>Turnhallen Lüftung, Lüftung musste ca. vor 1 Jahr ersetzt werden</t>
  </si>
  <si>
    <t>4303|Kirchgasse 19|Alterswohnungen 6 Stk. inkl. Bürgerkeller|3172.00</t>
  </si>
  <si>
    <t>Mauerwerk verputzt, mit Sandsteingewänden beim älteren Hausteil, Fassade des neueren Hausteils auf der Flussseite verwittert, Laubergänge mit Holzgeländer, Balkon mit Metallgeländer, Anbau im EG aus Holz mit Blechdach</t>
  </si>
  <si>
    <t>Alte Holzfenster mit Holzläden, Rollläden beim neueren Hausteil, Haustüre ist gem. HW dicht, Tor zum Bürgerkeller aus Holz</t>
  </si>
  <si>
    <t>Alte Sicherungen vorh., Aussen- und tw. Innenbeleuchtungen</t>
  </si>
  <si>
    <t>Oelheizung (11.1990), WW-Boiler</t>
  </si>
  <si>
    <t>Radiatoren mit Thermostaten,  im Keller: Radiatoren ohne Thermostaten, Bodenheizung im Bürgerkeller</t>
  </si>
  <si>
    <t>Zeitgemässe Apparate und Armaturen, Waschmaschinen, Wäschetrockner</t>
  </si>
  <si>
    <t>Leitungen wurden tw. ersetzt (tw. Chromstahl), kein Rost, genügend Druck vorhanden</t>
  </si>
  <si>
    <t>Innnentüren, Treppengeländer (h &lt; 1.0m), Trennwände aus Holz im Estrich</t>
  </si>
  <si>
    <t>Boden: Holz, Kunststein, Keramik, Anstrich (Waschküche),  Decke: Abrieb, gestrichen, Akustikdecke im Bürgerkeller, Wand: Abrieb, gestrichen, Keramik, Holz</t>
  </si>
  <si>
    <t>Gewerbliche Küche mit Geschirrspüler im Bürgerkeller</t>
  </si>
  <si>
    <t>4303|Strandbad|Materialraum|90.00</t>
  </si>
  <si>
    <t>MW, Sockel und eine Wand: Beton, Stahlträger</t>
  </si>
  <si>
    <t>Eternitschindeldach, vermoost</t>
  </si>
  <si>
    <t>Mauerwerk, verputzt, Fensterbänke aus Holz</t>
  </si>
  <si>
    <t>Holzfenster und Holztüren</t>
  </si>
  <si>
    <t>Belechtung</t>
  </si>
  <si>
    <t>B: Beton, W: KS und Beton roh</t>
  </si>
  <si>
    <t>8556|Kirchstrasse 10|Wohnhaus &amp; Garage|697.00</t>
  </si>
  <si>
    <t>Falzziegeldach, hinterlüftet, tw. isoliert</t>
  </si>
  <si>
    <t>Eingangstür aus Holz, Holzläden, IV-Verglasung ''87, tw. Metallgitter vor den Fenstern</t>
  </si>
  <si>
    <t>Gasheizung ''17 und Cheminéeeofen, Secomat</t>
  </si>
  <si>
    <t>WC, Duschen, Waschmaschine</t>
  </si>
  <si>
    <t>tw. wenig Druck vorhanden</t>
  </si>
  <si>
    <t>Einbauschränke, Holzrahmentüren</t>
  </si>
  <si>
    <t>Boden: Klinken, Parkett, Teppich\nWand: Holz, verputzt gestrichen\nDecke: Holz</t>
  </si>
  <si>
    <t>Küche mit Glaskeramikkochfeld, Backofen und Geschirrspüler</t>
  </si>
  <si>
    <t>8556|Käsereistrasse 12|Primarschule Wigoltingen, Altbau|2737.00</t>
  </si>
  <si>
    <t>Mauerwerk und Sandsteinsockel (tw. beschädigt), Gewölbekeller, Holzbalkendecke</t>
  </si>
  <si>
    <t>Falzziegeldach ohne Unterdach, hinterlüftet, Vordach aus Holz und Ziegeleindeckung, Decke gegen Estrich: unisoliert (Winter kalt, Sommer sehr warm), Dachflächenfenster</t>
  </si>
  <si>
    <t>Mauerwerk verputzt, einige Risse sichtbar</t>
  </si>
  <si>
    <t>Holzfenster mit IV-Verglasung, Metalläden, tw. Holzläden, Holztüren, Aussentüre aus Metall</t>
  </si>
  <si>
    <t>Genügende Absicherung mit FI-Schutzschaltern, Beleuchtung älteren Datums, jedoch knapp ausreichend</t>
  </si>
  <si>
    <t>Server und Verkabelung</t>
  </si>
  <si>
    <t>Sanitärleitungen sind leicht rostig, genügender Druck vorhanden</t>
  </si>
  <si>
    <t>Garderoben. Holzgeländer, Einbauschränke aus Holz, Küche neu 2019</t>
  </si>
  <si>
    <t>Boden: Keramik, Linol\nWand: verputzt, Tapeten, gestrichen, einge Risse sichtbar (OG)\nDecke: Gips, gestrichen</t>
  </si>
  <si>
    <t>8556|Bernrainstrasse 26|Kindergarten Haldengüetli, m Gge|1500.00</t>
  </si>
  <si>
    <t>Holzbalkendecken mit Stützen und Unterzug</t>
  </si>
  <si>
    <t>Bieberschwanzziegel, tw. vermoost, Dachraum isoliert</t>
  </si>
  <si>
    <t>Mauerwerk, verputzt, im OG und DG Holzschalung, Holzfensterbänke verwittert</t>
  </si>
  <si>
    <t>Eingangstür  aus Holz, Fenster aus Holz und Metall, IV-Gläser ohne Beschichtung, Türschloss nicht mehr zeitgemäss</t>
  </si>
  <si>
    <t>Genügende Absicherung</t>
  </si>
  <si>
    <t>Gastherme, WW-Boiler</t>
  </si>
  <si>
    <t>Radiatoren mit Thermostaten, Bodenheizungen</t>
  </si>
  <si>
    <t>Druck genügend, Wasser kann ungehindert ablaufen, Leitungen weisen keine bekannten Mängel auf</t>
  </si>
  <si>
    <t>Garderoben, Küche alt, Einbauschränke, Holzgeländer, Holztreppe, Geländerhöhen nicht genügend</t>
  </si>
  <si>
    <t>Boden: einge Risse sichtbar, Teppich, Fugen in den WC, Zementboden, gestrichen\nDecke: Holzbalken, Dachraum, Holz, Gipsdecke\nWand: verputzt, Abrieb, gestrichen</t>
  </si>
  <si>
    <t>8564|Schulstrasse|Mehrzweckhalle &amp; Turnhalle Sonterswil|3008.00</t>
  </si>
  <si>
    <t>Steildach mit Pfannenziegeln. Der Dachraum über der Turnhalle konnte nicht besichtigt werden. Keine Mängel bekannt.</t>
  </si>
  <si>
    <t>Eingangstür aus Alu und Glas, elektrische Markise</t>
  </si>
  <si>
    <t>Turnhallenbeleuchtung, Scheinwerfer und Beleuchtung für die Bühne</t>
  </si>
  <si>
    <t>Audioanlage, Lautsprecher</t>
  </si>
  <si>
    <t>Genügend Druck vorhanden, Apparate und Armaturen funktionstüchtig, keine Mängel bekannt</t>
  </si>
  <si>
    <t>Einbauschränke, Küche mit Geschirrspüler</t>
  </si>
  <si>
    <t>Decke: Holztäfer, Putz\nWand: Putz, Sichtmauerwerk, Keramikpl.\nBoden: Turnhallenboden, Tonplatten (Riss in einer Platte)</t>
  </si>
  <si>
    <t>8564|Schulstrasse 1|Turnhalle|4267.00</t>
  </si>
  <si>
    <t>KS Wände, Mauerwerk, verputzt, tw. mit Eternitschindeln</t>
  </si>
  <si>
    <t>Pfosten/Riegel-System, Holzfenster tw. verwittert</t>
  </si>
  <si>
    <t>Genügende Absicherung, FI-Schutzschalter vorh., Turnhallenbeleuchtung</t>
  </si>
  <si>
    <t>Heizung über Lüftung?</t>
  </si>
  <si>
    <t>Leitungen und Apparate funktionstüchtig, keine Mängel bekannt</t>
  </si>
  <si>
    <t>Tore zu Geräteräumen, Innentüren</t>
  </si>
  <si>
    <t>Wand: Sichtbeton, Kugelgarnteppich\nBoden: Kunststein, Turnhallenboden, Im UG Zement, gestrichen\nDecke: Holztäfer, Im UG Beton, gestrichen</t>
  </si>
  <si>
    <t>8564|Schulstrasse 1|Wohnhaus &amp; Garage|1307.00</t>
  </si>
  <si>
    <t>Ziegeldach, Dachruam ausgebaut</t>
  </si>
  <si>
    <t>Eternit, Beton, gestrichen</t>
  </si>
  <si>
    <t>Eingangstüre aus Holz und Glas, Kunststofffenster ''98, Garagentor</t>
  </si>
  <si>
    <t>tw. nicht genügend abgesichert, FI-Schutzschalter vorh.</t>
  </si>
  <si>
    <t>Fernwärme von der Schule, Boiler</t>
  </si>
  <si>
    <t>WC, Duschen, keine Mängel bekannt</t>
  </si>
  <si>
    <t>Druck der Leitungen mangelhaft, tw. rostig (bei der Dusche)</t>
  </si>
  <si>
    <t>Einnbauschränke, Fenster- und Vorhangbretter, Innentüren aus Holz</t>
  </si>
  <si>
    <t>Boden: Parkett, Treppe: Teppich, PVC, Laminat\nWand: Tapette\nGarage und Keller: aus Beton</t>
  </si>
  <si>
    <t>Backofen, GK-Herd, GSP, Natursteinabdeckung</t>
  </si>
  <si>
    <t>8558|Schulstrasse 7|Mittelstufe Raperswilen Neubau|3405.00</t>
  </si>
  <si>
    <t>Eternitschindeldach, Dachraum ist isoliert und trocken, Unterdach aus Pressspanplatten, Gaupe mit Eternitplatten verkl.</t>
  </si>
  <si>
    <t>Kiesklebedach über der Garage</t>
  </si>
  <si>
    <t>Eingangstür aus Alu und Glas, Holz-/Metall-Fenster, tw. neuwertige Fenster ''13, Wohnung: Dachflächenfenster, Holzfenster</t>
  </si>
  <si>
    <t>Sicherungen, FI-Schutzschalter</t>
  </si>
  <si>
    <t>Sonnerie, TV/Telefon</t>
  </si>
  <si>
    <t>Radiatoren mit Thermostaten, in der Wohnung tw. keine Thermostate vorhanden</t>
  </si>
  <si>
    <t>Garderobenlüftung</t>
  </si>
  <si>
    <t>Lüftungsrohre und -gitter</t>
  </si>
  <si>
    <t>Druck, Leitungen und Apparate in Ordnung, Duschen, WC,, Wohnung: Durchfluss und Ablauf in Ordnung, Waschmaschine</t>
  </si>
  <si>
    <t>Garderoben, Fenstersimse, Metallgitter im Geräterraum, Teeküche</t>
  </si>
  <si>
    <t>Boden: Kunststein, Turnhallenboden, Linol, Parkett, Zement, gestrichen\nDecke: Holztäfer\nWand: Putz, Glasfasertapeten\nWohnung: Wand: verputzt, tw. Keramikplatten im WC Dach: Holztäfer, Boden: Kunststein, Parkett, Linol, Laminat, tw. abgenutzter Boden i</t>
  </si>
  <si>
    <t>8558|Schulstrasse 7|Wohnhaus- Garage|1301.00</t>
  </si>
  <si>
    <t>Eternitschindeldach, Dachraum trocken, Dachflächenfenster</t>
  </si>
  <si>
    <t>Kiesklebedach über Garage; keine Mängel bekannt</t>
  </si>
  <si>
    <t>Mauerwerk, verputzt, vermutlich mit AWD</t>
  </si>
  <si>
    <t>Holzfenster</t>
  </si>
  <si>
    <t>Rdiatoren mit Thermostaten (mit wenigen Ausnahmen)</t>
  </si>
  <si>
    <t>Apparate älter, jedoch funktionstüchtig, WM vorh.</t>
  </si>
  <si>
    <t>Einbauschränke, Metallgeländer</t>
  </si>
  <si>
    <t>B: Kunststein, Parkett, Linol, Lamminat, Teppich, im Keller Naturboden</t>
  </si>
  <si>
    <t>Küche mit Glaskeramikkochfelder, Backofen, GSP, Chromstahlbecken</t>
  </si>
  <si>
    <t>5425|Aemmert, Schladstrasse 21|Schulhaus, Zwischenbau, Pausenhalle|8521.00</t>
  </si>
  <si>
    <t>Stahlbeton, Mauerwerk, Anbau 2017: Systemholzbau</t>
  </si>
  <si>
    <t>Ziegeldach mit Solarpanels, mit Ausnahme einer lecken Stelle* Dachraum trocken</t>
  </si>
  <si>
    <t>Anbau ''17: Kiesklebedach, bituminös mit Oblichter, keine Mängel bekannt</t>
  </si>
  <si>
    <t>Sichtbetonelemente, Eternitschindeln, Putz, Holzelemente bei Anbau mit Eternitplatten</t>
  </si>
  <si>
    <t>Holzfenster mit 2-fach-IV bei Anbau 2000: mit Textilstoren, Anbau 2017: 3-fach-IV mit Rafflamellenstoren</t>
  </si>
  <si>
    <t>Beleuchtung ''00, FI-Schutzschalter und alte Keramiksicherungen vorh.</t>
  </si>
  <si>
    <t>Audioanlage/Gong, EDV-Anlage (Server, Verkabelung)</t>
  </si>
  <si>
    <t>Fernwärme mit Plattentauscher (''90/91)</t>
  </si>
  <si>
    <t>Heizkörper mit Thermostaten bei Altbau und bei Anbau ''00, bei Anbau 2017: Bodenheizung</t>
  </si>
  <si>
    <t>Leitungen: genügend Druck vorhanden, gelegentlich etwas Rost im Leitungswasser, keine Mischventile vorh.</t>
  </si>
  <si>
    <t>Arbeitssimse, Innere Verglasungen (Fenster urspr. Fassade), Garderoben, Teeküche im Lehrerzimmer, Küche im Tagesstrukturraum mit GSP, Induktionsherd und Backofen, Geländer: h=1.00m</t>
  </si>
  <si>
    <t>B: Kunststeinplatten, Linol, Korkplatten (''90/91)\nW: Holz, Akustikdämmung, Putz, gestrichen, Glasfasertapeten, Holztafeln, Keramikpl. in WC, Abrieb im UG</t>
  </si>
  <si>
    <t>Aufzug, mechanische Lüftung im Anbau ''17</t>
  </si>
  <si>
    <t>5425|Aemmert, Schladstrasse 21|Mehrzweckhalle|6029.00</t>
  </si>
  <si>
    <t>Falzziegeldach, mängelfrei, Dachraum wurde letztmalig vor 4-5 Monaten (Herbst 2020) besichtigt, PV-Panels*, Vordach in Welleternit</t>
  </si>
  <si>
    <t>Sichtbeton, Stirnfassaden verputzt</t>
  </si>
  <si>
    <t>Holzfenster mit 2-fach-IV ''07</t>
  </si>
  <si>
    <t>tw. alte Keramiksicherungen, Hallenbeleuchtung, keine Mängel bekannt, Bühnentechnik</t>
  </si>
  <si>
    <t>Leitungen alt, aber isoliert und i.O., isoliert, Apparate funktionstüchtig</t>
  </si>
  <si>
    <t>Aufbereitungsküche, Tore Geräteraum funktionstüchtig, Geländer: h=1.00m, Schiebetür Bühne, Einbauten Halle und Küche</t>
  </si>
  <si>
    <t>B: Kunststeinplatten, Porphyrplatten, Gussasphaltplatten in Garderoben, Turnhallenboden ''10, Parkett Bühne und Saal, Laminat in Lehrergarderobe/Sanitätszi.\nW: Keramikplatten, Putz, gestrichen\nD: Beton roh, tw. gestrichen, Putz, gestrichen</t>
  </si>
  <si>
    <t>hannes@comunas.fm</t>
  </si>
  <si>
    <t>Simon Schatzmann</t>
  </si>
  <si>
    <t>simon@comunas.fm</t>
  </si>
  <si>
    <t>Bettina Backoffice</t>
  </si>
  <si>
    <t>bettina@comunas.fm</t>
  </si>
  <si>
    <t>https://randomuser.me/api/portraits/women/2.jpg</t>
  </si>
  <si>
    <t>https://randomuser.me/api/portraits/men/4.jpg</t>
  </si>
  <si>
    <t>https://randomuser.me/api/portraits/men/7.jpg</t>
  </si>
  <si>
    <t>leads@comunas.fm</t>
  </si>
  <si>
    <t>Index</t>
  </si>
  <si>
    <t>Year</t>
  </si>
  <si>
    <t>Value</t>
  </si>
  <si>
    <t>ch-ZRH</t>
  </si>
  <si>
    <t>Baukostenindex Zürich</t>
  </si>
  <si>
    <t>insert into code_building_price_index_value(building_price_index_id, year, value) values</t>
  </si>
  <si>
    <t>null</t>
  </si>
  <si>
    <t>insert into migr_obj_household_v(tenant,owner,key,name,household_type_id,main_contact,client_segment,reference_currency,description) values</t>
  </si>
  <si>
    <t>insert into migr_obj_contact_v(tenant, owner, household, key, is_main, name, contact_role_id, salutation_id, title_id, first_name, last_name, birth_date, phone, mobile, email, street, zip, city, state, country_id, description) values</t>
  </si>
  <si>
    <t>insert into migr_obj_building_v(tenant, owner, household, name, building_type_id, building_sub_type_id, building_part_catalog_id, building_year, street, zip, city, country_id, currency_id, volume, area_gross, insured_value, insured_value_year, building_maintenance_strategy_id, description) values</t>
  </si>
  <si>
    <t>insert into migr_doc_lead_v(tenant, owner, key, case_stage_id, areas, household, contact, lead_source_id, lead_rating_id, subject, salutation_id, title_id, first_name, last_name, phone, mobile, email, street, zip, city, state, country_id, description) values</t>
  </si>
  <si>
    <t>insert into migr_obj_tenant_v(key, name) values</t>
  </si>
  <si>
    <t>insert into migr_obj_user_v(tenant,name,email,picture,extl_user_id,extl_idp_refresh_token) values</t>
  </si>
  <si>
    <t>Comunas GmbH</t>
  </si>
  <si>
    <t>info@comunas.ch</t>
  </si>
  <si>
    <t>Rheinau SG 9471</t>
  </si>
  <si>
    <t>prospect</t>
  </si>
  <si>
    <t>Wohlerstrasse 1</t>
  </si>
  <si>
    <t>Umbau/Sanierung '99\nDachraum gem. Hauswart i.O.</t>
  </si>
  <si>
    <t>/demo/martin.jpg</t>
  </si>
  <si>
    <t>9=24</t>
  </si>
  <si>
    <t>8444--altes Postlokal</t>
  </si>
  <si>
    <t>9=23</t>
  </si>
  <si>
    <t>9470-Volksgartenstrasse 12-Pavillon Hilfsschule</t>
  </si>
  <si>
    <t>9=22</t>
  </si>
  <si>
    <t>9470-Volksgartenstrasse 12-Schulhaus Kappeli</t>
  </si>
  <si>
    <t>9=20</t>
  </si>
  <si>
    <t>9470-Flösweg 3-Kindergarten-Pavillon</t>
  </si>
  <si>
    <t>9=19</t>
  </si>
  <si>
    <t>9470-Heldaustrasse 50-Schulanlage / Hallenbad</t>
  </si>
  <si>
    <t>9=18</t>
  </si>
  <si>
    <t>9470-Heldaustrasse 48-Aula OZ Flös</t>
  </si>
  <si>
    <t>9=17</t>
  </si>
  <si>
    <t>9470-Birkenaustrasse 12-Kindergarten-Pavillon Birkenau</t>
  </si>
  <si>
    <t>9=16</t>
  </si>
  <si>
    <t>9470-Hanflandstr. 3-Kindergarten / HW-Wohnung</t>
  </si>
  <si>
    <t>9=15</t>
  </si>
  <si>
    <t>9470-Hanflandstr. 5-Turnhalle</t>
  </si>
  <si>
    <t>9=14</t>
  </si>
  <si>
    <t>9470-Hanflandstr. 5-Schulhaus Hanfland</t>
  </si>
  <si>
    <t>9=13</t>
  </si>
  <si>
    <t>9470-Volksgartenstrasse 1-Kindergarten Kappeli mit Wohnung und Garage</t>
  </si>
  <si>
    <t>9=12</t>
  </si>
  <si>
    <t>9470-Churerstrasse 119-Turnhalle</t>
  </si>
  <si>
    <t>9=11</t>
  </si>
  <si>
    <t>9470-Churerstrasse 119-Magazin</t>
  </si>
  <si>
    <t>9=10</t>
  </si>
  <si>
    <t>9470-Churerstrasse 119-Schulhaus (Altbau) Räfis</t>
  </si>
  <si>
    <t>9=09</t>
  </si>
  <si>
    <t>9470-Churerstrasse 117-Schulhaus (Neubau) Räfis</t>
  </si>
  <si>
    <t>9=08</t>
  </si>
  <si>
    <t>9470-Kreuzgasse 14-Kindergarten Altendorf</t>
  </si>
  <si>
    <t>9=07</t>
  </si>
  <si>
    <t>9470-Turnhallenstrasse 4-Altes Gewerbeschulhaus Buchserbach</t>
  </si>
  <si>
    <t>9=06</t>
  </si>
  <si>
    <t>9470-Turnhallenstrasse 2-Klassenzimmer Buchserbach</t>
  </si>
  <si>
    <t>9=05</t>
  </si>
  <si>
    <t>9470-Turnhallenstrasse-Turnhalle Buchserbach</t>
  </si>
  <si>
    <t>9=04</t>
  </si>
  <si>
    <t>9470-Schulhausstrasse 27-OZ Grof Altbau</t>
  </si>
  <si>
    <t>9=03</t>
  </si>
  <si>
    <t>9470-Schulhausstrasse 30-OZ Grof Neubau</t>
  </si>
  <si>
    <t>9=02</t>
  </si>
  <si>
    <t>9470-Schulhausstrasse 10-Schulhaus Grof</t>
  </si>
  <si>
    <t>9=01</t>
  </si>
  <si>
    <t>9470-Schulhausstrasse 4-Wohnhaus (Musikschule)</t>
  </si>
  <si>
    <t>8=9</t>
  </si>
  <si>
    <t>3032-Hofenstrasse 54-Wohnhaus (private Kindertagesstätte)</t>
  </si>
  <si>
    <t>8=8</t>
  </si>
  <si>
    <t>3032-Araweg 9-Jugendtreff (Pavillon)</t>
  </si>
  <si>
    <t>8=7</t>
  </si>
  <si>
    <t>3034-Schulstrasse 9-Schulhaus/ZS-Anlage/Verbindungsgang</t>
  </si>
  <si>
    <t>8=6</t>
  </si>
  <si>
    <t>3034-Schulstrasse 7-Schulhaus</t>
  </si>
  <si>
    <t>8=5</t>
  </si>
  <si>
    <t>3034-Schulstrasse 6-Wohnhaus (2 Wohnungen)</t>
  </si>
  <si>
    <t>8=4</t>
  </si>
  <si>
    <t>3034-Schulstrasse 5-Turnhalle und Lehrschwimmbecken</t>
  </si>
  <si>
    <t>8=33</t>
  </si>
  <si>
    <t>3032-Kappelenring 34a-Kindergarten Kappelenring</t>
  </si>
  <si>
    <t>8=32</t>
  </si>
  <si>
    <t>3043-Ahornweg 7-Feuerwehrmagazin/Schulungsraum</t>
  </si>
  <si>
    <t>8=31</t>
  </si>
  <si>
    <t>3043-Lindenstrasse 4-Kulturelles Zentrum Reberhaus</t>
  </si>
  <si>
    <t>8=30</t>
  </si>
  <si>
    <t>3049-Staatsstrasse 76-Schulhaus/Hausw.whg./Turnhalle/ZS</t>
  </si>
  <si>
    <t>8=3</t>
  </si>
  <si>
    <t>3034-Schulstrasse 4-Schulhaus, Pausenhalle , Kita</t>
  </si>
  <si>
    <t>8=29</t>
  </si>
  <si>
    <t>3043-Alpenblickweg 10-Velounterstand</t>
  </si>
  <si>
    <t>8=28</t>
  </si>
  <si>
    <t>3043-Schülerweg 18-Oberstufenschulhaus/Aula</t>
  </si>
  <si>
    <t>8=27</t>
  </si>
  <si>
    <t>3043-Schülerweg 16-Turnhalle/Hauswartwhg./Heizzentrale</t>
  </si>
  <si>
    <t>8=26</t>
  </si>
  <si>
    <t>3043-Schülerweg 15-Primarschulhaus, ged. Pausenhalle, Anbau Nord</t>
  </si>
  <si>
    <t>8=25</t>
  </si>
  <si>
    <t>3043-Schülerweg 14-Turnhalle</t>
  </si>
  <si>
    <t>8=24</t>
  </si>
  <si>
    <t>3043-Schülerweg 13-Velounterstand</t>
  </si>
  <si>
    <t>8=23</t>
  </si>
  <si>
    <t>3043-Schülerweg 12-Doppelkindergarten/Musikschule/Jugendtr.</t>
  </si>
  <si>
    <t>8=22</t>
  </si>
  <si>
    <t>3043-Schülerweg 11-ZS-Lager/BSA/Einstellhalle/Rasenspielfeld</t>
  </si>
  <si>
    <t>8=21</t>
  </si>
  <si>
    <t>3034-Murzelenstrasse 84-Turnhalle</t>
  </si>
  <si>
    <t>8=20</t>
  </si>
  <si>
    <t>3034-Murzelenstrasse 82-Schulhaus/Kindergarten/Hauswartwohnung</t>
  </si>
  <si>
    <t>8=2</t>
  </si>
  <si>
    <t>3032-Dorfstrasse 45-Feuerwehrmagazin/3 Wohnungen</t>
  </si>
  <si>
    <t>8=19</t>
  </si>
  <si>
    <t>3034-Murzelenstrasse 82A-Garagen/Aussengeräteraum Schule</t>
  </si>
  <si>
    <t>8=18</t>
  </si>
  <si>
    <t>3034-Murzelenstrasse 80-Wohnhaus (3 Whg.)</t>
  </si>
  <si>
    <t>8=17</t>
  </si>
  <si>
    <t>3034-Schützenweg 50-Schützenhaus</t>
  </si>
  <si>
    <t>8=16</t>
  </si>
  <si>
    <t>3033-Hauptstrasse 26-Verwaltungsgebäude (Gemeindehaus)</t>
  </si>
  <si>
    <t>8=15</t>
  </si>
  <si>
    <t>3033-Hauptstrasse 22-Aufbahrungsgebäude, Abdankungshalle</t>
  </si>
  <si>
    <t>8=14</t>
  </si>
  <si>
    <t>3033-Schulgasse 18-Doppelturnhalle</t>
  </si>
  <si>
    <t>8=13</t>
  </si>
  <si>
    <t>3033-Schulgasse 16-Schulhaus, Pausenhalle, ZS-Anlage</t>
  </si>
  <si>
    <t>8=12</t>
  </si>
  <si>
    <t>3033-Schulgasse 14a-Garage (Nebengebäude)</t>
  </si>
  <si>
    <t>8=11</t>
  </si>
  <si>
    <t>3033-Schulgasse 14-Altes Schulhaus/Doppelkindergarten/Klassenzimmer/2 Whg.</t>
  </si>
  <si>
    <t>8=10</t>
  </si>
  <si>
    <t>3034-Kappelenring 36/36a-Primarschule/Doppelturnhalle/KZ/WR</t>
  </si>
  <si>
    <t>8=1</t>
  </si>
  <si>
    <t>3032-Bergfeldstrasse 8-Wohn- und Geschäftshaus</t>
  </si>
  <si>
    <t>7=2</t>
  </si>
  <si>
    <t>8355-Schulstrasse 9-Altes Schulhaus Kindergarten</t>
  </si>
  <si>
    <t>7=1</t>
  </si>
  <si>
    <t>8355-Käsernstrasse 1-Kindergarten Käsernstrasse</t>
  </si>
  <si>
    <t>6=1</t>
  </si>
  <si>
    <t>8556-Bernrainstr. 26-Kindergarten Haldengüetli</t>
  </si>
  <si>
    <t>5=9</t>
  </si>
  <si>
    <t>5620-Sportstrasse-Turnhalle Bärenmatt</t>
  </si>
  <si>
    <t>5=8</t>
  </si>
  <si>
    <t>5620-Gartenstrasse-Gartenschulhaus</t>
  </si>
  <si>
    <t>5=7</t>
  </si>
  <si>
    <t>5620-Promenade-Promendenschulhaus</t>
  </si>
  <si>
    <t>5=6</t>
  </si>
  <si>
    <t>5620-Obertorplatz-Stadtschulhaus</t>
  </si>
  <si>
    <t>5=5</t>
  </si>
  <si>
    <t>5620-Wohlerstrasse-Casino</t>
  </si>
  <si>
    <t>5=4</t>
  </si>
  <si>
    <t>5620-Kreuzmattstrasse 8-Feuerwehrlokal, SR und Wg.</t>
  </si>
  <si>
    <t>5=3</t>
  </si>
  <si>
    <t>5620-Wohlerstrasse-Reussbrücke-Saal, Zwischenbau</t>
  </si>
  <si>
    <t>5=2</t>
  </si>
  <si>
    <t>5620-Kapuzinerhügel 5-Kindergarten Kapuzinerhügel</t>
  </si>
  <si>
    <t>5=10</t>
  </si>
  <si>
    <t>5620-Klosterweg 6-Kindergarten Unterstadt</t>
  </si>
  <si>
    <t>5=1</t>
  </si>
  <si>
    <t>5620-Badstrasse 3-Schulhaus Isenlauf</t>
  </si>
  <si>
    <t>4=7</t>
  </si>
  <si>
    <t>8266-Hubstrasse-Hub blau</t>
  </si>
  <si>
    <t>4=6</t>
  </si>
  <si>
    <t>8266-Zelgistrasse 8-Doppelkindergarten</t>
  </si>
  <si>
    <t>4=5=1</t>
  </si>
  <si>
    <t>8266-Frauenfelderstrasse 8-Hub rot</t>
  </si>
  <si>
    <t>4=4</t>
  </si>
  <si>
    <t>8266-Feldbach-Sport- und Mehrzweckhalle</t>
  </si>
  <si>
    <t>4=3</t>
  </si>
  <si>
    <t>8266-Seestrasse 126-Seeschulhaus</t>
  </si>
  <si>
    <t>4=2</t>
  </si>
  <si>
    <t>8266-Frauenfelderstrasse 10-Hub gelb</t>
  </si>
  <si>
    <t>4=1=1</t>
  </si>
  <si>
    <t>8266-Feldbach-Oberstufenschulhaus Feldbach</t>
  </si>
  <si>
    <t>3=1</t>
  </si>
  <si>
    <t>8479-Feldistrasse 6/8-Laubenhuus</t>
  </si>
  <si>
    <t>28=04</t>
  </si>
  <si>
    <t>5318-Mitteldorf 47-Schopf mit Garage</t>
  </si>
  <si>
    <t>28=03</t>
  </si>
  <si>
    <t>5318-Hauptstrasse 46-EFH</t>
  </si>
  <si>
    <t>28=02</t>
  </si>
  <si>
    <t>5318-Mitteldorf 45-Scheune</t>
  </si>
  <si>
    <t>28=01</t>
  </si>
  <si>
    <t>5318-Hauptstrasse 108-MFH</t>
  </si>
  <si>
    <t>27=03</t>
  </si>
  <si>
    <t>5425-Aemmert, Schladstrasse 21-Mehrzweckhalle</t>
  </si>
  <si>
    <t>27=02</t>
  </si>
  <si>
    <t>5425-Aemmert, Schladstrasse 21-Schulhaus, Zwischenbau, Pausenhalle</t>
  </si>
  <si>
    <t>27=01</t>
  </si>
  <si>
    <t>5425-Widenstrasse-Feuerwehrlokal, Bauamt, Zivilschutzgebäude</t>
  </si>
  <si>
    <t>26=11</t>
  </si>
  <si>
    <t>8335-Jakob Stuz-Strasse 54 bei 54-Altes Sekundarschulhaus inkl. Gerätehaus und Garagengebäude</t>
  </si>
  <si>
    <t>26=10</t>
  </si>
  <si>
    <t>8335-Hermetsbüel-Zivilschutzanlage</t>
  </si>
  <si>
    <t>26=09</t>
  </si>
  <si>
    <t>8335-Dürstellenstrasse 8 bei 8-Zivilschutzanlage</t>
  </si>
  <si>
    <t>26=08</t>
  </si>
  <si>
    <t>8335-Ghangetrietstrasse-Friedhofsgebäude-530</t>
  </si>
  <si>
    <t>26=07</t>
  </si>
  <si>
    <t>8335-Ghangetrietstrasse-Friedhofsgebäude-160</t>
  </si>
  <si>
    <t>26=06</t>
  </si>
  <si>
    <t>8335-Schulhausstrasse 2 bei 2-Schutzraum</t>
  </si>
  <si>
    <t>26=05</t>
  </si>
  <si>
    <t>8335-Oberdorfstrsse 91-Altersheim und Gartenhaus</t>
  </si>
  <si>
    <t>26=04</t>
  </si>
  <si>
    <t>8335-Oberdorfstrasse 95-Wohnhaus</t>
  </si>
  <si>
    <t>26=03</t>
  </si>
  <si>
    <t>8335-Dürstelenstrasse 73-Wohnhaus</t>
  </si>
  <si>
    <t>26=02</t>
  </si>
  <si>
    <t>8335-Dürstelen-Feuerwehrgebäude</t>
  </si>
  <si>
    <t>26=01</t>
  </si>
  <si>
    <t>8335-Loweidstrasse-Schutzraum</t>
  </si>
  <si>
    <t>25=16</t>
  </si>
  <si>
    <t>8558-Schulstrasse 7-Wohnhaus- Garage</t>
  </si>
  <si>
    <t>25=15</t>
  </si>
  <si>
    <t>8558-Schulstrasse 7-Mittelstufe Raperswilen Neubau</t>
  </si>
  <si>
    <t>25=14</t>
  </si>
  <si>
    <t>8556-Schulstrasse 7-Primarschule Raperswilen, Altbau inkl. Whg</t>
  </si>
  <si>
    <t>25=13</t>
  </si>
  <si>
    <t>8564-Schulstrasse 1-Wohnhaus &amp; Garage</t>
  </si>
  <si>
    <t>25=12</t>
  </si>
  <si>
    <t>8564-Schulstrasse 1-Turnhalle</t>
  </si>
  <si>
    <t>25=11</t>
  </si>
  <si>
    <t>8564-Schulstrasse-Mehrzweckhalle &amp; Turnhalle Sonterswil</t>
  </si>
  <si>
    <t>25=10</t>
  </si>
  <si>
    <t>8564-Schulstrasse 1-Primarschule Sonterswil  Erweiterungsbau</t>
  </si>
  <si>
    <t>25=09</t>
  </si>
  <si>
    <t>8556-Bernrainstrasse 26-Kindergarten Haldengüetli, m Gge</t>
  </si>
  <si>
    <t>25=08</t>
  </si>
  <si>
    <t>8556-Käsereistrasse 12-Primarschule Wigoltingen, Altbau</t>
  </si>
  <si>
    <t>25=07</t>
  </si>
  <si>
    <t>8556-Kirchstrasse 10-Wohnhaus &amp; Garage</t>
  </si>
  <si>
    <t>25=06</t>
  </si>
  <si>
    <t>8556-Kirchstrasse 12a-Turnhallengebäude Sekundarschule</t>
  </si>
  <si>
    <t>25=05</t>
  </si>
  <si>
    <t>8556-Kirchstrasse 12a-Sekundarschulgebäude</t>
  </si>
  <si>
    <t>25=04</t>
  </si>
  <si>
    <t>8556-Bahnhofstrasse 40-Werkzentrum</t>
  </si>
  <si>
    <t>25=03</t>
  </si>
  <si>
    <t>8556-Käsereistrasse 10-Turnhalle (Sarnahalle)</t>
  </si>
  <si>
    <t>25=02</t>
  </si>
  <si>
    <t>8556-Käsereistrasse 10-Mehrzweckhalle</t>
  </si>
  <si>
    <t>25=01</t>
  </si>
  <si>
    <t>8556-Käsereistrasse 10-Primarschule Wigoltingen</t>
  </si>
  <si>
    <t>24=03</t>
  </si>
  <si>
    <t>8153-Im Hui-Pavillon</t>
  </si>
  <si>
    <t>24=02</t>
  </si>
  <si>
    <t>8153-Katzenrütistrasse bei 6-Primarschulhaus Rümlang inkl. Turnhalle</t>
  </si>
  <si>
    <t>24=01</t>
  </si>
  <si>
    <t>8153-Katzenrütistrasse 4-Sekundarschulhaus Rümlang</t>
  </si>
  <si>
    <t>23=54</t>
  </si>
  <si>
    <t>4303-Strandbad-Materialraum</t>
  </si>
  <si>
    <t>23=53</t>
  </si>
  <si>
    <t>4303-Stelliweg-Waldhütte</t>
  </si>
  <si>
    <t>23=52</t>
  </si>
  <si>
    <t>4303-Rifälderhübel-Waldhütte</t>
  </si>
  <si>
    <t>23=51</t>
  </si>
  <si>
    <t>4303-Violahof-Feuerwehrmagazin</t>
  </si>
  <si>
    <t>23=50</t>
  </si>
  <si>
    <t>4303-Violahof-Pfadihaus</t>
  </si>
  <si>
    <t>23=48</t>
  </si>
  <si>
    <t>4303-Violahof-Jugendhaus inkl. ehemaliger Polizeiposten</t>
  </si>
  <si>
    <t>23=47</t>
  </si>
  <si>
    <t>4303-Violahof-Kinderkrippe</t>
  </si>
  <si>
    <t>23=46</t>
  </si>
  <si>
    <t>4303-Violahof-Jugend- und Kulturzentrum Violahof</t>
  </si>
  <si>
    <t>23=45</t>
  </si>
  <si>
    <t>4303-Dorfstrasse 35-Landgasthof Adler + Autounterstand</t>
  </si>
  <si>
    <t>23=44</t>
  </si>
  <si>
    <t>4303-Rheinuferweg Ergolzbucht-Bootshaus Lochmatt</t>
  </si>
  <si>
    <t>23=43</t>
  </si>
  <si>
    <t>4303-Rheinuferweg-Pumpihaus Clubhaus Rheingenossen</t>
  </si>
  <si>
    <t>23=42</t>
  </si>
  <si>
    <t>4303-Rheinuferweg-Wartehäuschen Fähri / Werkhaus</t>
  </si>
  <si>
    <t>23=41</t>
  </si>
  <si>
    <t>4303-Rheinuferweg-Pumpenhaus</t>
  </si>
  <si>
    <t>23=40</t>
  </si>
  <si>
    <t>4303-Rheinuferweg-Zollhaus</t>
  </si>
  <si>
    <t>23=39</t>
  </si>
  <si>
    <t>4303-Rheinuferweg-Fährianlagestelle</t>
  </si>
  <si>
    <t>23=38</t>
  </si>
  <si>
    <t>4303-Kirchgasse 19-Fährihäuschen / Stübli</t>
  </si>
  <si>
    <t>23=36</t>
  </si>
  <si>
    <t>4303-Kirchgasse 19-Alterswohnungen 6 Stk. inkl. Bürgerkeller</t>
  </si>
  <si>
    <t>23=35</t>
  </si>
  <si>
    <t>4303-Kirchgasse 21-Lötscher-Scheune</t>
  </si>
  <si>
    <t>23=34</t>
  </si>
  <si>
    <t>4303-Allmendgasse 13-Wohnhaus</t>
  </si>
  <si>
    <t>23=33</t>
  </si>
  <si>
    <t>4303-Guggeregge 1-Werkhof</t>
  </si>
  <si>
    <t>23=32</t>
  </si>
  <si>
    <t>4303-Rinaustrasse 28-Asylbewerberunterkunft</t>
  </si>
  <si>
    <t>23=31</t>
  </si>
  <si>
    <t>4303-Rinaustrasse 26-Asylbewerberunterkunft</t>
  </si>
  <si>
    <t>23=30</t>
  </si>
  <si>
    <t>4303-Lochmatt-Chlorgasgebäude</t>
  </si>
  <si>
    <t>23=29</t>
  </si>
  <si>
    <t>4303-Lochmatt-Betriebsgebäude</t>
  </si>
  <si>
    <t>23=28</t>
  </si>
  <si>
    <t>4303-Lochmatt-Magazin</t>
  </si>
  <si>
    <t>23=27</t>
  </si>
  <si>
    <t>4303-Lochmatt-Garderobengebäude</t>
  </si>
  <si>
    <t>23=26</t>
  </si>
  <si>
    <t>4303-Lochmatt-WC-Gebäude</t>
  </si>
  <si>
    <t>23=25</t>
  </si>
  <si>
    <t>4303-Lochmatt, Strandbadweg 59-Camping, Kiosk</t>
  </si>
  <si>
    <t>23=24</t>
  </si>
  <si>
    <t>4303-Friedhof-Geräteraum</t>
  </si>
  <si>
    <t>23=23</t>
  </si>
  <si>
    <t>4303-Friedhof-Abdankungshalle</t>
  </si>
  <si>
    <t>23=22</t>
  </si>
  <si>
    <t>4303-Im Liner-(Vereinshaus Kleingärten)</t>
  </si>
  <si>
    <t>23=21</t>
  </si>
  <si>
    <t>4303-Im Liner, Römerweg-Sportplatz im Liner</t>
  </si>
  <si>
    <t>23=20</t>
  </si>
  <si>
    <t>4303-Rosenweg 18-KIGA Rosenweg</t>
  </si>
  <si>
    <t>23=19</t>
  </si>
  <si>
    <t>4303-Violaweg 75-KIGA Violaweg</t>
  </si>
  <si>
    <t>23=18</t>
  </si>
  <si>
    <t>4303-Liebrütistrasse 14-KIGA Liebrütistrasse</t>
  </si>
  <si>
    <t>23=17</t>
  </si>
  <si>
    <t>4303-Schwarzackerstrasse 59-KIGA Schwarzackerstrasse</t>
  </si>
  <si>
    <t>23=16</t>
  </si>
  <si>
    <t>4303-Hintere Liebrüti, Böttmeweg-Gerätehaus Liebrüti</t>
  </si>
  <si>
    <t>23=15</t>
  </si>
  <si>
    <t>4303-Hintere Liebrüti-Turnhalle Liebrüti</t>
  </si>
  <si>
    <t>23=14</t>
  </si>
  <si>
    <t>4303-Hintere Liebrüti-Pavillon Liebrüti</t>
  </si>
  <si>
    <t>23=13</t>
  </si>
  <si>
    <t>4303-Hintere Liebrüti-Schulhaus Liebrüti</t>
  </si>
  <si>
    <t>23=12</t>
  </si>
  <si>
    <t>4303-Dorfstrasse 27-Wohnhaus Dorfstr. 27</t>
  </si>
  <si>
    <t>23=11</t>
  </si>
  <si>
    <t>4303-Dorfstrasse 19-Geräteschopf</t>
  </si>
  <si>
    <t>23=10</t>
  </si>
  <si>
    <t>4303-Dorfstrasse 19-Kindergarten Dorf</t>
  </si>
  <si>
    <t>23=09</t>
  </si>
  <si>
    <t>4303-Kirchgasse-Kirchturm</t>
  </si>
  <si>
    <t>23=08</t>
  </si>
  <si>
    <t>4303-Kastellstrasse 3-Löwenparking</t>
  </si>
  <si>
    <t>23=06</t>
  </si>
  <si>
    <t>4303-Dorfstrasse 20-Schulhaus Dorf inkl. Blockheizkraftwerk</t>
  </si>
  <si>
    <t>23=05</t>
  </si>
  <si>
    <t>4303-Dorfstrasse 18-Turnhalle Dorf</t>
  </si>
  <si>
    <t>23=01</t>
  </si>
  <si>
    <t>4303-Dorfstrasse 17-Gemeindehaus inkl. Wohnung Hauswart und Feuerwehrmagazin Dorf</t>
  </si>
  <si>
    <t>22=01</t>
  </si>
  <si>
    <t>9651-Obere Laui 1665-Ferienhaus</t>
  </si>
  <si>
    <t>21=01</t>
  </si>
  <si>
    <t>8104-Haslernstrasse 20-Villa</t>
  </si>
  <si>
    <t>20=10</t>
  </si>
  <si>
    <t>8335-Hermetsbüelweg 16-Hermetsbüel Primar</t>
  </si>
  <si>
    <t>20=09</t>
  </si>
  <si>
    <t>8335-Oberdoftstrasse 21-Kiga Oberdorf</t>
  </si>
  <si>
    <t>20=08</t>
  </si>
  <si>
    <t>8335-Jakob Stutz-Str 7A-Kiga Sonne</t>
  </si>
  <si>
    <t>20=07</t>
  </si>
  <si>
    <t>8335-Jakob Stutz-Str. 7-Kiga Unterhittnau und Wohnung</t>
  </si>
  <si>
    <t>20=06</t>
  </si>
  <si>
    <t>8335-Wetzikerstrasse 20-Kiga Oberhittnau, Wohnung/Garage</t>
  </si>
  <si>
    <t>20=05</t>
  </si>
  <si>
    <t>8335-Hermetsbüelweg 9-Dorfschule</t>
  </si>
  <si>
    <t>20=04</t>
  </si>
  <si>
    <t>8335-Hermetsbüelweg 8-Hauswartwohnung</t>
  </si>
  <si>
    <t>20=03</t>
  </si>
  <si>
    <t>8335-Jakob Stutz-Str 60-Mehrzweckhalle</t>
  </si>
  <si>
    <t>20=02</t>
  </si>
  <si>
    <t>8335-Hermetsbüelweg 24-Turnhalle Hermetsbüel</t>
  </si>
  <si>
    <t>20=01</t>
  </si>
  <si>
    <t>8335-Hermetsbüelweg 10-Hermetsbüel Oberstufe</t>
  </si>
  <si>
    <t>2=4</t>
  </si>
  <si>
    <t>8253-Schützenstrasse-Kindergarten Schupfenzelg</t>
  </si>
  <si>
    <t>2=3</t>
  </si>
  <si>
    <t>8255-Bahnhofstrasse 1-Schulhaus Schlattingen</t>
  </si>
  <si>
    <t>2=2=2</t>
  </si>
  <si>
    <t>8253-Schulstrasse 5-Janus Schulhaus Zentrum</t>
  </si>
  <si>
    <t>2=2=1</t>
  </si>
  <si>
    <t>8253-Schulstrasse 5-Sanierung Schulhaus Zentrum</t>
  </si>
  <si>
    <t>2=2</t>
  </si>
  <si>
    <t>8253-Schulstrasse 5-best. Schulhaus Zentrum</t>
  </si>
  <si>
    <t>2=1</t>
  </si>
  <si>
    <t>8253-Schulstr. 38-Kindergarten Basadingen</t>
  </si>
  <si>
    <t>7304--Alte Turnhalle</t>
  </si>
  <si>
    <t>19=01</t>
  </si>
  <si>
    <t>5620-Obertorplatz-Parkgarage</t>
  </si>
  <si>
    <t>18=12</t>
  </si>
  <si>
    <t>9471-Rheinau-Clubhaus FC Buchs</t>
  </si>
  <si>
    <t>18=11</t>
  </si>
  <si>
    <t>9471-Buchserau-Freibad Rheinau</t>
  </si>
  <si>
    <t>18=10</t>
  </si>
  <si>
    <t>9471-Buchersplatz-Schiessanlage</t>
  </si>
  <si>
    <t>18=09</t>
  </si>
  <si>
    <t>9471-Langäulistrasse 20-Werkhalle (Werkhof)</t>
  </si>
  <si>
    <t>18=08</t>
  </si>
  <si>
    <t>9471-Aeulistrasse 10-Internationale Schule Rheintal</t>
  </si>
  <si>
    <t>18=07</t>
  </si>
  <si>
    <t>9471-Aeulistrasse 12-Kindertagesstätte und Pavillon</t>
  </si>
  <si>
    <t>18=06</t>
  </si>
  <si>
    <t>9471-Volksgartenstrasse 38-Feuerwehr- &amp; Zivilschutzanlage</t>
  </si>
  <si>
    <t>18=05</t>
  </si>
  <si>
    <t>9471-Schulhausstrasse 12-Logopädie mit Wohnung</t>
  </si>
  <si>
    <t>18=04</t>
  </si>
  <si>
    <t>9471-Kirchgasse 2-Bibliothek und altes Pfarrhaus</t>
  </si>
  <si>
    <t>18=03</t>
  </si>
  <si>
    <t>9471-Brunnenweg 1-Bezirksgefängnis Wohnhaus</t>
  </si>
  <si>
    <t>18=02</t>
  </si>
  <si>
    <t>9471-St. Gallerstrasse 6-Wohn- und Geschäftshaus</t>
  </si>
  <si>
    <t>18=01</t>
  </si>
  <si>
    <t>9471-St. Gallerstrasse 2-Rathaus</t>
  </si>
  <si>
    <t>17=35</t>
  </si>
  <si>
    <t>4950-Heimstrasse 1-Kindergarten Heimstrasse</t>
  </si>
  <si>
    <t>17=34</t>
  </si>
  <si>
    <t>4950-Moostrasse 2a-Garage Feuerwehr</t>
  </si>
  <si>
    <t>17=33</t>
  </si>
  <si>
    <t>4950-Hoffmattstrasse 3-Feuerwehrmagazin</t>
  </si>
  <si>
    <t>17=32</t>
  </si>
  <si>
    <t>4950-Lindenstrasse 21-Zivilschutzanlage</t>
  </si>
  <si>
    <t>17=31</t>
  </si>
  <si>
    <t>4950-Dornackerweg 6-Zivilschutzanlage</t>
  </si>
  <si>
    <t>17=30</t>
  </si>
  <si>
    <t>4950-Willimatt 2a-Wasserversorgung</t>
  </si>
  <si>
    <t>17=29</t>
  </si>
  <si>
    <t>4950-Möhrenweid 1a-Wasserversorgung</t>
  </si>
  <si>
    <t>17=28</t>
  </si>
  <si>
    <t>4950-innere Schlüecht 5a-Wasserversorgung</t>
  </si>
  <si>
    <t>17=27</t>
  </si>
  <si>
    <t>4950-Dornackerweg 2a/b-Wasserversorgung</t>
  </si>
  <si>
    <t>17=26</t>
  </si>
  <si>
    <t>4950-Huttwilwald 1a-Pumpwerk</t>
  </si>
  <si>
    <t>17=25</t>
  </si>
  <si>
    <t>4950-Buchenweg 6b-Wasserversorgung</t>
  </si>
  <si>
    <t>17=24</t>
  </si>
  <si>
    <t>4950-Oberdorfstrasse 13/15/15b-Werkhof</t>
  </si>
  <si>
    <t>17=23</t>
  </si>
  <si>
    <t>4950-Oberdorfstrasse 11a-Schulhaus Städtli</t>
  </si>
  <si>
    <t>17=22</t>
  </si>
  <si>
    <t>4950-Oberdorfstrasse 5-Velokeller</t>
  </si>
  <si>
    <t>17=21</t>
  </si>
  <si>
    <t>4950-Oberdorfstrasse 4-Berufsschulhaus</t>
  </si>
  <si>
    <t>17=20</t>
  </si>
  <si>
    <t>4950-Neuhausstrasse 15-Schulanlage Schwarzenbach</t>
  </si>
  <si>
    <t>17=19</t>
  </si>
  <si>
    <t>4950-Marktgasse 4-Verwaltungsgebäude</t>
  </si>
  <si>
    <t>17=18</t>
  </si>
  <si>
    <t>4950-Marktgasse 2-Restaurant</t>
  </si>
  <si>
    <t>17=17</t>
  </si>
  <si>
    <t>4950-Lochmühleweg 2a-Pumpwerk, Elektrizität</t>
  </si>
  <si>
    <t>17=16</t>
  </si>
  <si>
    <t>4950-Hofmattstrasse 5/5a-Sekundarschulhaus</t>
  </si>
  <si>
    <t>17=15</t>
  </si>
  <si>
    <t>4950-Friedhofweg 31a/37a-Friedhof, Leichenhalle</t>
  </si>
  <si>
    <t>17=14</t>
  </si>
  <si>
    <t>4950-Dornackerweg 2-Turnhalle, Sportplatz</t>
  </si>
  <si>
    <t>17=13</t>
  </si>
  <si>
    <t>4950-Bernstrasse 78-Schulhaus HPS Schüpbach</t>
  </si>
  <si>
    <t>17=12</t>
  </si>
  <si>
    <t>4950-Nyffel 26-Schulhaus Nyffel</t>
  </si>
  <si>
    <t>17=11</t>
  </si>
  <si>
    <t>4950-Spitalstrasse 54a-Magazin, Museum</t>
  </si>
  <si>
    <t>17=10</t>
  </si>
  <si>
    <t>4950-Spitalstrasse 14-Wohnhaus und Vereinslokal</t>
  </si>
  <si>
    <t>17=09</t>
  </si>
  <si>
    <t>4950-Oberdorfstrasse 19-Wohnhaus und Büros</t>
  </si>
  <si>
    <t>17=08</t>
  </si>
  <si>
    <t>4950-Oberdorfstrasse 11c-Alte Turnhalle</t>
  </si>
  <si>
    <t>17=07</t>
  </si>
  <si>
    <t>4950-Marktgasse 5b-Garagen / Tankraum / Parkplatz</t>
  </si>
  <si>
    <t>17=06</t>
  </si>
  <si>
    <t>4950-Marktgasse 4-Geschäftshaus</t>
  </si>
  <si>
    <t>17=05</t>
  </si>
  <si>
    <t>4950-Marktgasse 2-Verwaltungsgebäude</t>
  </si>
  <si>
    <t>17=04</t>
  </si>
  <si>
    <t>4950-Buchenweg 5-Wohnhaus / Scheune</t>
  </si>
  <si>
    <t>17=03</t>
  </si>
  <si>
    <t>4950-Bahnhofstrasse 6-Wohn- und Geschäftshaus</t>
  </si>
  <si>
    <t>17=02</t>
  </si>
  <si>
    <t>4950-Bahnhofstrasse 4-Wohn- und Geschäftshaus</t>
  </si>
  <si>
    <t>17=01</t>
  </si>
  <si>
    <t>4950-Bahnhofstrasse 2-Mehrzweckgebäude</t>
  </si>
  <si>
    <t>16=01</t>
  </si>
  <si>
    <t>8006-Sonneggstrasse 42 + 44-MFH Sonnegg 42 + 44</t>
  </si>
  <si>
    <t>15=01</t>
  </si>
  <si>
    <t>8620-Eggstrasse 68-EFH Leukens</t>
  </si>
  <si>
    <t>14=01</t>
  </si>
  <si>
    <t>8444-Dorfstrasse 39-Kindergarten</t>
  </si>
  <si>
    <t>13=10</t>
  </si>
  <si>
    <t>8476-Bahnhofstrasse 8-Sporthalle</t>
  </si>
  <si>
    <t>13=09</t>
  </si>
  <si>
    <t>8477-Hanffeldstrasse 18-Kindergarten</t>
  </si>
  <si>
    <t>13=08</t>
  </si>
  <si>
    <t>8476-Bahnhofstrasse 7-Schulhausanlage</t>
  </si>
  <si>
    <t>13=07</t>
  </si>
  <si>
    <t>8476-Bahnhofstrasse 7-Turnhalle</t>
  </si>
  <si>
    <t>13=06</t>
  </si>
  <si>
    <t>8476-Bahnhofstrasse 8-Schulhausanlage</t>
  </si>
  <si>
    <t>13=05</t>
  </si>
  <si>
    <t>8476-Unterdorf 10-Wohnhaus mit Schopf</t>
  </si>
  <si>
    <t>13=04</t>
  </si>
  <si>
    <t>8468-Mülibachstrasse 20-Haus Mülibach</t>
  </si>
  <si>
    <t>13=03</t>
  </si>
  <si>
    <t>8468-Mülibachstrasse 18-Schulhaus mit Turnhalle</t>
  </si>
  <si>
    <t>13=02</t>
  </si>
  <si>
    <t>8477-Hauptstrasse 15-Schulhaus</t>
  </si>
  <si>
    <t>13=01</t>
  </si>
  <si>
    <t>8476-Unterdorf 8-Schulhaus und Kindergarten</t>
  </si>
  <si>
    <t>12=01</t>
  </si>
  <si>
    <t>8022-Fraumünsterstrasse 8 und Stadthausquai 3,5,7-SNB</t>
  </si>
  <si>
    <t>11=43</t>
  </si>
  <si>
    <t>9220-Sandbänkli 5-Verwaltungsgebäude</t>
  </si>
  <si>
    <t>11=42</t>
  </si>
  <si>
    <t>9225-Hoferberg-Primarschulanlage Schulhaus, Turnhalle</t>
  </si>
  <si>
    <t>11=41</t>
  </si>
  <si>
    <t>9225-Hoferberg-Primarschulanlage Schulhaus, Wohnungen</t>
  </si>
  <si>
    <t>11=39</t>
  </si>
  <si>
    <t>9220-Blidegg-Primarschulanlage Schulpavillon</t>
  </si>
  <si>
    <t>11=38</t>
  </si>
  <si>
    <t>9220-Blidegg 4-Primarschulanlage Schulhaus, Velounterstand</t>
  </si>
  <si>
    <t>11=36</t>
  </si>
  <si>
    <t>9220-Ibergstrasse-Kindergarten, Spielhaus und Anbau</t>
  </si>
  <si>
    <t>11=35</t>
  </si>
  <si>
    <t>8589-St. Gallerstrasse-Primarschulanlage Mehrzweckgebäude</t>
  </si>
  <si>
    <t>11=34</t>
  </si>
  <si>
    <t>8588-Kirchstrasse-Primarschulanlage Schulhaus Mittelbau</t>
  </si>
  <si>
    <t>11=33</t>
  </si>
  <si>
    <t>8588-Kirchstrasse-Primarschulanlage Mehrzweckhalle</t>
  </si>
  <si>
    <t>11=32</t>
  </si>
  <si>
    <t>8588-Kirchstrasse-Primarschulanlage Schulhaus alt</t>
  </si>
  <si>
    <t>11=31</t>
  </si>
  <si>
    <t>8589-St. Gallerstrasse 4-Primarschulanlage Schulhaus</t>
  </si>
  <si>
    <t>11=30</t>
  </si>
  <si>
    <t>8589-St. Gallerstrasse 6-Kindergarten</t>
  </si>
  <si>
    <t>11=27</t>
  </si>
  <si>
    <t>9213-Hauptstrasse-Primarschulanlage: Schulhaus, Garage, Velounterstand</t>
  </si>
  <si>
    <t>11=26</t>
  </si>
  <si>
    <t>9216-Schulstrasse 7-Primarschulanlage Schulhaus</t>
  </si>
  <si>
    <t>11=25</t>
  </si>
  <si>
    <t>9220-Ibergstrasse-Schulpavillon</t>
  </si>
  <si>
    <t>11=21</t>
  </si>
  <si>
    <t>8589-Bruggfeld/Rofenstrasse 20-Schulhaus, Garage, Gerätehaus, Containerhaus, Gargengerättehaus</t>
  </si>
  <si>
    <t>11=20</t>
  </si>
  <si>
    <t>9220-Sandbänkli-Garage</t>
  </si>
  <si>
    <t>11=19</t>
  </si>
  <si>
    <t>9220-Sandbäkli 4-Schulhaus Neubau, Pausenunterstand</t>
  </si>
  <si>
    <t>11=17</t>
  </si>
  <si>
    <t>9220-Sandbänkli-Velounterstand</t>
  </si>
  <si>
    <t>11=16</t>
  </si>
  <si>
    <t>9220-Sandbänkli 4-Aula</t>
  </si>
  <si>
    <t>11=14</t>
  </si>
  <si>
    <t>9220-Sandbänkli 4-Schulhaus Altbau</t>
  </si>
  <si>
    <t>11=12</t>
  </si>
  <si>
    <t>9220-Turnerweg 4-Kindergarten Bitzi, Gerätehaus</t>
  </si>
  <si>
    <t>11=10</t>
  </si>
  <si>
    <t>9220-Obertor 4-Schulhaus, Velounterstand</t>
  </si>
  <si>
    <t>11=08</t>
  </si>
  <si>
    <t>9220-Hoffnungsgut/(Thurblick)-Kindergartenpavillon, Gartenhaus</t>
  </si>
  <si>
    <t>11=07</t>
  </si>
  <si>
    <t>9220-Hoffnungsgut-Garagen, Abstellgebäude</t>
  </si>
  <si>
    <t>11=06</t>
  </si>
  <si>
    <t>9220-Hoffnungsgut-Turnhallen, Wohnung</t>
  </si>
  <si>
    <t>11=05</t>
  </si>
  <si>
    <t>9220-Hoffnungsgut-Schulhaus (Neubau)</t>
  </si>
  <si>
    <t>11=04</t>
  </si>
  <si>
    <t>9220-Hoffnungsgut-Schulhaus (Altbau)</t>
  </si>
  <si>
    <t>11=03</t>
  </si>
  <si>
    <t>9223-Schulstrasse 10-Primarschulanlage Halden; Schulhaus, Wohnungen</t>
  </si>
  <si>
    <t>11=02</t>
  </si>
  <si>
    <t>9223-Waldplatzstrasse-Primarschulanlage Kenzenau; Schulhaus, Wohnungen, Garage</t>
  </si>
  <si>
    <t>11=01</t>
  </si>
  <si>
    <t>9220-Sandbänkli 4-Pavillon</t>
  </si>
  <si>
    <t>10=21</t>
  </si>
  <si>
    <t>5620-Badstrasse 1-Dienstgebäude</t>
  </si>
  <si>
    <t>10=20</t>
  </si>
  <si>
    <t>5620-Pfarrgasse 1-Schwarzschloss</t>
  </si>
  <si>
    <t>10=19</t>
  </si>
  <si>
    <t>5626-Schulhausstrasse 6-Schulanlage Staffeln</t>
  </si>
  <si>
    <t>10=18</t>
  </si>
  <si>
    <t>5620-Badstrasse 5-Sporthalle</t>
  </si>
  <si>
    <t>10=17</t>
  </si>
  <si>
    <t>5626-Im Spilhof 6-Werkhof mit Wohnungen</t>
  </si>
  <si>
    <t>10=16</t>
  </si>
  <si>
    <t>5620-Schulgasse 8-Haus an der Reuss</t>
  </si>
  <si>
    <t>10=15</t>
  </si>
  <si>
    <t>5620-Friedhofstrasse-Friedhofhalle</t>
  </si>
  <si>
    <t>10=14</t>
  </si>
  <si>
    <t>5620-Rathausplatz 3-Parkgarage</t>
  </si>
  <si>
    <t>10=13</t>
  </si>
  <si>
    <t>5620-Rathausplatz 1-Rathaus</t>
  </si>
  <si>
    <t>10=12</t>
  </si>
  <si>
    <t>5620-Rathausplatz 4-Haberhaus Polizeiposten</t>
  </si>
  <si>
    <t>10=11</t>
  </si>
  <si>
    <t>5620-Reussgasse 14A-Ortsmuseum</t>
  </si>
  <si>
    <t>10=10</t>
  </si>
  <si>
    <t>5620-Spiegelgasse 9-Kornhaus</t>
  </si>
  <si>
    <t>10=09</t>
  </si>
  <si>
    <t>5620-Klosterweg 8-Klarakloster</t>
  </si>
  <si>
    <t>10=08</t>
  </si>
  <si>
    <t>5620-Klosterweg 2-Bauamtsmagazin, Werkhof Altbau</t>
  </si>
  <si>
    <t>10=07</t>
  </si>
  <si>
    <t>5620-Augraben 1-Werkhof Neubau</t>
  </si>
  <si>
    <t>10=06</t>
  </si>
  <si>
    <t>5620-Schellenhausplatz-Schellenhaus</t>
  </si>
  <si>
    <t>10=05</t>
  </si>
  <si>
    <t>5620-Schellenhausplatz-Zeughaus</t>
  </si>
  <si>
    <t>10=04</t>
  </si>
  <si>
    <t>5620-Obertorplatz 3-Oberer Zoll ganzes Haus</t>
  </si>
  <si>
    <t>10=03</t>
  </si>
  <si>
    <t>5620-Zugerstrasse 16/18/20-Gewerbe und Garage</t>
  </si>
  <si>
    <t>10=02</t>
  </si>
  <si>
    <t>5620-Promenadenstrasse 15-Kindergarten Fuchsächer</t>
  </si>
  <si>
    <t>10=01</t>
  </si>
  <si>
    <t>5620-Promenadenstrasse 13-MFH</t>
  </si>
  <si>
    <t>1=1</t>
  </si>
  <si>
    <t>7304--Rathaus</t>
  </si>
  <si>
    <t>0=0=1</t>
  </si>
  <si>
    <t>1111-Rathausplatz 1-Rathaus</t>
  </si>
  <si>
    <t>0=0=0</t>
  </si>
  <si>
    <t>-Teststrasse.-Testgebäude1</t>
  </si>
  <si>
    <t>STMT</t>
  </si>
  <si>
    <t>NR</t>
  </si>
  <si>
    <t>KEY</t>
  </si>
  <si>
    <t>martin@comunas.ch</t>
  </si>
  <si>
    <t>martin@zeitwert.io</t>
  </si>
  <si>
    <t>Ehrendingen</t>
  </si>
  <si>
    <t>Stäfa</t>
  </si>
  <si>
    <t>Stalden</t>
  </si>
  <si>
    <t>unteraegeri</t>
  </si>
  <si>
    <t>staefa</t>
  </si>
  <si>
    <t>Gemeinde Unterägeri (Pilot)</t>
  </si>
  <si>
    <t>Gemeinde Stäfa (Pilot)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</si>
</sst>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
    <numFmt numFmtId="165" formatCode="_ * #,##0.00_ ;_ * \-#,##0.00_ ;_ * \-??_ ;_ @_ "/>
  </numFmts>
  <fonts count="21" x14ac:knownFonts="1">
    <font>
      <sz val="11"/>
      <color rgb="FF000000"/>
      <name val="Calibri"/>
      <family val="2"/>
      <charset val="1"/>
    </font>
    <font>
      <sz val="11"/>
      <color theme="1"/>
      <name val="Calibri"/>
      <family val="2"/>
      <scheme val="minor"/>
    </font>
    <font>
      <sz val="10"/>
      <color rgb="FFFFFFFF"/>
      <name val="Calibri"/>
      <family val="2"/>
      <charset val="1"/>
    </font>
    <font>
      <b/>
      <sz val="10"/>
      <color rgb="FF000000"/>
      <name val="Calibri"/>
      <family val="2"/>
      <charset val="1"/>
    </font>
    <font>
      <sz val="10"/>
      <color rgb="FFCC0000"/>
      <name val="Calibri"/>
      <family val="2"/>
      <charset val="1"/>
    </font>
    <font>
      <b/>
      <sz val="10"/>
      <color rgb="FFFFFFFF"/>
      <name val="Calibri"/>
      <family val="2"/>
      <charset val="1"/>
    </font>
    <font>
      <i/>
      <sz val="10"/>
      <color rgb="FF808080"/>
      <name val="Calibri"/>
      <family val="2"/>
      <charset val="1"/>
    </font>
    <font>
      <sz val="10"/>
      <color rgb="FF006600"/>
      <name val="Calibri"/>
      <family val="2"/>
      <charset val="1"/>
    </font>
    <font>
      <sz val="18"/>
      <color rgb="FF000000"/>
      <name val="Calibri"/>
      <family val="2"/>
      <charset val="1"/>
    </font>
    <font>
      <sz val="12"/>
      <color rgb="FF000000"/>
      <name val="Calibri"/>
      <family val="2"/>
      <charset val="1"/>
    </font>
    <font>
      <u/>
      <sz val="10"/>
      <color rgb="FF0000EE"/>
      <name val="Calibri"/>
      <family val="2"/>
      <charset val="1"/>
    </font>
    <font>
      <sz val="10"/>
      <color rgb="FF996600"/>
      <name val="Calibri"/>
      <family val="2"/>
      <charset val="1"/>
    </font>
    <font>
      <sz val="10"/>
      <color rgb="FF333333"/>
      <name val="Calibri"/>
      <family val="2"/>
      <charset val="1"/>
    </font>
    <font>
      <b/>
      <sz val="11"/>
      <color rgb="FFFFFFFF"/>
      <name val="Calibri"/>
      <family val="2"/>
      <charset val="1"/>
    </font>
    <font>
      <sz val="11"/>
      <color rgb="FFFFFFFF"/>
      <name val="Calibri"/>
      <family val="2"/>
      <charset val="1"/>
    </font>
    <font>
      <u/>
      <sz val="11"/>
      <color rgb="FF0563C1"/>
      <name val="Calibri"/>
      <family val="2"/>
      <charset val="1"/>
    </font>
    <font>
      <sz val="11"/>
      <color rgb="FF000000"/>
      <name val="Calibri"/>
      <family val="2"/>
    </font>
    <font>
      <u/>
      <sz val="11"/>
      <color rgb="FF000000"/>
      <name val="Calibri"/>
      <family val="2"/>
      <charset val="1"/>
    </font>
    <font>
      <sz val="11"/>
      <name val="Calibri"/>
      <family val="2"/>
      <charset val="1"/>
    </font>
    <font>
      <sz val="11"/>
      <color rgb="FF000000"/>
      <name val="Calibri"/>
      <family val="2"/>
      <charset val="1"/>
    </font>
    <font>
      <sz val="11"/>
      <color rgb="FF000000"/>
      <name val="Arial"/>
      <family val="2"/>
    </font>
  </fonts>
  <fills count="10">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FFCCCC"/>
      </patternFill>
    </fill>
    <fill>
      <patternFill patternType="solid">
        <fgColor rgb="FFFFCCCC"/>
        <bgColor rgb="FFDDDDDD"/>
      </patternFill>
    </fill>
    <fill>
      <patternFill patternType="solid">
        <fgColor rgb="FFCC0000"/>
        <bgColor rgb="FF800000"/>
      </patternFill>
    </fill>
    <fill>
      <patternFill patternType="solid">
        <fgColor rgb="FFCCFFCC"/>
        <bgColor rgb="FFCCFFFF"/>
      </patternFill>
    </fill>
    <fill>
      <patternFill patternType="solid">
        <fgColor rgb="FFFFFFCC"/>
        <bgColor rgb="FFFFFFFF"/>
      </patternFill>
    </fill>
    <fill>
      <patternFill patternType="solid">
        <fgColor rgb="FF5B9BD5"/>
        <bgColor rgb="FF969696"/>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54">
    <xf numFmtId="0" fontId="0" fillId="0" borderId="0"/>
    <xf numFmtId="165" fontId="19" fillId="0" borderId="0" applyBorder="0" applyProtection="0"/>
    <xf numFmtId="0" fontId="15" fillId="0" borderId="0" applyBorder="0" applyProtection="0"/>
    <xf numFmtId="0" fontId="2" fillId="2" borderId="0" applyBorder="0" applyProtection="0"/>
    <xf numFmtId="0" fontId="2" fillId="2" borderId="0" applyBorder="0" applyProtection="0"/>
    <xf numFmtId="0" fontId="2" fillId="2" borderId="0" applyBorder="0" applyProtection="0"/>
    <xf numFmtId="0" fontId="3" fillId="0" borderId="0" applyBorder="0" applyProtection="0"/>
    <xf numFmtId="0" fontId="3" fillId="0" borderId="0" applyBorder="0" applyProtection="0"/>
    <xf numFmtId="0" fontId="3" fillId="0" borderId="0" applyBorder="0" applyProtection="0"/>
    <xf numFmtId="0" fontId="2" fillId="3" borderId="0" applyBorder="0" applyProtection="0"/>
    <xf numFmtId="0" fontId="2" fillId="3" borderId="0" applyBorder="0" applyProtection="0"/>
    <xf numFmtId="0" fontId="2" fillId="3" borderId="0" applyBorder="0" applyProtection="0"/>
    <xf numFmtId="0" fontId="3" fillId="4" borderId="0" applyBorder="0" applyProtection="0"/>
    <xf numFmtId="0" fontId="3" fillId="4" borderId="0" applyBorder="0" applyProtection="0"/>
    <xf numFmtId="0" fontId="3" fillId="4" borderId="0" applyBorder="0" applyProtection="0"/>
    <xf numFmtId="0" fontId="4" fillId="5" borderId="0" applyBorder="0" applyProtection="0"/>
    <xf numFmtId="0" fontId="4" fillId="5" borderId="0" applyBorder="0" applyProtection="0"/>
    <xf numFmtId="0" fontId="4" fillId="5" borderId="0" applyBorder="0" applyProtection="0"/>
    <xf numFmtId="0" fontId="5" fillId="6" borderId="0" applyBorder="0" applyProtection="0"/>
    <xf numFmtId="0" fontId="5" fillId="6" borderId="0" applyBorder="0" applyProtection="0"/>
    <xf numFmtId="0" fontId="5" fillId="6" borderId="0" applyBorder="0" applyProtection="0"/>
    <xf numFmtId="0" fontId="6" fillId="0" borderId="0" applyBorder="0" applyProtection="0"/>
    <xf numFmtId="0" fontId="6" fillId="0" borderId="0" applyBorder="0" applyProtection="0"/>
    <xf numFmtId="0" fontId="6" fillId="0" borderId="0" applyBorder="0" applyProtection="0"/>
    <xf numFmtId="0" fontId="7" fillId="7" borderId="0" applyBorder="0" applyProtection="0"/>
    <xf numFmtId="0" fontId="7" fillId="7" borderId="0" applyBorder="0" applyProtection="0"/>
    <xf numFmtId="0" fontId="7" fillId="7" borderId="0" applyBorder="0" applyProtection="0"/>
    <xf numFmtId="0" fontId="8" fillId="0" borderId="0" applyBorder="0" applyProtection="0"/>
    <xf numFmtId="0" fontId="8" fillId="0" borderId="0" applyBorder="0" applyProtection="0"/>
    <xf numFmtId="0" fontId="8" fillId="0" borderId="0" applyBorder="0" applyProtection="0"/>
    <xf numFmtId="0" fontId="9" fillId="0" borderId="0" applyBorder="0" applyProtection="0"/>
    <xf numFmtId="0" fontId="9" fillId="0" borderId="0" applyBorder="0" applyProtection="0"/>
    <xf numFmtId="0" fontId="9" fillId="0" borderId="0" applyBorder="0" applyProtection="0"/>
    <xf numFmtId="0" fontId="10" fillId="0" borderId="0" applyBorder="0" applyProtection="0"/>
    <xf numFmtId="0" fontId="10" fillId="0" borderId="0" applyBorder="0" applyProtection="0"/>
    <xf numFmtId="0" fontId="10" fillId="0" borderId="0" applyBorder="0" applyProtection="0"/>
    <xf numFmtId="0" fontId="11" fillId="8" borderId="0" applyBorder="0" applyProtection="0"/>
    <xf numFmtId="0" fontId="11" fillId="8" borderId="0" applyBorder="0" applyProtection="0"/>
    <xf numFmtId="0" fontId="11" fillId="8" borderId="0" applyBorder="0" applyProtection="0"/>
    <xf numFmtId="0" fontId="12" fillId="8" borderId="1" applyProtection="0"/>
    <xf numFmtId="0" fontId="12" fillId="8" borderId="1" applyProtection="0"/>
    <xf numFmtId="0" fontId="12" fillId="8" borderId="1" applyProtection="0"/>
    <xf numFmtId="0" fontId="19" fillId="0" borderId="0" applyBorder="0" applyProtection="0"/>
    <xf numFmtId="0" fontId="19" fillId="0" borderId="0" applyBorder="0" applyProtection="0"/>
    <xf numFmtId="0" fontId="19" fillId="0" borderId="0" applyBorder="0" applyProtection="0"/>
    <xf numFmtId="0" fontId="19" fillId="0" borderId="0" applyBorder="0" applyProtection="0"/>
    <xf numFmtId="0" fontId="19" fillId="0" borderId="0" applyBorder="0" applyProtection="0"/>
    <xf numFmtId="0" fontId="19" fillId="0" borderId="0" applyBorder="0" applyProtection="0"/>
    <xf numFmtId="0" fontId="4" fillId="0" borderId="0" applyBorder="0" applyProtection="0"/>
    <xf numFmtId="0" fontId="4" fillId="0" borderId="0" applyBorder="0" applyProtection="0"/>
    <xf numFmtId="0" fontId="4" fillId="0" borderId="0" applyBorder="0" applyProtection="0"/>
    <xf numFmtId="0" fontId="14" fillId="9" borderId="0" applyBorder="0" applyProtection="0"/>
    <xf numFmtId="0" fontId="20" fillId="0" borderId="0"/>
    <xf numFmtId="0" fontId="1" fillId="0" borderId="0"/>
  </cellStyleXfs>
  <cellXfs count="28">
    <xf numFmtId="0" fontId="0" fillId="0" borderId="0" xfId="0"/>
    <xf numFmtId="0" fontId="13" fillId="9" borderId="0" xfId="51" applyFont="1" applyBorder="1" applyAlignment="1" applyProtection="1"/>
    <xf numFmtId="0" fontId="0" fillId="0" borderId="0" xfId="0" applyAlignment="1">
      <alignment horizontal="center"/>
    </xf>
    <xf numFmtId="0" fontId="13" fillId="9" borderId="0" xfId="51" applyFont="1" applyBorder="1" applyAlignment="1" applyProtection="1">
      <alignment horizontal="center"/>
    </xf>
    <xf numFmtId="0" fontId="15" fillId="0" borderId="0" xfId="2" applyFont="1" applyBorder="1" applyProtection="1"/>
    <xf numFmtId="0" fontId="15" fillId="0" borderId="0" xfId="2" applyFont="1" applyBorder="1" applyAlignment="1" applyProtection="1"/>
    <xf numFmtId="0" fontId="0" fillId="0" borderId="0" xfId="0" applyAlignment="1">
      <alignment vertical="top"/>
    </xf>
    <xf numFmtId="0" fontId="16" fillId="0" borderId="0" xfId="0" applyFont="1"/>
    <xf numFmtId="0" fontId="0" fillId="0" borderId="0" xfId="0" applyFont="1" applyAlignment="1">
      <alignment wrapText="1"/>
    </xf>
    <xf numFmtId="0" fontId="0" fillId="0" borderId="0" xfId="0" applyFont="1"/>
    <xf numFmtId="0" fontId="17" fillId="0" borderId="0" xfId="0" applyFont="1"/>
    <xf numFmtId="0" fontId="17" fillId="0" borderId="0" xfId="0" applyFont="1" applyAlignment="1"/>
    <xf numFmtId="0" fontId="0" fillId="0" borderId="0" xfId="0" applyAlignment="1">
      <alignment vertical="top" wrapText="1"/>
    </xf>
    <xf numFmtId="0" fontId="13" fillId="9" borderId="0" xfId="51" applyFont="1" applyBorder="1" applyAlignment="1" applyProtection="1">
      <alignment vertical="top"/>
    </xf>
    <xf numFmtId="0" fontId="13" fillId="9" borderId="0" xfId="51" applyFont="1" applyBorder="1" applyAlignment="1" applyProtection="1">
      <alignment vertical="top" wrapText="1"/>
    </xf>
    <xf numFmtId="0" fontId="15" fillId="0" borderId="0" xfId="2" applyFont="1" applyBorder="1" applyAlignment="1" applyProtection="1">
      <alignment vertical="top"/>
    </xf>
    <xf numFmtId="164" fontId="0" fillId="0" borderId="0" xfId="0" applyNumberFormat="1" applyFont="1" applyAlignment="1">
      <alignment vertical="top"/>
    </xf>
    <xf numFmtId="0" fontId="0" fillId="0" borderId="0" xfId="1" applyNumberFormat="1" applyFont="1" applyBorder="1" applyAlignment="1" applyProtection="1">
      <alignment vertical="top"/>
    </xf>
    <xf numFmtId="0" fontId="0" fillId="0" borderId="0" xfId="0" applyFont="1" applyAlignment="1">
      <alignment vertical="top"/>
    </xf>
    <xf numFmtId="0" fontId="0" fillId="0" borderId="0" xfId="0" applyFont="1" applyAlignment="1">
      <alignment vertical="top" wrapText="1"/>
    </xf>
    <xf numFmtId="0" fontId="18" fillId="0" borderId="0" xfId="51" applyFont="1" applyFill="1" applyBorder="1" applyAlignment="1" applyProtection="1"/>
    <xf numFmtId="0" fontId="18" fillId="0" borderId="0" xfId="0" applyFont="1"/>
    <xf numFmtId="0" fontId="18" fillId="0" borderId="0" xfId="0" applyFont="1" applyAlignment="1">
      <alignment vertical="top"/>
    </xf>
    <xf numFmtId="0" fontId="15" fillId="0" borderId="0" xfId="2"/>
    <xf numFmtId="0" fontId="15" fillId="0" borderId="0" xfId="2" applyBorder="1" applyProtection="1"/>
    <xf numFmtId="165" fontId="19" fillId="0" borderId="0" xfId="1"/>
    <xf numFmtId="0" fontId="1" fillId="0" borderId="0" xfId="53"/>
    <xf numFmtId="49" fontId="1" fillId="0" borderId="0" xfId="53" applyNumberFormat="1"/>
  </cellXfs>
  <cellStyles count="54">
    <cellStyle name="Accent 1 14" xfId="3" xr:uid="{00000000-0005-0000-0000-000006000000}"/>
    <cellStyle name="Accent 1 15" xfId="4" xr:uid="{00000000-0005-0000-0000-000007000000}"/>
    <cellStyle name="Accent 1 16" xfId="5" xr:uid="{00000000-0005-0000-0000-000008000000}"/>
    <cellStyle name="Accent 13" xfId="6" xr:uid="{00000000-0005-0000-0000-000009000000}"/>
    <cellStyle name="Accent 14" xfId="7" xr:uid="{00000000-0005-0000-0000-00000A000000}"/>
    <cellStyle name="Accent 15" xfId="8" xr:uid="{00000000-0005-0000-0000-00000B000000}"/>
    <cellStyle name="Accent 2 15" xfId="9" xr:uid="{00000000-0005-0000-0000-00000C000000}"/>
    <cellStyle name="Accent 2 16" xfId="10" xr:uid="{00000000-0005-0000-0000-00000D000000}"/>
    <cellStyle name="Accent 2 17" xfId="11" xr:uid="{00000000-0005-0000-0000-00000E000000}"/>
    <cellStyle name="Accent 3 16" xfId="12" xr:uid="{00000000-0005-0000-0000-00000F000000}"/>
    <cellStyle name="Accent 3 17" xfId="13" xr:uid="{00000000-0005-0000-0000-000010000000}"/>
    <cellStyle name="Accent 3 18" xfId="14" xr:uid="{00000000-0005-0000-0000-000011000000}"/>
    <cellStyle name="Bad 10" xfId="15" xr:uid="{00000000-0005-0000-0000-000012000000}"/>
    <cellStyle name="Bad 11" xfId="16" xr:uid="{00000000-0005-0000-0000-000013000000}"/>
    <cellStyle name="Bad 12" xfId="17" xr:uid="{00000000-0005-0000-0000-000014000000}"/>
    <cellStyle name="Comma" xfId="1" builtinId="3"/>
    <cellStyle name="Error 12" xfId="18" xr:uid="{00000000-0005-0000-0000-000015000000}"/>
    <cellStyle name="Error 13" xfId="19" xr:uid="{00000000-0005-0000-0000-000016000000}"/>
    <cellStyle name="Error 14" xfId="20" xr:uid="{00000000-0005-0000-0000-000017000000}"/>
    <cellStyle name="Excel Built-in Accent5" xfId="51" xr:uid="{00000000-0005-0000-0000-000036000000}"/>
    <cellStyle name="Footnote 5" xfId="21" xr:uid="{00000000-0005-0000-0000-000018000000}"/>
    <cellStyle name="Footnote 6" xfId="22" xr:uid="{00000000-0005-0000-0000-000019000000}"/>
    <cellStyle name="Footnote 7" xfId="23" xr:uid="{00000000-0005-0000-0000-00001A000000}"/>
    <cellStyle name="Good 10" xfId="24" xr:uid="{00000000-0005-0000-0000-00001B000000}"/>
    <cellStyle name="Good 8" xfId="25" xr:uid="{00000000-0005-0000-0000-00001C000000}"/>
    <cellStyle name="Good 9" xfId="26" xr:uid="{00000000-0005-0000-0000-00001D000000}"/>
    <cellStyle name="Heading 1 1" xfId="27" xr:uid="{00000000-0005-0000-0000-00001E000000}"/>
    <cellStyle name="Heading 1 2" xfId="28" xr:uid="{00000000-0005-0000-0000-00001F000000}"/>
    <cellStyle name="Heading 1 3" xfId="29" xr:uid="{00000000-0005-0000-0000-000020000000}"/>
    <cellStyle name="Heading 2 2" xfId="30" xr:uid="{00000000-0005-0000-0000-000021000000}"/>
    <cellStyle name="Heading 2 3" xfId="31" xr:uid="{00000000-0005-0000-0000-000022000000}"/>
    <cellStyle name="Heading 2 4" xfId="32" xr:uid="{00000000-0005-0000-0000-000023000000}"/>
    <cellStyle name="Hyperlink" xfId="2" builtinId="8"/>
    <cellStyle name="Hyperlink 6" xfId="33" xr:uid="{00000000-0005-0000-0000-000024000000}"/>
    <cellStyle name="Hyperlink 7" xfId="34" xr:uid="{00000000-0005-0000-0000-000025000000}"/>
    <cellStyle name="Hyperlink 8" xfId="35" xr:uid="{00000000-0005-0000-0000-000026000000}"/>
    <cellStyle name="Neutral 10" xfId="36" xr:uid="{00000000-0005-0000-0000-000027000000}"/>
    <cellStyle name="Neutral 11" xfId="37" xr:uid="{00000000-0005-0000-0000-000028000000}"/>
    <cellStyle name="Neutral 9" xfId="38" xr:uid="{00000000-0005-0000-0000-000029000000}"/>
    <cellStyle name="Normal" xfId="0" builtinId="0"/>
    <cellStyle name="Normal 2" xfId="52" xr:uid="{4A327566-C5BA-4273-8CE6-6175E427638C}"/>
    <cellStyle name="Normal 3" xfId="53" xr:uid="{BD9F865E-5B34-4D84-ACF7-AF5671FCF435}"/>
    <cellStyle name="Note 4" xfId="39" xr:uid="{00000000-0005-0000-0000-00002A000000}"/>
    <cellStyle name="Note 5" xfId="40" xr:uid="{00000000-0005-0000-0000-00002B000000}"/>
    <cellStyle name="Note 6" xfId="41" xr:uid="{00000000-0005-0000-0000-00002C000000}"/>
    <cellStyle name="Status 7" xfId="42" xr:uid="{00000000-0005-0000-0000-00002D000000}"/>
    <cellStyle name="Status 8" xfId="43" xr:uid="{00000000-0005-0000-0000-00002E000000}"/>
    <cellStyle name="Status 9" xfId="44" xr:uid="{00000000-0005-0000-0000-00002F000000}"/>
    <cellStyle name="Text 3" xfId="45" xr:uid="{00000000-0005-0000-0000-000030000000}"/>
    <cellStyle name="Text 4" xfId="46" xr:uid="{00000000-0005-0000-0000-000031000000}"/>
    <cellStyle name="Text 5" xfId="47" xr:uid="{00000000-0005-0000-0000-000032000000}"/>
    <cellStyle name="Warning 11" xfId="48" xr:uid="{00000000-0005-0000-0000-000033000000}"/>
    <cellStyle name="Warning 12" xfId="49" xr:uid="{00000000-0005-0000-0000-000034000000}"/>
    <cellStyle name="Warning 13" xfId="50" xr:uid="{00000000-0005-0000-0000-000035000000}"/>
  </cellStyles>
  <dxfs count="0"/>
  <tableStyles count="0" defaultTableStyle="TableStyleMedium2" defaultPivotStyle="PivotStyleLight16"/>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C0C0C0"/>
      <rgbColor rgb="FF808080"/>
      <rgbColor rgb="FF5B9BD5"/>
      <rgbColor rgb="FF993366"/>
      <rgbColor rgb="FFFFFFCC"/>
      <rgbColor rgb="FFCCFFFF"/>
      <rgbColor rgb="FF660066"/>
      <rgbColor rgb="FFFF8080"/>
      <rgbColor rgb="FF0563C1"/>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unasBuildings__3" displayName="comunasBuildings__3" ref="A4:T302" totalsRowShown="0">
  <autoFilter ref="A4:T302" xr:uid="{00000000-0009-0000-0100-000001000000}"/>
  <tableColumns count="20">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unasParts__7" displayName="comunasParts__7" ref="A4:F4841" totalsRowShown="0">
  <autoFilter ref="A4:F4841" xr:uid="{00000000-0009-0000-0100-000002000000}"/>
  <tableColumns count="6">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randomuser.me/api/portraits/men/7.jpg" TargetMode="External"/><Relationship Id="rId3" Type="http://schemas.openxmlformats.org/officeDocument/2006/relationships/hyperlink" Target="mailto:martin@comunas.fm" TargetMode="External"/><Relationship Id="rId7" Type="http://schemas.openxmlformats.org/officeDocument/2006/relationships/hyperlink" Target="https://randomuser.me/api/portraits/women/2.jpg" TargetMode="External"/><Relationship Id="rId2" Type="http://schemas.openxmlformats.org/officeDocument/2006/relationships/hyperlink" Target="https://randomuser.me/api/portraits/men/3.jpg" TargetMode="External"/><Relationship Id="rId1" Type="http://schemas.openxmlformats.org/officeDocument/2006/relationships/hyperlink" Target="mailto:simon@comunas.fm" TargetMode="External"/><Relationship Id="rId6" Type="http://schemas.openxmlformats.org/officeDocument/2006/relationships/hyperlink" Target="mailto:bettina@comunas.fm" TargetMode="External"/><Relationship Id="rId11" Type="http://schemas.openxmlformats.org/officeDocument/2006/relationships/hyperlink" Target="https://scontent-frx5-1.cdninstagram.com/v/t51.2885-19/274162736_477899480464205_4106971370166912638_n.jpg?stp=dst-jpg_s150x150&amp;_nc_ht=scontent-frx5-1.cdninstagram.com&amp;_nc_cat=105&amp;_nc_ohc=ep18PdlqRcoAX8ttSdd&amp;edm=ABfd0MgBAAAA&amp;ccb=7-4&amp;oh=00_AT9Pz0ldUzR3Y1F0JYw2wtp8xYTM8wqEWPVcI8jX9NIMvA&amp;oe=62714AA3&amp;_nc_sid=7bff83" TargetMode="External"/><Relationship Id="rId5" Type="http://schemas.openxmlformats.org/officeDocument/2006/relationships/hyperlink" Target="mailto:hannes@comunas.fm" TargetMode="External"/><Relationship Id="rId10" Type="http://schemas.openxmlformats.org/officeDocument/2006/relationships/hyperlink" Target="mailto:info@comunas.ch" TargetMode="External"/><Relationship Id="rId4" Type="http://schemas.openxmlformats.org/officeDocument/2006/relationships/hyperlink" Target="https://randomuser.me/api/portraits/men/4.jpg" TargetMode="External"/><Relationship Id="rId9" Type="http://schemas.openxmlformats.org/officeDocument/2006/relationships/hyperlink" Target="mailto:leads@comunas.f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martin@comunas.ch" TargetMode="External"/><Relationship Id="rId2" Type="http://schemas.openxmlformats.org/officeDocument/2006/relationships/hyperlink" Target="mailto:martin@zeitwert.io" TargetMode="External"/><Relationship Id="rId1" Type="http://schemas.openxmlformats.org/officeDocument/2006/relationships/hyperlink" Target="mailto:martin@comunas.ch" TargetMode="External"/><Relationship Id="rId6" Type="http://schemas.openxmlformats.org/officeDocument/2006/relationships/hyperlink" Target="mailto:martin@comunas.ch" TargetMode="External"/><Relationship Id="rId5" Type="http://schemas.openxmlformats.org/officeDocument/2006/relationships/hyperlink" Target="mailto:martin@comunas.ch" TargetMode="External"/><Relationship Id="rId4" Type="http://schemas.openxmlformats.org/officeDocument/2006/relationships/hyperlink" Target="mailto:martin@zeitwert.io"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advisor@finadvise.io" TargetMode="External"/><Relationship Id="rId2" Type="http://schemas.openxmlformats.org/officeDocument/2006/relationships/hyperlink" Target="https://www.g-e-a.ch/dienstleistungen/" TargetMode="External"/><Relationship Id="rId1" Type="http://schemas.openxmlformats.org/officeDocument/2006/relationships/hyperlink" Target="https://www.g-e-a.ch/unternehmen-1/" TargetMode="External"/><Relationship Id="rId4" Type="http://schemas.openxmlformats.org/officeDocument/2006/relationships/hyperlink" Target="https://vanadys-my.sharepoint.com/personal/juan_espigares_vanadys_com/_layouts/15/Doc.aspx?sourcedoc"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martin@comunas.fm" TargetMode="External"/><Relationship Id="rId2" Type="http://schemas.openxmlformats.org/officeDocument/2006/relationships/hyperlink" Target="mailto:freddy_mueller@gmail.com" TargetMode="External"/><Relationship Id="rId1" Type="http://schemas.openxmlformats.org/officeDocument/2006/relationships/hyperlink" Target="mailto:mirjiam.muster@gmail.com" TargetMode="External"/><Relationship Id="rId4" Type="http://schemas.openxmlformats.org/officeDocument/2006/relationships/hyperlink" Target="mailto:martin@comunas.f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advisor@finadvise.io" TargetMode="Externa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mailto:info@comunas.ch" TargetMode="External"/><Relationship Id="rId1" Type="http://schemas.openxmlformats.org/officeDocument/2006/relationships/hyperlink" Target="mailto:martin@comunas.fm"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tabSelected="1" zoomScaleNormal="100" workbookViewId="0">
      <selection activeCell="B7" sqref="B7"/>
    </sheetView>
  </sheetViews>
  <sheetFormatPr defaultColWidth="10.85546875" defaultRowHeight="15" x14ac:dyDescent="0.25"/>
  <cols>
    <col min="1" max="1" width="12.42578125" customWidth="1"/>
    <col min="2" max="2" width="31.42578125" customWidth="1"/>
    <col min="4" max="4" width="74.85546875" customWidth="1"/>
  </cols>
  <sheetData>
    <row r="1" spans="1:4" x14ac:dyDescent="0.25">
      <c r="A1" s="1" t="s">
        <v>0</v>
      </c>
      <c r="B1" s="1" t="s">
        <v>1</v>
      </c>
      <c r="D1" t="s">
        <v>4085</v>
      </c>
    </row>
    <row r="2" spans="1:4" x14ac:dyDescent="0.25">
      <c r="A2" t="s">
        <v>2</v>
      </c>
      <c r="B2" t="s">
        <v>3</v>
      </c>
      <c r="D2" t="str">
        <f>"('"&amp;A2&amp;"', '"&amp;B2&amp;"'),"</f>
        <v>('k', 'Kernel'),</v>
      </c>
    </row>
    <row r="3" spans="1:4" x14ac:dyDescent="0.25">
      <c r="A3" t="s">
        <v>4</v>
      </c>
      <c r="B3" t="s">
        <v>5</v>
      </c>
      <c r="D3" t="str">
        <f>"('"&amp;A3&amp;"', '"&amp;B3&amp;"'),"</f>
        <v>('demo', 'Demo'),</v>
      </c>
    </row>
    <row r="4" spans="1:4" x14ac:dyDescent="0.25">
      <c r="A4" t="s">
        <v>6</v>
      </c>
      <c r="B4" t="s">
        <v>4087</v>
      </c>
      <c r="D4" t="str">
        <f>"('"&amp;A4&amp;"', '"&amp;B4&amp;"'),"</f>
        <v>('comunas', 'Comunas GmbH'),</v>
      </c>
    </row>
    <row r="5" spans="1:4" x14ac:dyDescent="0.25">
      <c r="A5" t="s">
        <v>4697</v>
      </c>
      <c r="B5" t="s">
        <v>4699</v>
      </c>
      <c r="D5" t="str">
        <f>"('"&amp;A5&amp;"', '"&amp;B5&amp;"'),"</f>
        <v>('unteraegeri', 'Gemeinde Unterägeri (Pilot)'),</v>
      </c>
    </row>
    <row r="6" spans="1:4" x14ac:dyDescent="0.25">
      <c r="A6" t="s">
        <v>4698</v>
      </c>
      <c r="B6" t="s">
        <v>4700</v>
      </c>
      <c r="D6" t="str">
        <f>"('"&amp;A6&amp;"', '"&amp;B6&amp;"'),"</f>
        <v>('staefa', 'Gemeinde Stäfa (Pilot)'),</v>
      </c>
    </row>
  </sheetData>
  <pageMargins left="0.7" right="0.7" top="0.78749999999999998" bottom="0.78749999999999998" header="0.51180555555555496" footer="0.51180555555555496"/>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zoomScaleNormal="100" workbookViewId="0">
      <selection activeCell="A7" sqref="A7"/>
    </sheetView>
  </sheetViews>
  <sheetFormatPr defaultColWidth="10.85546875" defaultRowHeight="15" x14ac:dyDescent="0.25"/>
  <cols>
    <col min="1" max="1" width="13.85546875" customWidth="1"/>
    <col min="2" max="2" width="25" customWidth="1"/>
    <col min="3" max="3" width="44.42578125" customWidth="1"/>
    <col min="4" max="4" width="53.7109375" customWidth="1"/>
    <col min="5" max="5" width="22.140625" customWidth="1"/>
    <col min="6" max="6" width="6.85546875" style="2" customWidth="1"/>
    <col min="8" max="8" width="17.140625" customWidth="1"/>
  </cols>
  <sheetData>
    <row r="1" spans="1:9" x14ac:dyDescent="0.25">
      <c r="A1" s="1" t="s">
        <v>7</v>
      </c>
      <c r="B1" s="1" t="s">
        <v>8</v>
      </c>
      <c r="C1" s="1" t="s">
        <v>9</v>
      </c>
      <c r="D1" s="1" t="s">
        <v>10</v>
      </c>
      <c r="E1" s="1" t="s">
        <v>11</v>
      </c>
      <c r="F1" s="1" t="s">
        <v>12</v>
      </c>
      <c r="G1" s="3" t="s">
        <v>13</v>
      </c>
      <c r="I1" t="s">
        <v>4086</v>
      </c>
    </row>
    <row r="2" spans="1:9" x14ac:dyDescent="0.25">
      <c r="A2" t="s">
        <v>2</v>
      </c>
      <c r="B2" t="s">
        <v>14</v>
      </c>
      <c r="C2" s="23" t="s">
        <v>4073</v>
      </c>
      <c r="G2" s="2" t="s">
        <v>17</v>
      </c>
      <c r="I2" t="str">
        <f>IF(ISBLANK(G2),"","('"&amp;A2&amp;"', '"&amp;B2&amp;"', '"&amp;C2&amp;"', "&amp;IF(ISBLANK(D2),"null","'"&amp;D2&amp;"'")&amp;","&amp;IF(ISBLANK(E2),"null","'"&amp;E2&amp;"'")&amp;","&amp;IF(ISBLANK(F2),"null","'"&amp;F2&amp;"'")&amp;"),")</f>
        <v>('k', 'Lead Processor', 'leads@comunas.fm', null,null,null),</v>
      </c>
    </row>
    <row r="3" spans="1:9" x14ac:dyDescent="0.25">
      <c r="A3" t="s">
        <v>4</v>
      </c>
      <c r="B3" t="s">
        <v>18</v>
      </c>
      <c r="C3" s="23" t="s">
        <v>4065</v>
      </c>
      <c r="D3" s="23" t="s">
        <v>4072</v>
      </c>
      <c r="G3" s="2" t="s">
        <v>17</v>
      </c>
      <c r="I3" t="str">
        <f t="shared" ref="I3:I6" si="0">IF(ISBLANK(G3),"","('"&amp;A3&amp;"', '"&amp;B3&amp;"', '"&amp;C3&amp;"', "&amp;IF(ISBLANK(D3),"null","'"&amp;D3&amp;"'")&amp;","&amp;IF(ISBLANK(E3),"null","'"&amp;E3&amp;"'")&amp;","&amp;IF(ISBLANK(F3),"null","'"&amp;F3&amp;"'")&amp;"),")</f>
        <v>('demo', 'Hannes Brunner', 'hannes@comunas.fm', 'https://randomuser.me/api/portraits/men/7.jpg',null,null),</v>
      </c>
    </row>
    <row r="4" spans="1:9" x14ac:dyDescent="0.25">
      <c r="A4" t="s">
        <v>4</v>
      </c>
      <c r="B4" t="s">
        <v>19</v>
      </c>
      <c r="C4" s="4" t="s">
        <v>20</v>
      </c>
      <c r="D4" s="23" t="s">
        <v>4071</v>
      </c>
      <c r="G4" s="2" t="s">
        <v>17</v>
      </c>
      <c r="I4" t="str">
        <f t="shared" si="0"/>
        <v>('demo', 'Martin Frey', 'martin@comunas.fm', 'https://randomuser.me/api/portraits/men/4.jpg',null,null),</v>
      </c>
    </row>
    <row r="5" spans="1:9" x14ac:dyDescent="0.25">
      <c r="A5" t="s">
        <v>4</v>
      </c>
      <c r="B5" t="s">
        <v>4066</v>
      </c>
      <c r="C5" s="24" t="s">
        <v>4067</v>
      </c>
      <c r="D5" s="23" t="s">
        <v>15</v>
      </c>
      <c r="G5" s="2" t="s">
        <v>17</v>
      </c>
      <c r="I5" t="str">
        <f t="shared" si="0"/>
        <v>('demo', 'Simon Schatzmann', 'simon@comunas.fm', 'https://randomuser.me/api/portraits/men/3.jpg',null,null),</v>
      </c>
    </row>
    <row r="6" spans="1:9" x14ac:dyDescent="0.25">
      <c r="A6" t="s">
        <v>4</v>
      </c>
      <c r="B6" t="s">
        <v>4068</v>
      </c>
      <c r="C6" s="23" t="s">
        <v>4069</v>
      </c>
      <c r="D6" s="23" t="s">
        <v>4070</v>
      </c>
      <c r="G6" s="2" t="s">
        <v>17</v>
      </c>
      <c r="I6" t="str">
        <f t="shared" si="0"/>
        <v>('demo', 'Bettina Backoffice', 'bettina@comunas.fm', 'https://randomuser.me/api/portraits/women/2.jpg',null,null),</v>
      </c>
    </row>
    <row r="7" spans="1:9" x14ac:dyDescent="0.25">
      <c r="B7" t="s">
        <v>19</v>
      </c>
      <c r="C7" s="24" t="s">
        <v>4088</v>
      </c>
      <c r="D7" s="23" t="s">
        <v>4093</v>
      </c>
      <c r="G7" s="2" t="s">
        <v>17</v>
      </c>
      <c r="I7" t="str">
        <f t="shared" ref="I7" si="1">IF(ISBLANK(G7),"","('"&amp;A7&amp;"', '"&amp;B7&amp;"', '"&amp;C7&amp;"', "&amp;IF(ISBLANK(D7),"null","'"&amp;D7&amp;"'")&amp;","&amp;IF(ISBLANK(E7),"null","'"&amp;E7&amp;"'")&amp;","&amp;IF(ISBLANK(F7),"null","'"&amp;F7&amp;"'")&amp;"),")</f>
        <v>('', 'Martin Frey', 'info@comunas.ch', '/demo/martin.jpg',null,null),</v>
      </c>
    </row>
  </sheetData>
  <hyperlinks>
    <hyperlink ref="C5" r:id="rId1" xr:uid="{00000000-0004-0000-0100-000002000000}"/>
    <hyperlink ref="D5" r:id="rId2" xr:uid="{00000000-0004-0000-0100-000003000000}"/>
    <hyperlink ref="C4" r:id="rId3" xr:uid="{00000000-0004-0000-0100-000004000000}"/>
    <hyperlink ref="D4" r:id="rId4" xr:uid="{00000000-0004-0000-0100-000005000000}"/>
    <hyperlink ref="C3" r:id="rId5" xr:uid="{7522C8A6-FE1F-41F1-BA07-B76E6E2F4E2E}"/>
    <hyperlink ref="C6" r:id="rId6" xr:uid="{909D6B9F-29F5-4A98-984B-FBFB2E2161D1}"/>
    <hyperlink ref="D6" r:id="rId7" xr:uid="{155376F6-EABE-44AA-8063-A7949B58CC60}"/>
    <hyperlink ref="D3" r:id="rId8" xr:uid="{0A778DB1-C504-4170-A322-78BC3944B0B1}"/>
    <hyperlink ref="C2" r:id="rId9" xr:uid="{B1535E2D-5F18-41AF-BB6C-B7982E9C7DEF}"/>
    <hyperlink ref="C7" r:id="rId10" xr:uid="{C55058C4-CB1C-4C62-9A87-03EEFBC75F92}"/>
    <hyperlink ref="D7" r:id="rId11" display="https://scontent-frx5-1.cdninstagram.com/v/t51.2885-19/274162736_477899480464205_4106971370166912638_n.jpg?stp=dst-jpg_s150x150&amp;_nc_ht=scontent-frx5-1.cdninstagram.com&amp;_nc_cat=105&amp;_nc_ohc=ep18PdlqRcoAX8ttSdd&amp;edm=ABfd0MgBAAAA&amp;ccb=7-4&amp;oh=00_AT9Pz0ldUzR3Y1F0JYw2wtp8xYTM8wqEWPVcI8jX9NIMvA&amp;oe=62714AA3&amp;_nc_sid=7bff83" xr:uid="{4A082D13-7394-4A2C-9F5C-2E21642A6D0C}"/>
  </hyperlinks>
  <pageMargins left="0.7" right="0.7" top="0.78749999999999998" bottom="0.78749999999999998" header="0.51180555555555496" footer="0.51180555555555496"/>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4"/>
  <sheetViews>
    <sheetView zoomScaleNormal="100" workbookViewId="0">
      <selection activeCell="A6" sqref="A6:XFD7"/>
    </sheetView>
  </sheetViews>
  <sheetFormatPr defaultColWidth="10.85546875" defaultRowHeight="15" x14ac:dyDescent="0.25"/>
  <cols>
    <col min="1" max="1" width="11" customWidth="1"/>
    <col min="2" max="2" width="25" customWidth="1"/>
    <col min="3" max="3" width="9.140625" customWidth="1"/>
    <col min="4" max="4" width="28.42578125" customWidth="1"/>
    <col min="5" max="5" width="18.42578125" bestFit="1" customWidth="1"/>
    <col min="6" max="6" width="12.85546875" customWidth="1"/>
    <col min="7" max="7" width="14.85546875" bestFit="1" customWidth="1"/>
    <col min="8" max="8" width="18.5703125" bestFit="1" customWidth="1"/>
    <col min="9" max="9" width="11" bestFit="1" customWidth="1"/>
    <col min="10" max="10" width="12.28515625" customWidth="1"/>
    <col min="11" max="11" width="137" bestFit="1" customWidth="1"/>
    <col min="12" max="12" width="100.140625" customWidth="1"/>
  </cols>
  <sheetData>
    <row r="1" spans="1:11" x14ac:dyDescent="0.25">
      <c r="A1" s="1" t="s">
        <v>7</v>
      </c>
      <c r="B1" s="1" t="s">
        <v>21</v>
      </c>
      <c r="C1" s="1" t="s">
        <v>0</v>
      </c>
      <c r="D1" s="1" t="s">
        <v>1</v>
      </c>
      <c r="E1" s="1" t="s">
        <v>22</v>
      </c>
      <c r="F1" s="1" t="s">
        <v>23</v>
      </c>
      <c r="G1" s="1" t="s">
        <v>24</v>
      </c>
      <c r="H1" s="1" t="s">
        <v>25</v>
      </c>
      <c r="I1" s="1" t="s">
        <v>98</v>
      </c>
      <c r="K1" t="s">
        <v>4081</v>
      </c>
    </row>
    <row r="2" spans="1:11" x14ac:dyDescent="0.25">
      <c r="A2" t="s">
        <v>6</v>
      </c>
      <c r="B2" s="24" t="s">
        <v>4692</v>
      </c>
      <c r="C2" s="6">
        <v>5620</v>
      </c>
      <c r="D2" t="s">
        <v>316</v>
      </c>
      <c r="E2" t="s">
        <v>27</v>
      </c>
      <c r="H2" t="s">
        <v>28</v>
      </c>
      <c r="K2" t="str">
        <f>"('"&amp;A2&amp;"', '"&amp;B2&amp;"', '"&amp;C2&amp;"', '"&amp;D2&amp;"', "&amp;IF(ISBLANK(E2),"null","'"&amp;E2&amp;"'")&amp;","&amp;IF(ISBLANK(F2),"null","'"&amp;F2&amp;"'")&amp;","&amp;IF(ISBLANK(G2),"null","'"&amp;G2&amp;"'")&amp;","&amp;IF(ISBLANK(H2),"null","'"&amp;H2&amp;"'")&amp;","&amp;IF(ISBLANK(I2),"null","'"&amp;I2&amp;"'")&amp;"),"</f>
        <v>('comunas', 'martin@comunas.ch', '5620', 'Bremgarten', 'client',null,null,'chf',null),</v>
      </c>
    </row>
    <row r="3" spans="1:11" x14ac:dyDescent="0.25">
      <c r="A3" t="s">
        <v>6</v>
      </c>
      <c r="B3" s="24" t="s">
        <v>4692</v>
      </c>
      <c r="C3" s="6">
        <v>5420</v>
      </c>
      <c r="D3" t="s">
        <v>4694</v>
      </c>
      <c r="E3" t="s">
        <v>27</v>
      </c>
      <c r="H3" t="s">
        <v>28</v>
      </c>
      <c r="K3" t="str">
        <f>"('"&amp;A3&amp;"', '"&amp;B3&amp;"', '"&amp;C3&amp;"', '"&amp;D3&amp;"', "&amp;IF(ISBLANK(E3),"null","'"&amp;E3&amp;"'")&amp;","&amp;IF(ISBLANK(F3),"null","'"&amp;F3&amp;"'")&amp;","&amp;IF(ISBLANK(G3),"null","'"&amp;G3&amp;"'")&amp;","&amp;IF(ISBLANK(H3),"null","'"&amp;H3&amp;"'")&amp;","&amp;IF(ISBLANK(I3),"null","'"&amp;I3&amp;"'")&amp;"),"</f>
        <v>('comunas', 'martin@comunas.ch', '5420', 'Ehrendingen', 'client',null,null,'chf',null),</v>
      </c>
    </row>
    <row r="4" spans="1:11" x14ac:dyDescent="0.25">
      <c r="A4" t="s">
        <v>6</v>
      </c>
      <c r="B4" s="24" t="s">
        <v>4692</v>
      </c>
      <c r="C4" s="6">
        <v>8712</v>
      </c>
      <c r="D4" t="s">
        <v>4695</v>
      </c>
      <c r="E4" t="s">
        <v>4090</v>
      </c>
      <c r="H4" t="s">
        <v>28</v>
      </c>
      <c r="K4" t="str">
        <f>"('"&amp;A4&amp;"', '"&amp;B4&amp;"', '"&amp;C4&amp;"', '"&amp;D4&amp;"', "&amp;IF(ISBLANK(E4),"null","'"&amp;E4&amp;"'")&amp;","&amp;IF(ISBLANK(F4),"null","'"&amp;F4&amp;"'")&amp;","&amp;IF(ISBLANK(G4),"null","'"&amp;G4&amp;"'")&amp;","&amp;IF(ISBLANK(H4),"null","'"&amp;H4&amp;"'")&amp;","&amp;IF(ISBLANK(I4),"null","'"&amp;I4&amp;"'")&amp;"),"</f>
        <v>('comunas', 'martin@comunas.ch', '8712', 'Stäfa', 'prospect',null,null,'chf',null),</v>
      </c>
    </row>
    <row r="5" spans="1:11" x14ac:dyDescent="0.25">
      <c r="A5" t="s">
        <v>6</v>
      </c>
      <c r="B5" s="24" t="s">
        <v>4692</v>
      </c>
      <c r="C5" s="6">
        <v>3922</v>
      </c>
      <c r="D5" t="s">
        <v>4696</v>
      </c>
      <c r="E5" t="s">
        <v>27</v>
      </c>
      <c r="H5" t="s">
        <v>28</v>
      </c>
      <c r="K5" t="str">
        <f>"('"&amp;A5&amp;"', '"&amp;B5&amp;"', '"&amp;C5&amp;"', '"&amp;D5&amp;"', "&amp;IF(ISBLANK(E5),"null","'"&amp;E5&amp;"'")&amp;","&amp;IF(ISBLANK(F5),"null","'"&amp;F5&amp;"'")&amp;","&amp;IF(ISBLANK(G5),"null","'"&amp;G5&amp;"'")&amp;","&amp;IF(ISBLANK(H5),"null","'"&amp;H5&amp;"'")&amp;","&amp;IF(ISBLANK(I5),"null","'"&amp;I5&amp;"'")&amp;"),"</f>
        <v>('comunas', 'martin@comunas.ch', '3922', 'Stalden', 'client',null,null,'chf',null),</v>
      </c>
    </row>
    <row r="6" spans="1:11" x14ac:dyDescent="0.25">
      <c r="A6" t="s">
        <v>6</v>
      </c>
      <c r="B6" s="24" t="s">
        <v>4692</v>
      </c>
      <c r="C6" s="6">
        <v>3922</v>
      </c>
      <c r="D6" t="s">
        <v>4696</v>
      </c>
      <c r="E6" t="s">
        <v>27</v>
      </c>
      <c r="H6" t="s">
        <v>28</v>
      </c>
      <c r="K6" t="str">
        <f t="shared" ref="K6:K7" si="0">"('"&amp;A6&amp;"', '"&amp;B6&amp;"', '"&amp;C6&amp;"', '"&amp;D6&amp;"', "&amp;IF(ISBLANK(E6),"null","'"&amp;E6&amp;"'")&amp;","&amp;IF(ISBLANK(F6),"null","'"&amp;F6&amp;"'")&amp;","&amp;IF(ISBLANK(G6),"null","'"&amp;G6&amp;"'")&amp;","&amp;IF(ISBLANK(H6),"null","'"&amp;H6&amp;"'")&amp;","&amp;IF(ISBLANK(I6),"null","'"&amp;I6&amp;"'")&amp;"),"</f>
        <v>('comunas', 'martin@comunas.ch', '3922', 'Stalden', 'client',null,null,'chf',null),</v>
      </c>
    </row>
    <row r="7" spans="1:11" x14ac:dyDescent="0.25">
      <c r="A7" t="s">
        <v>6</v>
      </c>
      <c r="B7" s="24" t="s">
        <v>4692</v>
      </c>
      <c r="C7" s="6">
        <v>3922</v>
      </c>
      <c r="D7" t="s">
        <v>4696</v>
      </c>
      <c r="E7" t="s">
        <v>27</v>
      </c>
      <c r="H7" t="s">
        <v>28</v>
      </c>
      <c r="K7" t="str">
        <f t="shared" si="0"/>
        <v>('comunas', 'martin@comunas.ch', '3922', 'Stalden', 'client',null,null,'chf',null),</v>
      </c>
    </row>
    <row r="8" spans="1:11" x14ac:dyDescent="0.25">
      <c r="A8" t="s">
        <v>4</v>
      </c>
      <c r="B8" s="24" t="s">
        <v>4693</v>
      </c>
      <c r="C8" s="6">
        <v>8355</v>
      </c>
      <c r="D8" t="s">
        <v>50</v>
      </c>
      <c r="E8" t="s">
        <v>27</v>
      </c>
      <c r="H8" t="s">
        <v>28</v>
      </c>
      <c r="K8" t="str">
        <f>"('"&amp;A8&amp;"', '"&amp;B8&amp;"', '"&amp;C8&amp;"', '"&amp;D8&amp;"', "&amp;IF(ISBLANK(E8),"null","'"&amp;E8&amp;"'")&amp;","&amp;IF(ISBLANK(F8),"null","'"&amp;F8&amp;"'")&amp;","&amp;IF(ISBLANK(G8),"null","'"&amp;G8&amp;"'")&amp;","&amp;IF(ISBLANK(H8),"null","'"&amp;H8&amp;"'")&amp;","&amp;IF(ISBLANK(I8),"null","'"&amp;I8&amp;"'")&amp;"),"</f>
        <v>('demo', 'martin@zeitwert.io', '8355', 'Aadorf 8355', 'client',null,null,'chf',null),</v>
      </c>
    </row>
    <row r="9" spans="1:11" x14ac:dyDescent="0.25">
      <c r="A9" t="s">
        <v>4</v>
      </c>
      <c r="B9" s="24" t="s">
        <v>4693</v>
      </c>
      <c r="C9" s="6">
        <v>8479</v>
      </c>
      <c r="D9" t="s">
        <v>55</v>
      </c>
      <c r="E9" t="s">
        <v>27</v>
      </c>
      <c r="H9" t="s">
        <v>28</v>
      </c>
      <c r="K9" t="str">
        <f>"('"&amp;A9&amp;"', '"&amp;B9&amp;"', '"&amp;C9&amp;"', '"&amp;D9&amp;"', "&amp;IF(ISBLANK(E9),"null","'"&amp;E9&amp;"'")&amp;","&amp;IF(ISBLANK(F9),"null","'"&amp;F9&amp;"'")&amp;","&amp;IF(ISBLANK(G9),"null","'"&amp;G9&amp;"'")&amp;","&amp;IF(ISBLANK(H9),"null","'"&amp;H9&amp;"'")&amp;","&amp;IF(ISBLANK(I9),"null","'"&amp;I9&amp;"'")&amp;"),"</f>
        <v>('demo', 'martin@zeitwert.io', '8479', 'Altikon 8479', 'client',null,null,'chf',null),</v>
      </c>
    </row>
    <row r="10" spans="1:11" x14ac:dyDescent="0.25">
      <c r="A10" t="s">
        <v>4</v>
      </c>
      <c r="B10" s="24" t="s">
        <v>4693</v>
      </c>
      <c r="C10" s="6">
        <v>9220</v>
      </c>
      <c r="D10" t="s">
        <v>64</v>
      </c>
      <c r="E10" t="s">
        <v>27</v>
      </c>
      <c r="H10" t="s">
        <v>28</v>
      </c>
      <c r="K10" t="str">
        <f>"('"&amp;A10&amp;"', '"&amp;B10&amp;"', '"&amp;C10&amp;"', '"&amp;D10&amp;"', "&amp;IF(ISBLANK(E10),"null","'"&amp;E10&amp;"'")&amp;","&amp;IF(ISBLANK(F10),"null","'"&amp;F10&amp;"'")&amp;","&amp;IF(ISBLANK(G10),"null","'"&amp;G10&amp;"'")&amp;","&amp;IF(ISBLANK(H10),"null","'"&amp;H10&amp;"'")&amp;","&amp;IF(ISBLANK(I10),"null","'"&amp;I10&amp;"'")&amp;"),"</f>
        <v>('demo', 'martin@zeitwert.io', '9220', 'Bischofszell 9220', 'client',null,null,'chf',null),</v>
      </c>
    </row>
    <row r="11" spans="1:11" x14ac:dyDescent="0.25">
      <c r="A11" t="s">
        <v>4</v>
      </c>
      <c r="B11" s="24" t="s">
        <v>4693</v>
      </c>
      <c r="C11" s="6">
        <v>9220</v>
      </c>
      <c r="D11" t="s">
        <v>65</v>
      </c>
      <c r="E11" t="s">
        <v>27</v>
      </c>
      <c r="H11" t="s">
        <v>28</v>
      </c>
      <c r="K11" t="str">
        <f>"('"&amp;A11&amp;"', '"&amp;B11&amp;"', '"&amp;C11&amp;"', '"&amp;D11&amp;"', "&amp;IF(ISBLANK(E11),"null","'"&amp;E11&amp;"'")&amp;","&amp;IF(ISBLANK(F11),"null","'"&amp;F11&amp;"'")&amp;","&amp;IF(ISBLANK(G11),"null","'"&amp;G11&amp;"'")&amp;","&amp;IF(ISBLANK(H11),"null","'"&amp;H11&amp;"'")&amp;","&amp;IF(ISBLANK(I11),"null","'"&amp;I11&amp;"'")&amp;"),"</f>
        <v>('demo', 'martin@zeitwert.io', '9220', 'Blidegg 9220', 'client',null,null,'chf',null),</v>
      </c>
    </row>
    <row r="12" spans="1:11" x14ac:dyDescent="0.25">
      <c r="A12" t="s">
        <v>4</v>
      </c>
      <c r="B12" s="24" t="s">
        <v>4693</v>
      </c>
      <c r="C12" s="6">
        <v>5620</v>
      </c>
      <c r="D12" t="s">
        <v>39</v>
      </c>
      <c r="E12" t="s">
        <v>27</v>
      </c>
      <c r="H12" t="s">
        <v>28</v>
      </c>
      <c r="K12" t="str">
        <f>"('"&amp;A12&amp;"', '"&amp;B12&amp;"', '"&amp;C12&amp;"', '"&amp;D12&amp;"', "&amp;IF(ISBLANK(E12),"null","'"&amp;E12&amp;"'")&amp;","&amp;IF(ISBLANK(F12),"null","'"&amp;F12&amp;"'")&amp;","&amp;IF(ISBLANK(G12),"null","'"&amp;G12&amp;"'")&amp;","&amp;IF(ISBLANK(H12),"null","'"&amp;H12&amp;"'")&amp;","&amp;IF(ISBLANK(I12),"null","'"&amp;I12&amp;"'")&amp;"),"</f>
        <v>('demo', 'martin@zeitwert.io', '5620', 'Bremgarten 5620', 'client',null,null,'chf',null),</v>
      </c>
    </row>
    <row r="13" spans="1:11" x14ac:dyDescent="0.25">
      <c r="A13" t="s">
        <v>4</v>
      </c>
      <c r="B13" s="24" t="s">
        <v>4693</v>
      </c>
      <c r="C13" s="6">
        <v>9470</v>
      </c>
      <c r="D13" t="s">
        <v>69</v>
      </c>
      <c r="E13" t="s">
        <v>27</v>
      </c>
      <c r="H13" t="s">
        <v>28</v>
      </c>
      <c r="K13" t="str">
        <f>"('"&amp;A13&amp;"', '"&amp;B13&amp;"', '"&amp;C13&amp;"', '"&amp;D13&amp;"', "&amp;IF(ISBLANK(E13),"null","'"&amp;E13&amp;"'")&amp;","&amp;IF(ISBLANK(F13),"null","'"&amp;F13&amp;"'")&amp;","&amp;IF(ISBLANK(G13),"null","'"&amp;G13&amp;"'")&amp;","&amp;IF(ISBLANK(H13),"null","'"&amp;H13&amp;"'")&amp;","&amp;IF(ISBLANK(I13),"null","'"&amp;I13&amp;"'")&amp;"),"</f>
        <v>('demo', 'martin@zeitwert.io', '9470', 'Buchs SG 9470', 'client',null,null,'chf',null),</v>
      </c>
    </row>
    <row r="14" spans="1:11" x14ac:dyDescent="0.25">
      <c r="A14" t="s">
        <v>4</v>
      </c>
      <c r="B14" s="24" t="s">
        <v>4693</v>
      </c>
      <c r="C14" s="6">
        <v>8253</v>
      </c>
      <c r="D14" t="s">
        <v>46</v>
      </c>
      <c r="E14" t="s">
        <v>27</v>
      </c>
      <c r="H14" t="s">
        <v>28</v>
      </c>
      <c r="K14" t="str">
        <f>"('"&amp;A14&amp;"', '"&amp;B14&amp;"', '"&amp;C14&amp;"', '"&amp;D14&amp;"', "&amp;IF(ISBLANK(E14),"null","'"&amp;E14&amp;"'")&amp;","&amp;IF(ISBLANK(F14),"null","'"&amp;F14&amp;"'")&amp;","&amp;IF(ISBLANK(G14),"null","'"&amp;G14&amp;"'")&amp;","&amp;IF(ISBLANK(H14),"null","'"&amp;H14&amp;"'")&amp;","&amp;IF(ISBLANK(I14),"null","'"&amp;I14&amp;"'")&amp;"),"</f>
        <v>('demo', 'martin@zeitwert.io', '8253', 'Diessenhofen 8253', 'client',null,null,'chf',null),</v>
      </c>
    </row>
    <row r="15" spans="1:11" x14ac:dyDescent="0.25">
      <c r="A15" t="s">
        <v>4</v>
      </c>
      <c r="B15" s="24" t="s">
        <v>4693</v>
      </c>
      <c r="C15" s="6">
        <v>9651</v>
      </c>
      <c r="D15" t="s">
        <v>70</v>
      </c>
      <c r="E15" t="s">
        <v>27</v>
      </c>
      <c r="H15" t="s">
        <v>28</v>
      </c>
      <c r="K15" t="str">
        <f>"('"&amp;A15&amp;"', '"&amp;B15&amp;"', '"&amp;C15&amp;"', '"&amp;D15&amp;"', "&amp;IF(ISBLANK(E15),"null","'"&amp;E15&amp;"'")&amp;","&amp;IF(ISBLANK(F15),"null","'"&amp;F15&amp;"'")&amp;","&amp;IF(ISBLANK(G15),"null","'"&amp;G15&amp;"'")&amp;","&amp;IF(ISBLANK(H15),"null","'"&amp;H15&amp;"'")&amp;","&amp;IF(ISBLANK(I15),"null","'"&amp;I15&amp;"'")&amp;"),"</f>
        <v>('demo', 'martin@zeitwert.io', '9651', 'Ennetbühl 9651', 'client',null,null,'chf',null),</v>
      </c>
    </row>
    <row r="16" spans="1:11" x14ac:dyDescent="0.25">
      <c r="A16" t="s">
        <v>4</v>
      </c>
      <c r="B16" s="24" t="s">
        <v>4693</v>
      </c>
      <c r="C16" s="6">
        <v>9225</v>
      </c>
      <c r="D16" t="s">
        <v>68</v>
      </c>
      <c r="E16" t="s">
        <v>27</v>
      </c>
      <c r="H16" t="s">
        <v>28</v>
      </c>
      <c r="K16" t="str">
        <f>"('"&amp;A16&amp;"', '"&amp;B16&amp;"', '"&amp;C16&amp;"', '"&amp;D16&amp;"', "&amp;IF(ISBLANK(E16),"null","'"&amp;E16&amp;"'")&amp;","&amp;IF(ISBLANK(F16),"null","'"&amp;F16&amp;"'")&amp;","&amp;IF(ISBLANK(G16),"null","'"&amp;G16&amp;"'")&amp;","&amp;IF(ISBLANK(H16),"null","'"&amp;H16&amp;"'")&amp;","&amp;IF(ISBLANK(I16),"null","'"&amp;I16&amp;"'")&amp;"),"</f>
        <v>('demo', 'martin@zeitwert.io', '9225', 'Gotthaus 9225', 'client',null,null,'chf',null),</v>
      </c>
    </row>
    <row r="17" spans="1:11" x14ac:dyDescent="0.25">
      <c r="A17" t="s">
        <v>4</v>
      </c>
      <c r="B17" s="24" t="s">
        <v>4693</v>
      </c>
      <c r="C17" s="6">
        <v>9223</v>
      </c>
      <c r="D17" t="s">
        <v>66</v>
      </c>
      <c r="E17" t="s">
        <v>27</v>
      </c>
      <c r="H17" t="s">
        <v>28</v>
      </c>
      <c r="K17" t="str">
        <f>"('"&amp;A17&amp;"', '"&amp;B17&amp;"', '"&amp;C17&amp;"', '"&amp;D17&amp;"', "&amp;IF(ISBLANK(E17),"null","'"&amp;E17&amp;"'")&amp;","&amp;IF(ISBLANK(F17),"null","'"&amp;F17&amp;"'")&amp;","&amp;IF(ISBLANK(G17),"null","'"&amp;G17&amp;"'")&amp;","&amp;IF(ISBLANK(H17),"null","'"&amp;H17&amp;"'")&amp;","&amp;IF(ISBLANK(I17),"null","'"&amp;I17&amp;"'")&amp;"),"</f>
        <v>('demo', 'martin@zeitwert.io', '9223', 'Halden 9223', 'client',null,null,'chf',null),</v>
      </c>
    </row>
    <row r="18" spans="1:11" x14ac:dyDescent="0.25">
      <c r="A18" t="s">
        <v>4</v>
      </c>
      <c r="B18" s="24" t="s">
        <v>4693</v>
      </c>
      <c r="C18" s="6">
        <v>9213</v>
      </c>
      <c r="D18" t="s">
        <v>62</v>
      </c>
      <c r="E18" t="s">
        <v>27</v>
      </c>
      <c r="H18" t="s">
        <v>28</v>
      </c>
      <c r="K18" t="str">
        <f>"('"&amp;A18&amp;"', '"&amp;B18&amp;"', '"&amp;C18&amp;"', '"&amp;D18&amp;"', "&amp;IF(ISBLANK(E18),"null","'"&amp;E18&amp;"'")&amp;","&amp;IF(ISBLANK(F18),"null","'"&amp;F18&amp;"'")&amp;","&amp;IF(ISBLANK(G18),"null","'"&amp;G18&amp;"'")&amp;","&amp;IF(ISBLANK(H18),"null","'"&amp;H18&amp;"'")&amp;","&amp;IF(ISBLANK(I18),"null","'"&amp;I18&amp;"'")&amp;"),"</f>
        <v>('demo', 'martin@zeitwert.io', '9213', 'Hauptwil 9213', 'client',null,null,'chf',null),</v>
      </c>
    </row>
    <row r="19" spans="1:11" x14ac:dyDescent="0.25">
      <c r="A19" t="s">
        <v>4</v>
      </c>
      <c r="B19" s="24" t="s">
        <v>4693</v>
      </c>
      <c r="C19" s="6">
        <v>8444</v>
      </c>
      <c r="D19" t="s">
        <v>51</v>
      </c>
      <c r="E19" t="s">
        <v>27</v>
      </c>
      <c r="H19" t="s">
        <v>28</v>
      </c>
      <c r="K19" t="str">
        <f>"('"&amp;A19&amp;"', '"&amp;B19&amp;"', '"&amp;C19&amp;"', '"&amp;D19&amp;"', "&amp;IF(ISBLANK(E19),"null","'"&amp;E19&amp;"'")&amp;","&amp;IF(ISBLANK(F19),"null","'"&amp;F19&amp;"'")&amp;","&amp;IF(ISBLANK(G19),"null","'"&amp;G19&amp;"'")&amp;","&amp;IF(ISBLANK(H19),"null","'"&amp;H19&amp;"'")&amp;","&amp;IF(ISBLANK(I19),"null","'"&amp;I19&amp;"'")&amp;"),"</f>
        <v>('demo', 'martin@zeitwert.io', '8444', 'Henggart 8444', 'client',null,null,'chf',null),</v>
      </c>
    </row>
    <row r="20" spans="1:11" x14ac:dyDescent="0.25">
      <c r="A20" t="s">
        <v>4</v>
      </c>
      <c r="B20" s="24" t="s">
        <v>4693</v>
      </c>
      <c r="C20" s="6">
        <v>5626</v>
      </c>
      <c r="D20" t="s">
        <v>40</v>
      </c>
      <c r="E20" t="s">
        <v>27</v>
      </c>
      <c r="H20" t="s">
        <v>28</v>
      </c>
      <c r="K20" t="str">
        <f>"('"&amp;A20&amp;"', '"&amp;B20&amp;"', '"&amp;C20&amp;"', '"&amp;D20&amp;"', "&amp;IF(ISBLANK(E20),"null","'"&amp;E20&amp;"'")&amp;","&amp;IF(ISBLANK(F20),"null","'"&amp;F20&amp;"'")&amp;","&amp;IF(ISBLANK(G20),"null","'"&amp;G20&amp;"'")&amp;","&amp;IF(ISBLANK(H20),"null","'"&amp;H20&amp;"'")&amp;","&amp;IF(ISBLANK(I20),"null","'"&amp;I20&amp;"'")&amp;"),"</f>
        <v>('demo', 'martin@zeitwert.io', '5626', 'Hermetschwil 5626', 'client',null,null,'chf',null),</v>
      </c>
    </row>
    <row r="21" spans="1:11" x14ac:dyDescent="0.25">
      <c r="A21" t="s">
        <v>4</v>
      </c>
      <c r="B21" s="24" t="s">
        <v>4693</v>
      </c>
      <c r="C21" s="6">
        <v>3032</v>
      </c>
      <c r="D21" t="s">
        <v>30</v>
      </c>
      <c r="E21" t="s">
        <v>27</v>
      </c>
      <c r="H21" t="s">
        <v>28</v>
      </c>
      <c r="K21" t="str">
        <f>"('"&amp;A21&amp;"', '"&amp;B21&amp;"', '"&amp;C21&amp;"', '"&amp;D21&amp;"', "&amp;IF(ISBLANK(E21),"null","'"&amp;E21&amp;"'")&amp;","&amp;IF(ISBLANK(F21),"null","'"&amp;F21&amp;"'")&amp;","&amp;IF(ISBLANK(G21),"null","'"&amp;G21&amp;"'")&amp;","&amp;IF(ISBLANK(H21),"null","'"&amp;H21&amp;"'")&amp;","&amp;IF(ISBLANK(I21),"null","'"&amp;I21&amp;"'")&amp;"),"</f>
        <v>('demo', 'martin@zeitwert.io', '3032', 'Hinterkappelen 3032', 'client',null,null,'chf',null),</v>
      </c>
    </row>
    <row r="22" spans="1:11" x14ac:dyDescent="0.25">
      <c r="A22" t="s">
        <v>4</v>
      </c>
      <c r="B22" s="24" t="s">
        <v>4693</v>
      </c>
      <c r="C22" s="6">
        <v>8335</v>
      </c>
      <c r="D22" t="s">
        <v>49</v>
      </c>
      <c r="E22" t="s">
        <v>27</v>
      </c>
      <c r="H22" t="s">
        <v>28</v>
      </c>
      <c r="K22" t="str">
        <f>"('"&amp;A22&amp;"', '"&amp;B22&amp;"', '"&amp;C22&amp;"', '"&amp;D22&amp;"', "&amp;IF(ISBLANK(E22),"null","'"&amp;E22&amp;"'")&amp;","&amp;IF(ISBLANK(F22),"null","'"&amp;F22&amp;"'")&amp;","&amp;IF(ISBLANK(G22),"null","'"&amp;G22&amp;"'")&amp;","&amp;IF(ISBLANK(H22),"null","'"&amp;H22&amp;"'")&amp;","&amp;IF(ISBLANK(I22),"null","'"&amp;I22&amp;"'")&amp;"),"</f>
        <v>('demo', 'martin@zeitwert.io', '8335', 'Hittnau 8335', 'client',null,null,'chf',null),</v>
      </c>
    </row>
    <row r="23" spans="1:11" x14ac:dyDescent="0.25">
      <c r="A23" t="s">
        <v>4</v>
      </c>
      <c r="B23" s="24" t="s">
        <v>4693</v>
      </c>
      <c r="C23" s="6">
        <v>9216</v>
      </c>
      <c r="D23" t="s">
        <v>63</v>
      </c>
      <c r="E23" t="s">
        <v>27</v>
      </c>
      <c r="H23" t="s">
        <v>28</v>
      </c>
      <c r="K23" t="str">
        <f>"('"&amp;A23&amp;"', '"&amp;B23&amp;"', '"&amp;C23&amp;"', '"&amp;D23&amp;"', "&amp;IF(ISBLANK(E23),"null","'"&amp;E23&amp;"'")&amp;","&amp;IF(ISBLANK(F23),"null","'"&amp;F23&amp;"'")&amp;","&amp;IF(ISBLANK(G23),"null","'"&amp;G23&amp;"'")&amp;","&amp;IF(ISBLANK(H23),"null","'"&amp;H23&amp;"'")&amp;","&amp;IF(ISBLANK(I23),"null","'"&amp;I23&amp;"'")&amp;"),"</f>
        <v>('demo', 'martin@zeitwert.io', '9216', 'Hohentannen 9216', 'client',null,null,'chf',null),</v>
      </c>
    </row>
    <row r="24" spans="1:11" x14ac:dyDescent="0.25">
      <c r="A24" t="s">
        <v>4</v>
      </c>
      <c r="B24" s="24" t="s">
        <v>4693</v>
      </c>
      <c r="C24" s="6">
        <v>4950</v>
      </c>
      <c r="D24" t="s">
        <v>36</v>
      </c>
      <c r="E24" t="s">
        <v>27</v>
      </c>
      <c r="H24" t="s">
        <v>28</v>
      </c>
      <c r="K24" t="str">
        <f>"('"&amp;A24&amp;"', '"&amp;B24&amp;"', '"&amp;C24&amp;"', '"&amp;D24&amp;"', "&amp;IF(ISBLANK(E24),"null","'"&amp;E24&amp;"'")&amp;","&amp;IF(ISBLANK(F24),"null","'"&amp;F24&amp;"'")&amp;","&amp;IF(ISBLANK(G24),"null","'"&amp;G24&amp;"'")&amp;","&amp;IF(ISBLANK(H24),"null","'"&amp;H24&amp;"'")&amp;","&amp;IF(ISBLANK(I24),"null","'"&amp;I24&amp;"'")&amp;"),"</f>
        <v>('demo', 'martin@zeitwert.io', '4950', 'Huttwil 4950', 'client',null,null,'chf',null),</v>
      </c>
    </row>
    <row r="25" spans="1:11" x14ac:dyDescent="0.25">
      <c r="A25" t="s">
        <v>4</v>
      </c>
      <c r="B25" s="24" t="s">
        <v>4693</v>
      </c>
      <c r="C25" s="6">
        <v>4303</v>
      </c>
      <c r="D25" t="s">
        <v>35</v>
      </c>
      <c r="E25" t="s">
        <v>27</v>
      </c>
      <c r="H25" t="s">
        <v>28</v>
      </c>
      <c r="K25" t="str">
        <f>"('"&amp;A25&amp;"', '"&amp;B25&amp;"', '"&amp;C25&amp;"', '"&amp;D25&amp;"', "&amp;IF(ISBLANK(E25),"null","'"&amp;E25&amp;"'")&amp;","&amp;IF(ISBLANK(F25),"null","'"&amp;F25&amp;"'")&amp;","&amp;IF(ISBLANK(G25),"null","'"&amp;G25&amp;"'")&amp;","&amp;IF(ISBLANK(H25),"null","'"&amp;H25&amp;"'")&amp;","&amp;IF(ISBLANK(I25),"null","'"&amp;I25&amp;"'")&amp;"),"</f>
        <v>('demo', 'martin@zeitwert.io', '4303', 'Kaiseraugst 4303', 'client',null,null,'chf',null),</v>
      </c>
    </row>
    <row r="26" spans="1:11" x14ac:dyDescent="0.25">
      <c r="A26" t="s">
        <v>4</v>
      </c>
      <c r="B26" s="24" t="s">
        <v>4693</v>
      </c>
      <c r="C26" s="6">
        <v>7304</v>
      </c>
      <c r="D26" t="s">
        <v>41</v>
      </c>
      <c r="E26" t="s">
        <v>27</v>
      </c>
      <c r="H26" t="s">
        <v>28</v>
      </c>
      <c r="K26" t="str">
        <f>"('"&amp;A26&amp;"', '"&amp;B26&amp;"', '"&amp;C26&amp;"', '"&amp;D26&amp;"', "&amp;IF(ISBLANK(E26),"null","'"&amp;E26&amp;"'")&amp;","&amp;IF(ISBLANK(F26),"null","'"&amp;F26&amp;"'")&amp;","&amp;IF(ISBLANK(G26),"null","'"&amp;G26&amp;"'")&amp;","&amp;IF(ISBLANK(H26),"null","'"&amp;H26&amp;"'")&amp;","&amp;IF(ISBLANK(I26),"null","'"&amp;I26&amp;"'")&amp;"),"</f>
        <v>('demo', 'martin@zeitwert.io', '7304', 'Maienfeld 7304', 'client',null,null,'chf',null),</v>
      </c>
    </row>
    <row r="27" spans="1:11" x14ac:dyDescent="0.25">
      <c r="A27" t="s">
        <v>4</v>
      </c>
      <c r="B27" s="24" t="s">
        <v>4693</v>
      </c>
      <c r="C27" s="6">
        <v>5318</v>
      </c>
      <c r="D27" t="s">
        <v>37</v>
      </c>
      <c r="E27" t="s">
        <v>27</v>
      </c>
      <c r="H27" t="s">
        <v>28</v>
      </c>
      <c r="K27" t="str">
        <f>"('"&amp;A27&amp;"', '"&amp;B27&amp;"', '"&amp;C27&amp;"', '"&amp;D27&amp;"', "&amp;IF(ISBLANK(E27),"null","'"&amp;E27&amp;"'")&amp;","&amp;IF(ISBLANK(F27),"null","'"&amp;F27&amp;"'")&amp;","&amp;IF(ISBLANK(G27),"null","'"&amp;G27&amp;"'")&amp;","&amp;IF(ISBLANK(H27),"null","'"&amp;H27&amp;"'")&amp;","&amp;IF(ISBLANK(I27),"null","'"&amp;I27&amp;"'")&amp;"),"</f>
        <v>('demo', 'martin@zeitwert.io', '5318', 'Mandach 5318', 'client',null,null,'chf',null),</v>
      </c>
    </row>
    <row r="28" spans="1:11" x14ac:dyDescent="0.25">
      <c r="A28" t="s">
        <v>4</v>
      </c>
      <c r="B28" s="24" t="s">
        <v>4693</v>
      </c>
      <c r="C28" s="6">
        <v>3034</v>
      </c>
      <c r="D28" t="s">
        <v>32</v>
      </c>
      <c r="E28" t="s">
        <v>27</v>
      </c>
      <c r="H28" t="s">
        <v>28</v>
      </c>
      <c r="K28" t="str">
        <f>"('"&amp;A28&amp;"', '"&amp;B28&amp;"', '"&amp;C28&amp;"', '"&amp;D28&amp;"', "&amp;IF(ISBLANK(E28),"null","'"&amp;E28&amp;"'")&amp;","&amp;IF(ISBLANK(F28),"null","'"&amp;F28&amp;"'")&amp;","&amp;IF(ISBLANK(G28),"null","'"&amp;G28&amp;"'")&amp;","&amp;IF(ISBLANK(H28),"null","'"&amp;H28&amp;"'")&amp;","&amp;IF(ISBLANK(I28),"null","'"&amp;I28&amp;"'")&amp;"),"</f>
        <v>('demo', 'martin@zeitwert.io', '3034', 'Murzelen 3034', 'client',null,null,'chf',null),</v>
      </c>
    </row>
    <row r="29" spans="1:11" x14ac:dyDescent="0.25">
      <c r="A29" t="s">
        <v>4</v>
      </c>
      <c r="B29" s="24" t="s">
        <v>4693</v>
      </c>
      <c r="C29" s="6">
        <v>1111</v>
      </c>
      <c r="D29" t="s">
        <v>29</v>
      </c>
      <c r="E29" t="s">
        <v>27</v>
      </c>
      <c r="H29" t="s">
        <v>28</v>
      </c>
      <c r="K29" t="str">
        <f>"('"&amp;A29&amp;"', '"&amp;B29&amp;"', '"&amp;C29&amp;"', '"&amp;D29&amp;"', "&amp;IF(ISBLANK(E29),"null","'"&amp;E29&amp;"'")&amp;","&amp;IF(ISBLANK(F29),"null","'"&amp;F29&amp;"'")&amp;","&amp;IF(ISBLANK(G29),"null","'"&amp;G29&amp;"'")&amp;","&amp;IF(ISBLANK(H29),"null","'"&amp;H29&amp;"'")&amp;","&amp;IF(ISBLANK(I29),"null","'"&amp;I29&amp;"'")&amp;"),"</f>
        <v>('demo', 'martin@zeitwert.io', '1111', 'Musterstadt 1111', 'client',null,null,'chf',null),</v>
      </c>
    </row>
    <row r="30" spans="1:11" x14ac:dyDescent="0.25">
      <c r="A30" t="s">
        <v>4</v>
      </c>
      <c r="B30" s="24" t="s">
        <v>4693</v>
      </c>
      <c r="C30" s="6">
        <v>8477</v>
      </c>
      <c r="D30" t="s">
        <v>54</v>
      </c>
      <c r="E30" t="s">
        <v>27</v>
      </c>
      <c r="H30" t="s">
        <v>28</v>
      </c>
      <c r="K30" t="str">
        <f>"('"&amp;A30&amp;"', '"&amp;B30&amp;"', '"&amp;C30&amp;"', '"&amp;D30&amp;"', "&amp;IF(ISBLANK(E30),"null","'"&amp;E30&amp;"'")&amp;","&amp;IF(ISBLANK(F30),"null","'"&amp;F30&amp;"'")&amp;","&amp;IF(ISBLANK(G30),"null","'"&amp;G30&amp;"'")&amp;","&amp;IF(ISBLANK(H30),"null","'"&amp;H30&amp;"'")&amp;","&amp;IF(ISBLANK(I30),"null","'"&amp;I30&amp;"'")&amp;"),"</f>
        <v>('demo', 'martin@zeitwert.io', '8477', 'Oberstammheim 8477', 'client',null,null,'chf',null),</v>
      </c>
    </row>
    <row r="31" spans="1:11" x14ac:dyDescent="0.25">
      <c r="A31" t="s">
        <v>4</v>
      </c>
      <c r="B31" s="24" t="s">
        <v>4693</v>
      </c>
      <c r="C31" s="6">
        <v>8558</v>
      </c>
      <c r="D31" t="s">
        <v>57</v>
      </c>
      <c r="E31" t="s">
        <v>27</v>
      </c>
      <c r="H31" t="s">
        <v>28</v>
      </c>
      <c r="K31" t="str">
        <f>"('"&amp;A31&amp;"', '"&amp;B31&amp;"', '"&amp;C31&amp;"', '"&amp;D31&amp;"', "&amp;IF(ISBLANK(E31),"null","'"&amp;E31&amp;"'")&amp;","&amp;IF(ISBLANK(F31),"null","'"&amp;F31&amp;"'")&amp;","&amp;IF(ISBLANK(G31),"null","'"&amp;G31&amp;"'")&amp;","&amp;IF(ISBLANK(H31),"null","'"&amp;H31&amp;"'")&amp;","&amp;IF(ISBLANK(I31),"null","'"&amp;I31&amp;"'")&amp;"),"</f>
        <v>('demo', 'martin@zeitwert.io', '8558', 'Raperswilen 8558', 'client',null,null,'chf',null),</v>
      </c>
    </row>
    <row r="32" spans="1:11" x14ac:dyDescent="0.25">
      <c r="A32" t="s">
        <v>4</v>
      </c>
      <c r="B32" s="24" t="s">
        <v>4693</v>
      </c>
      <c r="C32">
        <v>9471</v>
      </c>
      <c r="D32" s="7" t="s">
        <v>4089</v>
      </c>
      <c r="E32" t="s">
        <v>27</v>
      </c>
      <c r="H32" t="s">
        <v>28</v>
      </c>
      <c r="K32" t="str">
        <f>"('"&amp;A32&amp;"', '"&amp;B32&amp;"', '"&amp;C32&amp;"', '"&amp;D32&amp;"', "&amp;IF(ISBLANK(E32),"null","'"&amp;E32&amp;"'")&amp;","&amp;IF(ISBLANK(F32),"null","'"&amp;F32&amp;"'")&amp;","&amp;IF(ISBLANK(G32),"null","'"&amp;G32&amp;"'")&amp;","&amp;IF(ISBLANK(H32),"null","'"&amp;H32&amp;"'")&amp;","&amp;IF(ISBLANK(I32),"null","'"&amp;I32&amp;"'")&amp;"),"</f>
        <v>('demo', 'martin@zeitwert.io', '9471', 'Rheinau SG 9471', 'client',null,null,'chf',null),</v>
      </c>
    </row>
    <row r="33" spans="1:11" x14ac:dyDescent="0.25">
      <c r="A33" t="s">
        <v>4</v>
      </c>
      <c r="B33" s="24" t="s">
        <v>4693</v>
      </c>
      <c r="C33" s="6">
        <v>8153</v>
      </c>
      <c r="D33" t="s">
        <v>45</v>
      </c>
      <c r="E33" t="s">
        <v>27</v>
      </c>
      <c r="H33" t="s">
        <v>28</v>
      </c>
      <c r="K33" t="str">
        <f>"('"&amp;A33&amp;"', '"&amp;B33&amp;"', '"&amp;C33&amp;"', '"&amp;D33&amp;"', "&amp;IF(ISBLANK(E33),"null","'"&amp;E33&amp;"'")&amp;","&amp;IF(ISBLANK(F33),"null","'"&amp;F33&amp;"'")&amp;","&amp;IF(ISBLANK(G33),"null","'"&amp;G33&amp;"'")&amp;","&amp;IF(ISBLANK(H33),"null","'"&amp;H33&amp;"'")&amp;","&amp;IF(ISBLANK(I33),"null","'"&amp;I33&amp;"'")&amp;"),"</f>
        <v>('demo', 'martin@zeitwert.io', '8153', 'Rümlang 8153', 'client',null,null,'chf',null),</v>
      </c>
    </row>
    <row r="34" spans="1:11" x14ac:dyDescent="0.25">
      <c r="A34" t="s">
        <v>4</v>
      </c>
      <c r="B34" s="24" t="s">
        <v>4693</v>
      </c>
      <c r="C34" s="6">
        <v>3049</v>
      </c>
      <c r="D34" t="s">
        <v>34</v>
      </c>
      <c r="E34" t="s">
        <v>27</v>
      </c>
      <c r="H34" t="s">
        <v>28</v>
      </c>
      <c r="K34" t="str">
        <f>"('"&amp;A34&amp;"', '"&amp;B34&amp;"', '"&amp;C34&amp;"', '"&amp;D34&amp;"', "&amp;IF(ISBLANK(E34),"null","'"&amp;E34&amp;"'")&amp;","&amp;IF(ISBLANK(F34),"null","'"&amp;F34&amp;"'")&amp;","&amp;IF(ISBLANK(G34),"null","'"&amp;G34&amp;"'")&amp;","&amp;IF(ISBLANK(H34),"null","'"&amp;H34&amp;"'")&amp;","&amp;IF(ISBLANK(I34),"null","'"&amp;I34&amp;"'")&amp;"),"</f>
        <v>('demo', 'martin@zeitwert.io', '3049', 'Säriswil 3049', 'client',null,null,'chf',null),</v>
      </c>
    </row>
    <row r="35" spans="1:11" x14ac:dyDescent="0.25">
      <c r="A35" t="s">
        <v>4</v>
      </c>
      <c r="B35" s="24" t="s">
        <v>4693</v>
      </c>
      <c r="C35" s="6">
        <v>8255</v>
      </c>
      <c r="D35" t="s">
        <v>47</v>
      </c>
      <c r="E35" t="s">
        <v>27</v>
      </c>
      <c r="H35" t="s">
        <v>28</v>
      </c>
      <c r="K35" t="str">
        <f>"('"&amp;A35&amp;"', '"&amp;B35&amp;"', '"&amp;C35&amp;"', '"&amp;D35&amp;"', "&amp;IF(ISBLANK(E35),"null","'"&amp;E35&amp;"'")&amp;","&amp;IF(ISBLANK(F35),"null","'"&amp;F35&amp;"'")&amp;","&amp;IF(ISBLANK(G35),"null","'"&amp;G35&amp;"'")&amp;","&amp;IF(ISBLANK(H35),"null","'"&amp;H35&amp;"'")&amp;","&amp;IF(ISBLANK(I35),"null","'"&amp;I35&amp;"'")&amp;"),"</f>
        <v>('demo', 'martin@zeitwert.io', '8255', 'Schlattingen 8255', 'client',null,null,'chf',null),</v>
      </c>
    </row>
    <row r="36" spans="1:11" x14ac:dyDescent="0.25">
      <c r="A36" t="s">
        <v>4</v>
      </c>
      <c r="B36" s="24" t="s">
        <v>4693</v>
      </c>
      <c r="C36" s="6">
        <v>5425</v>
      </c>
      <c r="D36" t="s">
        <v>38</v>
      </c>
      <c r="E36" t="s">
        <v>27</v>
      </c>
      <c r="H36" t="s">
        <v>28</v>
      </c>
      <c r="K36" t="str">
        <f>"('"&amp;A36&amp;"', '"&amp;B36&amp;"', '"&amp;C36&amp;"', '"&amp;D36&amp;"', "&amp;IF(ISBLANK(E36),"null","'"&amp;E36&amp;"'")&amp;","&amp;IF(ISBLANK(F36),"null","'"&amp;F36&amp;"'")&amp;","&amp;IF(ISBLANK(G36),"null","'"&amp;G36&amp;"'")&amp;","&amp;IF(ISBLANK(H36),"null","'"&amp;H36&amp;"'")&amp;","&amp;IF(ISBLANK(I36),"null","'"&amp;I36&amp;"'")&amp;"),"</f>
        <v>('demo', 'martin@zeitwert.io', '5425', 'Schneisingen 5425', 'client',null,null,'chf',null),</v>
      </c>
    </row>
    <row r="37" spans="1:11" x14ac:dyDescent="0.25">
      <c r="A37" t="s">
        <v>4</v>
      </c>
      <c r="B37" s="24" t="s">
        <v>4693</v>
      </c>
      <c r="C37" s="6">
        <v>9223</v>
      </c>
      <c r="D37" t="s">
        <v>67</v>
      </c>
      <c r="E37" t="s">
        <v>27</v>
      </c>
      <c r="H37" t="s">
        <v>28</v>
      </c>
      <c r="K37" t="str">
        <f>"('"&amp;A37&amp;"', '"&amp;B37&amp;"', '"&amp;C37&amp;"', '"&amp;D37&amp;"', "&amp;IF(ISBLANK(E37),"null","'"&amp;E37&amp;"'")&amp;","&amp;IF(ISBLANK(F37),"null","'"&amp;F37&amp;"'")&amp;","&amp;IF(ISBLANK(G37),"null","'"&amp;G37&amp;"'")&amp;","&amp;IF(ISBLANK(H37),"null","'"&amp;H37&amp;"'")&amp;","&amp;IF(ISBLANK(I37),"null","'"&amp;I37&amp;"'")&amp;"),"</f>
        <v>('demo', 'martin@zeitwert.io', '9223', 'Schweizersholz 9223', 'client',null,null,'chf',null),</v>
      </c>
    </row>
    <row r="38" spans="1:11" x14ac:dyDescent="0.25">
      <c r="A38" t="s">
        <v>4</v>
      </c>
      <c r="B38" s="24" t="s">
        <v>4693</v>
      </c>
      <c r="C38" s="6">
        <v>8589</v>
      </c>
      <c r="D38" t="s">
        <v>60</v>
      </c>
      <c r="E38" t="s">
        <v>27</v>
      </c>
      <c r="H38" t="s">
        <v>28</v>
      </c>
      <c r="K38" t="str">
        <f>"('"&amp;A38&amp;"', '"&amp;B38&amp;"', '"&amp;C38&amp;"', '"&amp;D38&amp;"', "&amp;IF(ISBLANK(E38),"null","'"&amp;E38&amp;"'")&amp;","&amp;IF(ISBLANK(F38),"null","'"&amp;F38&amp;"'")&amp;","&amp;IF(ISBLANK(G38),"null","'"&amp;G38&amp;"'")&amp;","&amp;IF(ISBLANK(H38),"null","'"&amp;H38&amp;"'")&amp;","&amp;IF(ISBLANK(I38),"null","'"&amp;I38&amp;"'")&amp;"),"</f>
        <v>('demo', 'martin@zeitwert.io', '8589', 'Sitterdorf 8589', 'client',null,null,'chf',null),</v>
      </c>
    </row>
    <row r="39" spans="1:11" x14ac:dyDescent="0.25">
      <c r="A39" t="s">
        <v>4</v>
      </c>
      <c r="B39" s="24" t="s">
        <v>4693</v>
      </c>
      <c r="C39" s="6">
        <v>8564</v>
      </c>
      <c r="D39" t="s">
        <v>58</v>
      </c>
      <c r="E39" t="s">
        <v>27</v>
      </c>
      <c r="H39" t="s">
        <v>28</v>
      </c>
      <c r="K39" t="str">
        <f>"('"&amp;A39&amp;"', '"&amp;B39&amp;"', '"&amp;C39&amp;"', '"&amp;D39&amp;"', "&amp;IF(ISBLANK(E39),"null","'"&amp;E39&amp;"'")&amp;","&amp;IF(ISBLANK(F39),"null","'"&amp;F39&amp;"'")&amp;","&amp;IF(ISBLANK(G39),"null","'"&amp;G39&amp;"'")&amp;","&amp;IF(ISBLANK(H39),"null","'"&amp;H39&amp;"'")&amp;","&amp;IF(ISBLANK(I39),"null","'"&amp;I39&amp;"'")&amp;"),"</f>
        <v>('demo', 'martin@zeitwert.io', '8564', 'Sonterswil 8564', 'client',null,null,'chf',null),</v>
      </c>
    </row>
    <row r="40" spans="1:11" x14ac:dyDescent="0.25">
      <c r="A40" t="s">
        <v>4</v>
      </c>
      <c r="B40" s="24" t="s">
        <v>4693</v>
      </c>
      <c r="C40" s="6">
        <v>8266</v>
      </c>
      <c r="D40" t="s">
        <v>48</v>
      </c>
      <c r="E40" t="s">
        <v>27</v>
      </c>
      <c r="H40" t="s">
        <v>28</v>
      </c>
      <c r="K40" t="str">
        <f>"('"&amp;A40&amp;"', '"&amp;B40&amp;"', '"&amp;C40&amp;"', '"&amp;D40&amp;"', "&amp;IF(ISBLANK(E40),"null","'"&amp;E40&amp;"'")&amp;","&amp;IF(ISBLANK(F40),"null","'"&amp;F40&amp;"'")&amp;","&amp;IF(ISBLANK(G40),"null","'"&amp;G40&amp;"'")&amp;","&amp;IF(ISBLANK(H40),"null","'"&amp;H40&amp;"'")&amp;","&amp;IF(ISBLANK(I40),"null","'"&amp;I40&amp;"'")&amp;"),"</f>
        <v>('demo', 'martin@zeitwert.io', '8266', 'Steckborn 8266', 'client',null,null,'chf',null),</v>
      </c>
    </row>
    <row r="41" spans="1:11" x14ac:dyDescent="0.25">
      <c r="A41" t="s">
        <v>4</v>
      </c>
      <c r="B41" s="24" t="s">
        <v>4693</v>
      </c>
      <c r="C41" s="6">
        <v>3043</v>
      </c>
      <c r="D41" t="s">
        <v>33</v>
      </c>
      <c r="E41" t="s">
        <v>27</v>
      </c>
      <c r="H41" t="s">
        <v>28</v>
      </c>
      <c r="K41" t="str">
        <f>"('"&amp;A41&amp;"', '"&amp;B41&amp;"', '"&amp;C41&amp;"', '"&amp;D41&amp;"', "&amp;IF(ISBLANK(E41),"null","'"&amp;E41&amp;"'")&amp;","&amp;IF(ISBLANK(F41),"null","'"&amp;F41&amp;"'")&amp;","&amp;IF(ISBLANK(G41),"null","'"&amp;G41&amp;"'")&amp;","&amp;IF(ISBLANK(H41),"null","'"&amp;H41&amp;"'")&amp;","&amp;IF(ISBLANK(I41),"null","'"&amp;I41&amp;"'")&amp;"),"</f>
        <v>('demo', 'martin@zeitwert.io', '3043', 'Uettligen 3043', 'client',null,null,'chf',null),</v>
      </c>
    </row>
    <row r="42" spans="1:11" x14ac:dyDescent="0.25">
      <c r="A42" t="s">
        <v>4</v>
      </c>
      <c r="B42" s="24" t="s">
        <v>4693</v>
      </c>
      <c r="C42" s="6">
        <v>8476</v>
      </c>
      <c r="D42" t="s">
        <v>53</v>
      </c>
      <c r="E42" t="s">
        <v>27</v>
      </c>
      <c r="H42" t="s">
        <v>28</v>
      </c>
      <c r="K42" t="str">
        <f>"('"&amp;A42&amp;"', '"&amp;B42&amp;"', '"&amp;C42&amp;"', '"&amp;D42&amp;"', "&amp;IF(ISBLANK(E42),"null","'"&amp;E42&amp;"'")&amp;","&amp;IF(ISBLANK(F42),"null","'"&amp;F42&amp;"'")&amp;","&amp;IF(ISBLANK(G42),"null","'"&amp;G42&amp;"'")&amp;","&amp;IF(ISBLANK(H42),"null","'"&amp;H42&amp;"'")&amp;","&amp;IF(ISBLANK(I42),"null","'"&amp;I42&amp;"'")&amp;"),"</f>
        <v>('demo', 'martin@zeitwert.io', '8476', 'Unterstammheim 8476', 'client',null,null,'chf',null),</v>
      </c>
    </row>
    <row r="43" spans="1:11" x14ac:dyDescent="0.25">
      <c r="A43" t="s">
        <v>4</v>
      </c>
      <c r="B43" s="24" t="s">
        <v>4693</v>
      </c>
      <c r="C43" s="6">
        <v>8468</v>
      </c>
      <c r="D43" t="s">
        <v>52</v>
      </c>
      <c r="E43" t="s">
        <v>27</v>
      </c>
      <c r="H43" t="s">
        <v>28</v>
      </c>
      <c r="K43" t="str">
        <f>"('"&amp;A43&amp;"', '"&amp;B43&amp;"', '"&amp;C43&amp;"', '"&amp;D43&amp;"', "&amp;IF(ISBLANK(E43),"null","'"&amp;E43&amp;"'")&amp;","&amp;IF(ISBLANK(F43),"null","'"&amp;F43&amp;"'")&amp;","&amp;IF(ISBLANK(G43),"null","'"&amp;G43&amp;"'")&amp;","&amp;IF(ISBLANK(H43),"null","'"&amp;H43&amp;"'")&amp;","&amp;IF(ISBLANK(I43),"null","'"&amp;I43&amp;"'")&amp;"),"</f>
        <v>('demo', 'martin@zeitwert.io', '8468', 'Waltalingen 8468', 'client',null,null,'chf',null),</v>
      </c>
    </row>
    <row r="44" spans="1:11" x14ac:dyDescent="0.25">
      <c r="A44" t="s">
        <v>4</v>
      </c>
      <c r="B44" s="24" t="s">
        <v>4693</v>
      </c>
      <c r="C44" s="6">
        <v>8104</v>
      </c>
      <c r="D44" t="s">
        <v>44</v>
      </c>
      <c r="E44" t="s">
        <v>27</v>
      </c>
      <c r="H44" t="s">
        <v>28</v>
      </c>
      <c r="K44" t="str">
        <f>"('"&amp;A44&amp;"', '"&amp;B44&amp;"', '"&amp;C44&amp;"', '"&amp;D44&amp;"', "&amp;IF(ISBLANK(E44),"null","'"&amp;E44&amp;"'")&amp;","&amp;IF(ISBLANK(F44),"null","'"&amp;F44&amp;"'")&amp;","&amp;IF(ISBLANK(G44),"null","'"&amp;G44&amp;"'")&amp;","&amp;IF(ISBLANK(H44),"null","'"&amp;H44&amp;"'")&amp;","&amp;IF(ISBLANK(I44),"null","'"&amp;I44&amp;"'")&amp;"),"</f>
        <v>('demo', 'martin@zeitwert.io', '8104', 'Weiningen 8104', 'client',null,null,'chf',null),</v>
      </c>
    </row>
    <row r="45" spans="1:11" x14ac:dyDescent="0.25">
      <c r="A45" t="s">
        <v>4</v>
      </c>
      <c r="B45" s="24" t="s">
        <v>4693</v>
      </c>
      <c r="C45" s="6">
        <v>8620</v>
      </c>
      <c r="D45" t="s">
        <v>61</v>
      </c>
      <c r="E45" t="s">
        <v>27</v>
      </c>
      <c r="H45" t="s">
        <v>28</v>
      </c>
      <c r="K45" t="str">
        <f>"('"&amp;A45&amp;"', '"&amp;B45&amp;"', '"&amp;C45&amp;"', '"&amp;D45&amp;"', "&amp;IF(ISBLANK(E45),"null","'"&amp;E45&amp;"'")&amp;","&amp;IF(ISBLANK(F45),"null","'"&amp;F45&amp;"'")&amp;","&amp;IF(ISBLANK(G45),"null","'"&amp;G45&amp;"'")&amp;","&amp;IF(ISBLANK(H45),"null","'"&amp;H45&amp;"'")&amp;","&amp;IF(ISBLANK(I45),"null","'"&amp;I45&amp;"'")&amp;"),"</f>
        <v>('demo', 'martin@zeitwert.io', '8620', 'Wetzikon 8620', 'client',null,null,'chf',null),</v>
      </c>
    </row>
    <row r="46" spans="1:11" x14ac:dyDescent="0.25">
      <c r="A46" t="s">
        <v>4</v>
      </c>
      <c r="B46" s="24" t="s">
        <v>4693</v>
      </c>
      <c r="C46" s="6">
        <v>8556</v>
      </c>
      <c r="D46" t="s">
        <v>56</v>
      </c>
      <c r="E46" t="s">
        <v>27</v>
      </c>
      <c r="H46" t="s">
        <v>28</v>
      </c>
      <c r="K46" t="str">
        <f>"('"&amp;A46&amp;"', '"&amp;B46&amp;"', '"&amp;C46&amp;"', '"&amp;D46&amp;"', "&amp;IF(ISBLANK(E46),"null","'"&amp;E46&amp;"'")&amp;","&amp;IF(ISBLANK(F46),"null","'"&amp;F46&amp;"'")&amp;","&amp;IF(ISBLANK(G46),"null","'"&amp;G46&amp;"'")&amp;","&amp;IF(ISBLANK(H46),"null","'"&amp;H46&amp;"'")&amp;","&amp;IF(ISBLANK(I46),"null","'"&amp;I46&amp;"'")&amp;"),"</f>
        <v>('demo', 'martin@zeitwert.io', '8556', 'Wigoltingen 8556', 'client',null,null,'chf',null),</v>
      </c>
    </row>
    <row r="47" spans="1:11" x14ac:dyDescent="0.25">
      <c r="A47" t="s">
        <v>4</v>
      </c>
      <c r="B47" s="24" t="s">
        <v>4693</v>
      </c>
      <c r="C47" s="6">
        <v>8556</v>
      </c>
      <c r="D47" t="s">
        <v>56</v>
      </c>
      <c r="E47" t="s">
        <v>27</v>
      </c>
      <c r="H47" t="s">
        <v>28</v>
      </c>
      <c r="K47" t="str">
        <f>"('"&amp;A47&amp;"', '"&amp;B47&amp;"', '"&amp;C47&amp;"', '"&amp;D47&amp;"', "&amp;IF(ISBLANK(E47),"null","'"&amp;E47&amp;"'")&amp;","&amp;IF(ISBLANK(F47),"null","'"&amp;F47&amp;"'")&amp;","&amp;IF(ISBLANK(G47),"null","'"&amp;G47&amp;"'")&amp;","&amp;IF(ISBLANK(H47),"null","'"&amp;H47&amp;"'")&amp;","&amp;IF(ISBLANK(I47),"null","'"&amp;I47&amp;"'")&amp;"),"</f>
        <v>('demo', 'martin@zeitwert.io', '8556', 'Wigoltingen 8556', 'client',null,null,'chf',null),</v>
      </c>
    </row>
    <row r="48" spans="1:11" x14ac:dyDescent="0.25">
      <c r="A48" t="s">
        <v>4</v>
      </c>
      <c r="B48" s="24" t="s">
        <v>4693</v>
      </c>
      <c r="C48" s="6">
        <v>3033</v>
      </c>
      <c r="D48" t="s">
        <v>31</v>
      </c>
      <c r="E48" t="s">
        <v>27</v>
      </c>
      <c r="H48" t="s">
        <v>28</v>
      </c>
      <c r="K48" t="str">
        <f>"('"&amp;A48&amp;"', '"&amp;B48&amp;"', '"&amp;C48&amp;"', '"&amp;D48&amp;"', "&amp;IF(ISBLANK(E48),"null","'"&amp;E48&amp;"'")&amp;","&amp;IF(ISBLANK(F48),"null","'"&amp;F48&amp;"'")&amp;","&amp;IF(ISBLANK(G48),"null","'"&amp;G48&amp;"'")&amp;","&amp;IF(ISBLANK(H48),"null","'"&amp;H48&amp;"'")&amp;","&amp;IF(ISBLANK(I48),"null","'"&amp;I48&amp;"'")&amp;"),"</f>
        <v>('demo', 'martin@zeitwert.io', '3033', 'Wohlen 3033', 'client',null,null,'chf',null),</v>
      </c>
    </row>
    <row r="49" spans="1:11" x14ac:dyDescent="0.25">
      <c r="A49" t="s">
        <v>4</v>
      </c>
      <c r="B49" s="24" t="s">
        <v>4693</v>
      </c>
      <c r="C49" s="6">
        <v>8588</v>
      </c>
      <c r="D49" t="s">
        <v>59</v>
      </c>
      <c r="E49" t="s">
        <v>27</v>
      </c>
      <c r="H49" t="s">
        <v>28</v>
      </c>
      <c r="K49" t="str">
        <f>"('"&amp;A49&amp;"', '"&amp;B49&amp;"', '"&amp;C49&amp;"', '"&amp;D49&amp;"', "&amp;IF(ISBLANK(E49),"null","'"&amp;E49&amp;"'")&amp;","&amp;IF(ISBLANK(F49),"null","'"&amp;F49&amp;"'")&amp;","&amp;IF(ISBLANK(G49),"null","'"&amp;G49&amp;"'")&amp;","&amp;IF(ISBLANK(H49),"null","'"&amp;H49&amp;"'")&amp;","&amp;IF(ISBLANK(I49),"null","'"&amp;I49&amp;"'")&amp;"),"</f>
        <v>('demo', 'martin@zeitwert.io', '8588', 'Zihlschlacht 8588', 'client',null,null,'chf',null),</v>
      </c>
    </row>
    <row r="50" spans="1:11" x14ac:dyDescent="0.25">
      <c r="A50" t="s">
        <v>4</v>
      </c>
      <c r="B50" s="24" t="s">
        <v>4693</v>
      </c>
      <c r="C50" s="6">
        <v>8006</v>
      </c>
      <c r="D50" t="s">
        <v>42</v>
      </c>
      <c r="E50" t="s">
        <v>27</v>
      </c>
      <c r="H50" t="s">
        <v>28</v>
      </c>
      <c r="K50" t="str">
        <f>"('"&amp;A50&amp;"', '"&amp;B50&amp;"', '"&amp;C50&amp;"', '"&amp;D50&amp;"', "&amp;IF(ISBLANK(E50),"null","'"&amp;E50&amp;"'")&amp;","&amp;IF(ISBLANK(F50),"null","'"&amp;F50&amp;"'")&amp;","&amp;IF(ISBLANK(G50),"null","'"&amp;G50&amp;"'")&amp;","&amp;IF(ISBLANK(H50),"null","'"&amp;H50&amp;"'")&amp;","&amp;IF(ISBLANK(I50),"null","'"&amp;I50&amp;"'")&amp;"),"</f>
        <v>('demo', 'martin@zeitwert.io', '8006', 'Zürich 8006', 'client',null,null,'chf',null),</v>
      </c>
    </row>
    <row r="51" spans="1:11" x14ac:dyDescent="0.25">
      <c r="A51" t="s">
        <v>4</v>
      </c>
      <c r="B51" s="24" t="s">
        <v>4693</v>
      </c>
      <c r="C51" s="6">
        <v>8022</v>
      </c>
      <c r="D51" t="s">
        <v>43</v>
      </c>
      <c r="E51" t="s">
        <v>27</v>
      </c>
      <c r="H51" t="s">
        <v>28</v>
      </c>
      <c r="K51" t="str">
        <f>"('"&amp;A51&amp;"', '"&amp;B51&amp;"', '"&amp;C51&amp;"', '"&amp;D51&amp;"', "&amp;IF(ISBLANK(E51),"null","'"&amp;E51&amp;"'")&amp;","&amp;IF(ISBLANK(F51),"null","'"&amp;F51&amp;"'")&amp;","&amp;IF(ISBLANK(G51),"null","'"&amp;G51&amp;"'")&amp;","&amp;IF(ISBLANK(H51),"null","'"&amp;H51&amp;"'")&amp;","&amp;IF(ISBLANK(I51),"null","'"&amp;I51&amp;"'")&amp;"),"</f>
        <v>('demo', 'martin@zeitwert.io', '8022', 'Zürich 8022', 'client',null,null,'chf',null),</v>
      </c>
    </row>
    <row r="54" spans="1:11" x14ac:dyDescent="0.25">
      <c r="B54" s="8"/>
    </row>
  </sheetData>
  <sortState xmlns:xlrd2="http://schemas.microsoft.com/office/spreadsheetml/2017/richdata2" ref="A2:K55">
    <sortCondition ref="A2:A55"/>
    <sortCondition ref="D2:D55"/>
  </sortState>
  <hyperlinks>
    <hyperlink ref="B2" r:id="rId1" xr:uid="{00000000-0004-0000-0200-00000A000000}"/>
    <hyperlink ref="B8" r:id="rId2" xr:uid="{00000000-0004-0000-0200-000015000000}"/>
    <hyperlink ref="B3:B5" r:id="rId3" display="martin@comunas.ch" xr:uid="{AB3DB3D6-78D0-4539-8D74-D20069BB1625}"/>
    <hyperlink ref="B9:B51" r:id="rId4" display="martin@zeitwert.io" xr:uid="{21EDF9BF-4735-4827-BF19-7741AADF003D}"/>
    <hyperlink ref="B6" r:id="rId5" xr:uid="{535440DE-09C6-422D-9D2D-862F4EABEC2F}"/>
    <hyperlink ref="B7" r:id="rId6" xr:uid="{0BE66673-DA89-490C-A69F-D65363503446}"/>
  </hyperlinks>
  <pageMargins left="0.7" right="0.7" top="0.78749999999999998" bottom="0.78749999999999998" header="0.51180555555555496" footer="0.51180555555555496"/>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2"/>
  <sheetViews>
    <sheetView zoomScaleNormal="100" workbookViewId="0">
      <selection activeCell="W2" sqref="W2"/>
    </sheetView>
  </sheetViews>
  <sheetFormatPr defaultColWidth="10.85546875" defaultRowHeight="15" x14ac:dyDescent="0.25"/>
  <cols>
    <col min="1" max="1" width="6.85546875" customWidth="1"/>
    <col min="2" max="2" width="19.85546875" customWidth="1"/>
    <col min="3" max="3" width="10.42578125" customWidth="1"/>
    <col min="4" max="4" width="5.140625" customWidth="1"/>
    <col min="5" max="5" width="7.85546875" customWidth="1"/>
    <col min="6" max="6" width="19.42578125" customWidth="1"/>
    <col min="7" max="7" width="14.7109375" customWidth="1"/>
    <col min="8" max="8" width="12.5703125" customWidth="1"/>
    <col min="9" max="9" width="7.42578125" customWidth="1"/>
    <col min="10" max="10" width="10.5703125" customWidth="1"/>
    <col min="11" max="11" width="13.7109375" customWidth="1"/>
    <col min="12" max="12" width="22" customWidth="1"/>
    <col min="13" max="13" width="6.7109375" customWidth="1"/>
    <col min="14" max="14" width="12.28515625" customWidth="1"/>
    <col min="15" max="15" width="34.140625" customWidth="1"/>
    <col min="16" max="16" width="18.140625" customWidth="1"/>
    <col min="17" max="17" width="5" customWidth="1"/>
    <col min="18" max="18" width="6.5703125" customWidth="1"/>
    <col min="19" max="19" width="5.42578125" customWidth="1"/>
    <col min="20" max="20" width="10.42578125" customWidth="1"/>
    <col min="21" max="21" width="8.140625" customWidth="1"/>
    <col min="23" max="23" width="202.85546875" customWidth="1"/>
  </cols>
  <sheetData>
    <row r="1" spans="1:23" x14ac:dyDescent="0.25">
      <c r="A1" s="1" t="s">
        <v>7</v>
      </c>
      <c r="B1" s="1" t="s">
        <v>21</v>
      </c>
      <c r="C1" s="1" t="s">
        <v>71</v>
      </c>
      <c r="D1" s="1" t="s">
        <v>0</v>
      </c>
      <c r="E1" s="1" t="s">
        <v>72</v>
      </c>
      <c r="F1" s="1" t="s">
        <v>1</v>
      </c>
      <c r="G1" s="1" t="s">
        <v>73</v>
      </c>
      <c r="H1" s="1" t="s">
        <v>74</v>
      </c>
      <c r="I1" s="1" t="s">
        <v>75</v>
      </c>
      <c r="J1" s="1" t="s">
        <v>76</v>
      </c>
      <c r="K1" s="1" t="s">
        <v>77</v>
      </c>
      <c r="L1" s="1" t="s">
        <v>78</v>
      </c>
      <c r="M1" s="1" t="s">
        <v>79</v>
      </c>
      <c r="N1" s="1" t="s">
        <v>80</v>
      </c>
      <c r="O1" s="1" t="s">
        <v>9</v>
      </c>
      <c r="P1" s="1" t="s">
        <v>81</v>
      </c>
      <c r="Q1" s="1" t="s">
        <v>82</v>
      </c>
      <c r="R1" s="1" t="s">
        <v>83</v>
      </c>
      <c r="S1" s="1" t="s">
        <v>84</v>
      </c>
      <c r="T1" s="1" t="s">
        <v>85</v>
      </c>
      <c r="U1" s="1" t="s">
        <v>98</v>
      </c>
      <c r="W1" t="s">
        <v>4082</v>
      </c>
    </row>
    <row r="2" spans="1:23" x14ac:dyDescent="0.25">
      <c r="G2" s="10"/>
    </row>
  </sheetData>
  <pageMargins left="0.7" right="0.7" top="0.78749999999999998" bottom="0.78749999999999998" header="0.51180555555555496" footer="0.51180555555555496"/>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0"/>
  <sheetViews>
    <sheetView zoomScaleNormal="100" workbookViewId="0">
      <selection activeCell="A2" sqref="A2"/>
    </sheetView>
  </sheetViews>
  <sheetFormatPr defaultColWidth="10.85546875" defaultRowHeight="15" x14ac:dyDescent="0.25"/>
  <cols>
    <col min="1" max="1" width="6.85546875" customWidth="1"/>
    <col min="2" max="2" width="19.85546875" customWidth="1"/>
    <col min="3" max="3" width="27.28515625" customWidth="1"/>
    <col min="4" max="4" width="34.5703125" customWidth="1"/>
    <col min="5" max="5" width="11" customWidth="1"/>
    <col min="6" max="6" width="13.5703125" customWidth="1"/>
    <col min="7" max="7" width="17.85546875" customWidth="1"/>
    <col min="8" max="8" width="21.5703125" customWidth="1"/>
    <col min="9" max="9" width="19.140625" customWidth="1"/>
    <col min="10" max="10" width="28.7109375" customWidth="1"/>
    <col min="11" max="11" width="21.7109375" customWidth="1"/>
    <col min="12" max="12" width="22.85546875" customWidth="1"/>
    <col min="13" max="13" width="73.140625" customWidth="1"/>
    <col min="14" max="14" width="16.28515625" customWidth="1"/>
    <col min="15" max="15" width="24.140625" customWidth="1"/>
    <col min="16" max="17" width="26.7109375" customWidth="1"/>
    <col min="19" max="19" width="13.140625" customWidth="1"/>
  </cols>
  <sheetData>
    <row r="1" spans="1:20" x14ac:dyDescent="0.25">
      <c r="A1" s="1" t="s">
        <v>7</v>
      </c>
      <c r="B1" s="1" t="s">
        <v>21</v>
      </c>
      <c r="C1" s="1" t="s">
        <v>0</v>
      </c>
      <c r="D1" s="1" t="s">
        <v>1</v>
      </c>
      <c r="E1" s="1" t="s">
        <v>98</v>
      </c>
      <c r="F1" s="1" t="s">
        <v>99</v>
      </c>
      <c r="G1" s="1" t="s">
        <v>100</v>
      </c>
      <c r="H1" s="1" t="s">
        <v>101</v>
      </c>
      <c r="I1" s="1" t="s">
        <v>102</v>
      </c>
      <c r="J1" s="1" t="s">
        <v>103</v>
      </c>
      <c r="K1" s="1" t="s">
        <v>104</v>
      </c>
      <c r="L1" s="1" t="s">
        <v>105</v>
      </c>
      <c r="M1" s="1" t="s">
        <v>106</v>
      </c>
      <c r="N1" s="1" t="s">
        <v>107</v>
      </c>
      <c r="O1" s="1" t="s">
        <v>108</v>
      </c>
      <c r="P1" s="1" t="s">
        <v>109</v>
      </c>
      <c r="Q1" s="1" t="s">
        <v>110</v>
      </c>
      <c r="R1" s="1" t="s">
        <v>111</v>
      </c>
      <c r="T1" t="s">
        <v>112</v>
      </c>
    </row>
    <row r="2" spans="1:20" x14ac:dyDescent="0.25">
      <c r="A2" t="s">
        <v>4</v>
      </c>
      <c r="B2" t="s">
        <v>16</v>
      </c>
      <c r="C2" t="s">
        <v>113</v>
      </c>
      <c r="D2" t="s">
        <v>114</v>
      </c>
      <c r="G2" t="s">
        <v>115</v>
      </c>
      <c r="H2" t="s">
        <v>116</v>
      </c>
      <c r="I2" t="s">
        <v>117</v>
      </c>
      <c r="J2" t="s">
        <v>118</v>
      </c>
      <c r="M2" t="s">
        <v>119</v>
      </c>
      <c r="Q2" t="s">
        <v>120</v>
      </c>
      <c r="T2" t="str">
        <f t="shared" ref="T2:T20" si="0">"('"&amp;A2&amp;"', '"&amp;B2&amp;"', '"&amp;C2&amp;"', '"&amp;D2&amp;"', "&amp;IF(ISBLANK(E2),"null","'"&amp;E2&amp;"'")&amp;","&amp;IF(ISBLANK(F2),"null","'"&amp;F2&amp;"'")&amp;","&amp;IF(ISBLANK(G2),"null","'"&amp;G2&amp;"'")&amp;","&amp;IF(ISBLANK(H2),"null","'"&amp;H2&amp;"'")&amp;","&amp;IF(ISBLANK(I2),"null","'"&amp;I2&amp;"'")&amp;","&amp;IF(ISBLANK(J2),"null","'"&amp;J2&amp;"'")&amp;","&amp;IF(ISBLANK(K2),"null","'"&amp;K2&amp;"'")&amp;","&amp;IF(ISBLANK(L2),"null","'"&amp;L2&amp;"'")&amp;","&amp;IF(ISBLANK(M2),"null","'"&amp;M2&amp;"'")&amp;","&amp;IF(ISBLANK(N2),"null","'"&amp;N2&amp;"'")&amp;","&amp;IF(ISBLANK(O2),"null","'"&amp;O2&amp;"'")&amp;","&amp;IF(ISBLANK(P2),"null","'"&amp;P2&amp;"'")&amp;","&amp;IF(ISBLANK(Q2),"null","'"&amp;Q2&amp;"'")&amp;","&amp;IF(ISBLANK(R2),"null","'"&amp;R2&amp;"'")&amp;"),"</f>
        <v>('demo', 'advisor@finadvise.io', 'company.solutions', 'Investment Solutions', null,null,'standalone','marketing','readonly.done','private',null,null,'https://eligamo.bitbucket.io/demo/std/info_investmentSolution.pdf',null,null,null,'pdf',null),</v>
      </c>
    </row>
    <row r="3" spans="1:20" x14ac:dyDescent="0.25">
      <c r="A3" t="s">
        <v>4</v>
      </c>
      <c r="B3" t="s">
        <v>16</v>
      </c>
      <c r="C3" t="s">
        <v>121</v>
      </c>
      <c r="D3" t="s">
        <v>122</v>
      </c>
      <c r="G3" t="s">
        <v>115</v>
      </c>
      <c r="H3" t="s">
        <v>116</v>
      </c>
      <c r="I3" t="s">
        <v>117</v>
      </c>
      <c r="J3" t="s">
        <v>118</v>
      </c>
      <c r="M3" t="s">
        <v>123</v>
      </c>
      <c r="Q3" t="s">
        <v>120</v>
      </c>
      <c r="T3" t="str">
        <f t="shared" si="0"/>
        <v>('demo', 'advisor@finadvise.io', 'company.cio', 'CIO View', null,null,'standalone','marketing','readonly.done','private',null,null,'https://eligamo.bitbucket.io/demo/std/info_CIO.pdf',null,null,null,'pdf',null),</v>
      </c>
    </row>
    <row r="4" spans="1:20" x14ac:dyDescent="0.25">
      <c r="A4" t="s">
        <v>4</v>
      </c>
      <c r="B4" t="s">
        <v>16</v>
      </c>
      <c r="C4" t="s">
        <v>124</v>
      </c>
      <c r="D4" t="s">
        <v>125</v>
      </c>
      <c r="G4" t="s">
        <v>126</v>
      </c>
      <c r="H4" t="s">
        <v>127</v>
      </c>
      <c r="I4" t="s">
        <v>117</v>
      </c>
      <c r="J4" t="s">
        <v>128</v>
      </c>
      <c r="O4" t="s">
        <v>129</v>
      </c>
      <c r="Q4" t="s">
        <v>130</v>
      </c>
      <c r="T4" t="str">
        <f t="shared" si="0"/>
        <v>('demo', 'advisor@finadvise.io', 'general.kyc', 'KYC Questionnaire', null,null,'template','gather','readonly.done','public',null,null,null,null,'test.demo',null,'questionnaire',null),</v>
      </c>
    </row>
    <row r="5" spans="1:20" x14ac:dyDescent="0.25">
      <c r="A5" t="s">
        <v>4</v>
      </c>
      <c r="B5" t="s">
        <v>16</v>
      </c>
      <c r="C5" t="s">
        <v>131</v>
      </c>
      <c r="D5" t="s">
        <v>132</v>
      </c>
      <c r="G5" t="s">
        <v>126</v>
      </c>
      <c r="H5" t="s">
        <v>127</v>
      </c>
      <c r="I5" t="s">
        <v>117</v>
      </c>
      <c r="J5" t="s">
        <v>128</v>
      </c>
      <c r="O5" t="s">
        <v>129</v>
      </c>
      <c r="Q5" s="9" t="s">
        <v>130</v>
      </c>
      <c r="T5" t="str">
        <f t="shared" si="0"/>
        <v>('demo', 'advisor@finadvise.io', 'general.needs', 'Your Needs', null,null,'template','gather','readonly.done','public',null,null,null,null,'test.demo',null,'questionnaire',null),</v>
      </c>
    </row>
    <row r="6" spans="1:20" x14ac:dyDescent="0.25">
      <c r="A6" t="s">
        <v>4</v>
      </c>
      <c r="B6" t="s">
        <v>16</v>
      </c>
      <c r="C6" t="s">
        <v>133</v>
      </c>
      <c r="D6" t="s">
        <v>134</v>
      </c>
      <c r="G6" t="s">
        <v>126</v>
      </c>
      <c r="H6" t="s">
        <v>127</v>
      </c>
      <c r="I6" t="s">
        <v>117</v>
      </c>
      <c r="J6" t="s">
        <v>128</v>
      </c>
      <c r="O6" t="s">
        <v>129</v>
      </c>
      <c r="Q6" s="9" t="s">
        <v>130</v>
      </c>
      <c r="T6" t="str">
        <f t="shared" si="0"/>
        <v>('demo', 'advisor@finadvise.io', 'financing.needs', 'Your Financing Needs', null,null,'template','gather','readonly.done','public',null,null,null,null,'test.demo',null,'questionnaire',null),</v>
      </c>
    </row>
    <row r="7" spans="1:20" x14ac:dyDescent="0.25">
      <c r="A7" t="s">
        <v>4</v>
      </c>
      <c r="B7" t="s">
        <v>16</v>
      </c>
      <c r="C7" t="s">
        <v>135</v>
      </c>
      <c r="D7" t="s">
        <v>136</v>
      </c>
      <c r="G7" t="s">
        <v>126</v>
      </c>
      <c r="H7" t="s">
        <v>127</v>
      </c>
      <c r="I7" t="s">
        <v>117</v>
      </c>
      <c r="J7" t="s">
        <v>128</v>
      </c>
      <c r="O7" t="s">
        <v>129</v>
      </c>
      <c r="Q7" s="9" t="s">
        <v>130</v>
      </c>
      <c r="T7" t="str">
        <f t="shared" si="0"/>
        <v>('demo', 'advisor@finadvise.io', 'fidleg', 'Fidleg Questionnaire', null,null,'template','gather','readonly.done','public',null,null,null,null,'test.demo',null,'questionnaire',null),</v>
      </c>
    </row>
    <row r="8" spans="1:20" x14ac:dyDescent="0.25">
      <c r="A8" t="s">
        <v>4</v>
      </c>
      <c r="B8" t="s">
        <v>16</v>
      </c>
      <c r="C8" t="s">
        <v>137</v>
      </c>
      <c r="D8" t="s">
        <v>138</v>
      </c>
      <c r="G8" t="s">
        <v>126</v>
      </c>
      <c r="H8" t="s">
        <v>139</v>
      </c>
      <c r="I8" t="s">
        <v>117</v>
      </c>
      <c r="J8" t="s">
        <v>128</v>
      </c>
      <c r="P8" t="s">
        <v>140</v>
      </c>
      <c r="Q8" t="s">
        <v>141</v>
      </c>
      <c r="R8" t="s">
        <v>142</v>
      </c>
      <c r="T8" t="str">
        <f t="shared" si="0"/>
        <v>('demo', 'advisor@finadvise.io', 'mortgage.buyCapacity', 'Buying Capacity Calculator', null,null,'template','education','readonly.done','public',null,null,null,null,null,'mortgage.buying-capacity','calculator','{ }'),</v>
      </c>
    </row>
    <row r="9" spans="1:20" x14ac:dyDescent="0.25">
      <c r="A9" t="s">
        <v>4</v>
      </c>
      <c r="B9" t="s">
        <v>16</v>
      </c>
      <c r="C9" t="s">
        <v>143</v>
      </c>
      <c r="D9" t="s">
        <v>144</v>
      </c>
      <c r="G9" t="s">
        <v>126</v>
      </c>
      <c r="H9" t="s">
        <v>139</v>
      </c>
      <c r="I9" t="s">
        <v>117</v>
      </c>
      <c r="J9" t="s">
        <v>128</v>
      </c>
      <c r="P9" t="s">
        <v>143</v>
      </c>
      <c r="Q9" s="9" t="s">
        <v>141</v>
      </c>
      <c r="R9" t="s">
        <v>145</v>
      </c>
      <c r="T9" t="str">
        <f t="shared" si="0"/>
        <v>('demo', 'advisor@finadvise.io', 'investment.savings', 'Savings Calculator', null,null,'template','education','readonly.done','public',null,null,null,null,null,'investment.savings','calculator','{ "initialContribution": 10000,  "monthlyContribution": 500, "durationInYears": 10, "annualYield": 5 }'),</v>
      </c>
    </row>
    <row r="10" spans="1:20" x14ac:dyDescent="0.25">
      <c r="A10" t="s">
        <v>4</v>
      </c>
      <c r="B10" t="s">
        <v>16</v>
      </c>
      <c r="C10" t="s">
        <v>146</v>
      </c>
      <c r="D10" t="s">
        <v>147</v>
      </c>
      <c r="G10" t="s">
        <v>126</v>
      </c>
      <c r="H10" t="s">
        <v>139</v>
      </c>
      <c r="I10" t="s">
        <v>117</v>
      </c>
      <c r="J10" t="s">
        <v>128</v>
      </c>
      <c r="P10" t="s">
        <v>146</v>
      </c>
      <c r="Q10" s="9" t="s">
        <v>141</v>
      </c>
      <c r="R10" s="9" t="s">
        <v>148</v>
      </c>
      <c r="T10" t="str">
        <f t="shared" si="0"/>
        <v>('demo', 'advisor@finadvise.io', 'inheritance.inheritance', 'Inheritance Calculator', null,null,'template','education','readonly.done','public',null,null,null,null,null,'inheritance.inheritance','calculator','{"contacts":[{"id":"peter","salutation":"mr","firstName":"Peter","spouse":"maria"},{"id":"maria","salutation":"mrs","firstName":"Maria","spouse":"peter"},{"id":"mike","salutation":"mr","firstName":"Mike","father":"peter"},{"id":"thomas","salutation":"mr","firstName":"Thomas","mother":"maria","father":"peter","spouse":"tiara"},{"id":"tiara","salutation":"mrs","firstName":"Tiara","spouse":"thomas"},{"id":"frederic","salutation":"mr","firstName":"Frederic","mother":"tiara"},{"id":"anne","salutation":"ms","firstName":"Anne","mother":"tiara","father":"thomas"},{"id":"piotr","salutation":"mr","firstName":"Piotr","father":"thomas"},{"id":"karin","salutation":"ms","firstName":"Karin","mother":"maria","father":"peter"}],"focusContact":"thomas"}'),</v>
      </c>
    </row>
    <row r="11" spans="1:20" x14ac:dyDescent="0.25">
      <c r="A11" t="s">
        <v>4</v>
      </c>
      <c r="B11" t="s">
        <v>16</v>
      </c>
      <c r="C11" t="s">
        <v>149</v>
      </c>
      <c r="D11" t="s">
        <v>150</v>
      </c>
      <c r="G11" t="s">
        <v>126</v>
      </c>
      <c r="H11" t="s">
        <v>139</v>
      </c>
      <c r="I11" t="s">
        <v>117</v>
      </c>
      <c r="J11" t="s">
        <v>128</v>
      </c>
      <c r="P11" t="s">
        <v>149</v>
      </c>
      <c r="Q11" s="9" t="s">
        <v>141</v>
      </c>
      <c r="R11" t="s">
        <v>142</v>
      </c>
      <c r="T11" t="str">
        <f t="shared" si="0"/>
        <v>('demo', 'advisor@finadvise.io', 'mortgage.buyVsRent', 'Infobroschüre Kaufen oder Mieten', null,null,'template','education','readonly.done','public',null,null,null,null,null,'mortgage.buyVsRent','calculator','{ }'),</v>
      </c>
    </row>
    <row r="12" spans="1:20" x14ac:dyDescent="0.25">
      <c r="A12" t="s">
        <v>4</v>
      </c>
      <c r="B12" t="s">
        <v>16</v>
      </c>
      <c r="C12" t="s">
        <v>151</v>
      </c>
      <c r="D12" t="s">
        <v>152</v>
      </c>
      <c r="G12" t="s">
        <v>115</v>
      </c>
      <c r="H12" t="s">
        <v>139</v>
      </c>
      <c r="I12" t="s">
        <v>117</v>
      </c>
      <c r="J12" t="s">
        <v>128</v>
      </c>
      <c r="M12" t="s">
        <v>153</v>
      </c>
      <c r="Q12" t="s">
        <v>120</v>
      </c>
      <c r="T12" t="str">
        <f t="shared" si="0"/>
        <v>('demo', 'advisor@finadvise.io', 'mortgage.pillar2ForMortgage', 'Vorbezug 2. Säule für Wohneigentum', null,null,'standalone','education','readonly.done','public',null,null,'https://eligamo.bitbucket.io/demo/std/factSheet_3rdpillar.pdf',null,null,null,'pdf',null),</v>
      </c>
    </row>
    <row r="13" spans="1:20" x14ac:dyDescent="0.25">
      <c r="A13" t="s">
        <v>4</v>
      </c>
      <c r="B13" t="s">
        <v>16</v>
      </c>
      <c r="C13" t="s">
        <v>154</v>
      </c>
      <c r="D13" t="s">
        <v>155</v>
      </c>
      <c r="G13" t="s">
        <v>126</v>
      </c>
      <c r="H13" t="s">
        <v>156</v>
      </c>
      <c r="I13" t="s">
        <v>117</v>
      </c>
      <c r="J13" t="s">
        <v>128</v>
      </c>
      <c r="L13" t="s">
        <v>157</v>
      </c>
      <c r="Q13" t="s">
        <v>158</v>
      </c>
      <c r="T13" t="str">
        <f t="shared" si="0"/>
        <v>('demo', 'advisor@finadvise.io', 'advisoryContract', 'Advisory Contract', null,null,'template','contract','readonly.done','public',null,'generic',null,null,null,null,'unknown',null),</v>
      </c>
    </row>
    <row r="14" spans="1:20" x14ac:dyDescent="0.25">
      <c r="A14" t="s">
        <v>4</v>
      </c>
      <c r="B14" t="s">
        <v>16</v>
      </c>
      <c r="C14" t="s">
        <v>159</v>
      </c>
      <c r="D14" t="s">
        <v>160</v>
      </c>
      <c r="G14" t="s">
        <v>126</v>
      </c>
      <c r="H14" t="s">
        <v>139</v>
      </c>
      <c r="I14" t="s">
        <v>117</v>
      </c>
      <c r="J14" t="s">
        <v>128</v>
      </c>
      <c r="L14" t="s">
        <v>159</v>
      </c>
      <c r="Q14" s="9" t="s">
        <v>158</v>
      </c>
      <c r="T14" t="str">
        <f t="shared" si="0"/>
        <v>('demo', 'advisor@finadvise.io', 'product.factsheet', 'Product Factsheet', null,null,'template','education','readonly.done','public',null,'product.factsheet',null,null,null,null,'unknown',null),</v>
      </c>
    </row>
    <row r="15" spans="1:20" x14ac:dyDescent="0.25">
      <c r="A15" t="s">
        <v>4</v>
      </c>
      <c r="B15" t="s">
        <v>16</v>
      </c>
      <c r="C15" t="s">
        <v>161</v>
      </c>
      <c r="D15" t="s">
        <v>162</v>
      </c>
      <c r="G15" t="s">
        <v>126</v>
      </c>
      <c r="H15" t="s">
        <v>161</v>
      </c>
      <c r="I15" t="s">
        <v>117</v>
      </c>
      <c r="J15" t="s">
        <v>118</v>
      </c>
      <c r="L15" t="s">
        <v>161</v>
      </c>
      <c r="Q15" s="9" t="s">
        <v>158</v>
      </c>
      <c r="T15" t="str">
        <f t="shared" si="0"/>
        <v>('demo', 'advisor@finadvise.io', 'protocol', 'Meeting Protocol', null,null,'template','protocol','readonly.done','private',null,'protocol',null,null,null,null,'unknown',null),</v>
      </c>
    </row>
    <row r="16" spans="1:20" x14ac:dyDescent="0.25">
      <c r="A16" t="s">
        <v>4</v>
      </c>
      <c r="B16" t="s">
        <v>16</v>
      </c>
      <c r="C16" t="s">
        <v>163</v>
      </c>
      <c r="D16" t="s">
        <v>164</v>
      </c>
      <c r="G16" t="s">
        <v>115</v>
      </c>
      <c r="H16" t="s">
        <v>116</v>
      </c>
      <c r="I16" t="s">
        <v>117</v>
      </c>
      <c r="J16" t="s">
        <v>118</v>
      </c>
      <c r="M16" s="4" t="s">
        <v>165</v>
      </c>
      <c r="Q16" t="s">
        <v>106</v>
      </c>
      <c r="T16" t="str">
        <f t="shared" si="0"/>
        <v>('demo', 'advisor@finadvise.io', 'company.presentation', 'GEA Unternehmen', null,null,'standalone','marketing','readonly.done','private',null,null,'https://www.g-e-a.ch/unternehmen-1/',null,null,null,'url',null),</v>
      </c>
    </row>
    <row r="17" spans="1:20" x14ac:dyDescent="0.25">
      <c r="A17" t="s">
        <v>4</v>
      </c>
      <c r="B17" t="s">
        <v>16</v>
      </c>
      <c r="C17" t="s">
        <v>166</v>
      </c>
      <c r="D17" t="s">
        <v>167</v>
      </c>
      <c r="G17" t="s">
        <v>115</v>
      </c>
      <c r="H17" t="s">
        <v>116</v>
      </c>
      <c r="I17" t="s">
        <v>117</v>
      </c>
      <c r="J17" t="s">
        <v>118</v>
      </c>
      <c r="M17" s="4" t="s">
        <v>168</v>
      </c>
      <c r="Q17" t="s">
        <v>106</v>
      </c>
      <c r="T17" t="str">
        <f t="shared" si="0"/>
        <v>('demo', 'advisor@finadvise.io', 'company.values', 'GEA Dienstleistungen', null,null,'standalone','marketing','readonly.done','private',null,null,'https://www.g-e-a.ch/dienstleistungen/',null,null,null,'url',null),</v>
      </c>
    </row>
    <row r="18" spans="1:20" x14ac:dyDescent="0.25">
      <c r="A18" t="s">
        <v>4</v>
      </c>
      <c r="B18" t="s">
        <v>16</v>
      </c>
      <c r="C18" t="s">
        <v>169</v>
      </c>
      <c r="D18" t="s">
        <v>170</v>
      </c>
      <c r="G18" t="s">
        <v>126</v>
      </c>
      <c r="H18" t="s">
        <v>127</v>
      </c>
      <c r="I18" t="s">
        <v>117</v>
      </c>
      <c r="J18" t="s">
        <v>128</v>
      </c>
      <c r="O18" t="s">
        <v>129</v>
      </c>
      <c r="Q18" t="s">
        <v>130</v>
      </c>
      <c r="T18" t="str">
        <f t="shared" si="0"/>
        <v>('demo', 'advisor@finadvise.io', 'inheritance.kyc', 'Fragebogen Nachlass', null,null,'template','gather','readonly.done','public',null,null,null,null,'test.demo',null,'questionnaire',null),</v>
      </c>
    </row>
    <row r="19" spans="1:20" x14ac:dyDescent="0.25">
      <c r="A19" t="s">
        <v>4</v>
      </c>
      <c r="B19" t="s">
        <v>16</v>
      </c>
      <c r="C19" t="s">
        <v>171</v>
      </c>
      <c r="D19" t="s">
        <v>172</v>
      </c>
      <c r="G19" t="s">
        <v>115</v>
      </c>
      <c r="H19" t="s">
        <v>139</v>
      </c>
      <c r="I19" t="s">
        <v>117</v>
      </c>
      <c r="J19" t="s">
        <v>128</v>
      </c>
      <c r="M19" s="5" t="s">
        <v>173</v>
      </c>
      <c r="Q19" t="s">
        <v>106</v>
      </c>
      <c r="T19" t="str">
        <f t="shared" si="0"/>
        <v>('demo', 'advisor@finadvise.io', 'inheritance.factsheet', 'Factsheet Erbrecht', null,null,'standalone','education','readonly.done','public',null,null,'https://www.admin.ch/opc/de/classified-compilation/19070042/index.html#index3',null,null,null,'url',null),</v>
      </c>
    </row>
    <row r="20" spans="1:20" x14ac:dyDescent="0.25">
      <c r="A20" t="s">
        <v>4</v>
      </c>
      <c r="B20" t="s">
        <v>16</v>
      </c>
      <c r="C20" t="s">
        <v>174</v>
      </c>
      <c r="D20" t="s">
        <v>175</v>
      </c>
      <c r="G20" t="s">
        <v>126</v>
      </c>
      <c r="H20" t="s">
        <v>156</v>
      </c>
      <c r="I20" t="s">
        <v>117</v>
      </c>
      <c r="J20" t="s">
        <v>128</v>
      </c>
      <c r="M20" t="s">
        <v>176</v>
      </c>
      <c r="Q20" t="s">
        <v>177</v>
      </c>
      <c r="T20" s="9" t="str">
        <f t="shared" si="0"/>
        <v>('demo', 'advisor@finadvise.io', 'advisoryAgreement', 'Advisory Agreement', null,null,'template','contract','readonly.done','public',null,null,'https://vanadys-my.sharepoint.com/personal/juan_espigares_vanadys_com/_layouts/15/Doc.aspx?sourcedoc={1400106d-b871-4130-9ad8-91ecb8f20e51}&amp;amp;action=embedview',null,null,null,'doc',null),</v>
      </c>
    </row>
  </sheetData>
  <hyperlinks>
    <hyperlink ref="M16" r:id="rId1" xr:uid="{00000000-0004-0000-0400-000000000000}"/>
    <hyperlink ref="M17" r:id="rId2" xr:uid="{00000000-0004-0000-0400-000001000000}"/>
    <hyperlink ref="B20" r:id="rId3" xr:uid="{00000000-0004-0000-0400-000002000000}"/>
    <hyperlink ref="M20" r:id="rId4" xr:uid="{00000000-0004-0000-0400-000003000000}"/>
  </hyperlinks>
  <pageMargins left="0.7" right="0.7" top="0.78749999999999998" bottom="0.78749999999999998" header="0.51180555555555496" footer="0.51180555555555496"/>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2"/>
  <sheetViews>
    <sheetView zoomScaleNormal="100" workbookViewId="0"/>
  </sheetViews>
  <sheetFormatPr defaultColWidth="10.85546875" defaultRowHeight="15" x14ac:dyDescent="0.25"/>
  <cols>
    <col min="1" max="1" width="6.85546875" customWidth="1"/>
    <col min="2" max="2" width="19.85546875" customWidth="1"/>
    <col min="3" max="3" width="5.85546875" customWidth="1"/>
    <col min="4" max="4" width="13.28515625" customWidth="1"/>
    <col min="5" max="5" width="27.5703125" customWidth="1"/>
    <col min="6" max="6" width="10.42578125" customWidth="1"/>
    <col min="7" max="7" width="7.42578125" customWidth="1"/>
    <col min="8" max="8" width="14.42578125" customWidth="1"/>
    <col min="9" max="9" width="13.7109375" customWidth="1"/>
    <col min="10" max="10" width="20.5703125" customWidth="1"/>
    <col min="11" max="11" width="12.5703125" customWidth="1"/>
    <col min="12" max="12" width="7.42578125" customWidth="1"/>
    <col min="13" max="13" width="10.5703125" customWidth="1"/>
    <col min="14" max="14" width="10.140625" customWidth="1"/>
    <col min="15" max="15" width="12.28515625" customWidth="1"/>
    <col min="16" max="16" width="7.28515625" customWidth="1"/>
    <col min="17" max="17" width="24.85546875" customWidth="1"/>
    <col min="18" max="18" width="15" customWidth="1"/>
    <col min="19" max="19" width="5" customWidth="1"/>
    <col min="20" max="20" width="14.85546875" customWidth="1"/>
    <col min="21" max="21" width="5.42578125" customWidth="1"/>
    <col min="22" max="22" width="10.42578125" customWidth="1"/>
    <col min="23" max="23" width="128.28515625" customWidth="1"/>
  </cols>
  <sheetData>
    <row r="1" spans="1:25" x14ac:dyDescent="0.25">
      <c r="A1" s="1" t="s">
        <v>7</v>
      </c>
      <c r="B1" s="1" t="s">
        <v>21</v>
      </c>
      <c r="C1" s="1" t="s">
        <v>0</v>
      </c>
      <c r="D1" s="1" t="s">
        <v>178</v>
      </c>
      <c r="E1" s="1" t="s">
        <v>179</v>
      </c>
      <c r="F1" s="1" t="s">
        <v>71</v>
      </c>
      <c r="G1" s="1" t="s">
        <v>180</v>
      </c>
      <c r="H1" s="1" t="s">
        <v>181</v>
      </c>
      <c r="I1" s="1" t="s">
        <v>182</v>
      </c>
      <c r="J1" s="1" t="s">
        <v>183</v>
      </c>
      <c r="K1" s="1" t="s">
        <v>74</v>
      </c>
      <c r="L1" s="1" t="s">
        <v>75</v>
      </c>
      <c r="M1" s="1" t="s">
        <v>76</v>
      </c>
      <c r="N1" s="1" t="s">
        <v>77</v>
      </c>
      <c r="O1" s="1" t="s">
        <v>79</v>
      </c>
      <c r="P1" s="1" t="s">
        <v>80</v>
      </c>
      <c r="Q1" s="1" t="s">
        <v>9</v>
      </c>
      <c r="R1" s="1" t="s">
        <v>81</v>
      </c>
      <c r="S1" s="1" t="s">
        <v>82</v>
      </c>
      <c r="T1" s="1" t="s">
        <v>83</v>
      </c>
      <c r="U1" s="1" t="s">
        <v>84</v>
      </c>
      <c r="V1" s="1" t="s">
        <v>85</v>
      </c>
      <c r="W1" s="1" t="s">
        <v>98</v>
      </c>
      <c r="Y1" t="s">
        <v>4084</v>
      </c>
    </row>
    <row r="2" spans="1:25" x14ac:dyDescent="0.25">
      <c r="A2" t="s">
        <v>4</v>
      </c>
      <c r="B2" s="23" t="s">
        <v>20</v>
      </c>
      <c r="C2" t="s">
        <v>184</v>
      </c>
      <c r="D2" t="s">
        <v>185</v>
      </c>
      <c r="E2" t="s">
        <v>186</v>
      </c>
      <c r="F2" s="6">
        <v>1111</v>
      </c>
      <c r="G2" s="9"/>
      <c r="H2" t="s">
        <v>187</v>
      </c>
      <c r="I2" t="s">
        <v>188</v>
      </c>
      <c r="J2" t="s">
        <v>189</v>
      </c>
      <c r="K2" t="s">
        <v>86</v>
      </c>
      <c r="M2" t="s">
        <v>190</v>
      </c>
      <c r="N2" t="s">
        <v>191</v>
      </c>
      <c r="Q2" t="s">
        <v>192</v>
      </c>
      <c r="W2" t="s">
        <v>193</v>
      </c>
      <c r="Y2" t="str">
        <f>"('"&amp;A2&amp;"', '"&amp;B2&amp;"', '"&amp;C2&amp;"', '"&amp;D2&amp;"', "&amp;IF(ISBLANK(E2),"null","'"&amp;E2&amp;"'")&amp;","&amp;IF(ISBLANK(F2),"null","'"&amp;F2&amp;"'")&amp;","&amp;IF(ISBLANK(G2),"null","'"&amp;G2&amp;"'")&amp;","&amp;IF(ISBLANK(H2),"null","'"&amp;H2&amp;"'")&amp;","&amp;IF(ISBLANK(I2),"null","'"&amp;I2&amp;"'")&amp;","&amp;IF(ISBLANK(J2),"null","'"&amp;J2&amp;"'")&amp;","&amp;IF(ISBLANK(K2),"null","'"&amp;K2&amp;"'")&amp;","&amp;IF(ISBLANK(L2),"null","'"&amp;L2&amp;"'")&amp;","&amp;IF(ISBLANK(M2),"null","'"&amp;M2&amp;"'")&amp;","&amp;IF(ISBLANK(N2),"null","'"&amp;N2&amp;"'")&amp;","&amp;IF(ISBLANK(O2),"null","'"&amp;O2&amp;"'")&amp;","&amp;IF(ISBLANK(P2),"null","'"&amp;P2&amp;"'")&amp;","&amp;IF(ISBLANK(Q2),"null","'"&amp;Q2&amp;"'")&amp;","&amp;IF(ISBLANK(R2),"null","'"&amp;R2&amp;"'")&amp;","&amp;IF(ISBLANK(S2),"null","'"&amp;S2&amp;"'")&amp;","&amp;IF(ISBLANK(T2),"null","'"&amp;T2&amp;"'")&amp;","&amp;IF(ISBLANK(U2),"null","'"&amp;U2&amp;"'")&amp;","&amp;IF(ISBLANK(V2),"null","'"&amp;V2&amp;"'")&amp;","&amp;IF(ISBLANK(W2),"null","'"&amp;W2&amp;"'")&amp;"),"</f>
        <v>('demo', 'martin@comunas.fm', 'lead1', 'lead.new', 'real_estate','1111',null,'referral','warm','SMOVIE Referral','mr',null,'Martin','Kommer',null,null,'martin_kommer@gmail.ch',null,null,null,null,null,'Signup for smovie on HYPOTHEK ZURÜCKZAHLEN? Frage der Finanzplanung: Hypothek zurückzahlen bis zur Pensionierung?'),</v>
      </c>
    </row>
    <row r="3" spans="1:25" x14ac:dyDescent="0.25">
      <c r="A3" t="s">
        <v>4</v>
      </c>
      <c r="B3" s="23" t="s">
        <v>20</v>
      </c>
      <c r="C3" t="s">
        <v>194</v>
      </c>
      <c r="D3" t="s">
        <v>185</v>
      </c>
      <c r="E3" t="s">
        <v>195</v>
      </c>
      <c r="F3" s="6">
        <v>3032</v>
      </c>
      <c r="G3" s="9"/>
      <c r="H3" t="s">
        <v>196</v>
      </c>
      <c r="I3" t="s">
        <v>197</v>
      </c>
      <c r="J3" t="s">
        <v>198</v>
      </c>
      <c r="K3" t="s">
        <v>95</v>
      </c>
      <c r="M3" t="s">
        <v>199</v>
      </c>
      <c r="N3" t="s">
        <v>200</v>
      </c>
      <c r="O3" t="s">
        <v>201</v>
      </c>
      <c r="Q3" t="s">
        <v>202</v>
      </c>
      <c r="R3" t="s">
        <v>203</v>
      </c>
      <c r="S3">
        <v>5035</v>
      </c>
      <c r="T3" t="s">
        <v>204</v>
      </c>
      <c r="U3" t="s">
        <v>96</v>
      </c>
      <c r="V3" t="s">
        <v>93</v>
      </c>
      <c r="W3" t="s">
        <v>205</v>
      </c>
      <c r="Y3" t="str">
        <f>"('"&amp;A3&amp;"', '"&amp;B3&amp;"', '"&amp;C3&amp;"', '"&amp;D3&amp;"', "&amp;IF(ISBLANK(E3),"null","'"&amp;E3&amp;"'")&amp;","&amp;IF(ISBLANK(F3),"null","'"&amp;F3&amp;"'")&amp;","&amp;IF(ISBLANK(G3),"null","'"&amp;G3&amp;"'")&amp;","&amp;IF(ISBLANK(H3),"null","'"&amp;H3&amp;"'")&amp;","&amp;IF(ISBLANK(I3),"null","'"&amp;I3&amp;"'")&amp;","&amp;IF(ISBLANK(J3),"null","'"&amp;J3&amp;"'")&amp;","&amp;IF(ISBLANK(K3),"null","'"&amp;K3&amp;"'")&amp;","&amp;IF(ISBLANK(L3),"null","'"&amp;L3&amp;"'")&amp;","&amp;IF(ISBLANK(M3),"null","'"&amp;M3&amp;"'")&amp;","&amp;IF(ISBLANK(N3),"null","'"&amp;N3&amp;"'")&amp;","&amp;IF(ISBLANK(O3),"null","'"&amp;O3&amp;"'")&amp;","&amp;IF(ISBLANK(P3),"null","'"&amp;P3&amp;"'")&amp;","&amp;IF(ISBLANK(Q3),"null","'"&amp;Q3&amp;"'")&amp;","&amp;IF(ISBLANK(R3),"null","'"&amp;R3&amp;"'")&amp;","&amp;IF(ISBLANK(S3),"null","'"&amp;S3&amp;"'")&amp;","&amp;IF(ISBLANK(T3),"null","'"&amp;T3&amp;"'")&amp;","&amp;IF(ISBLANK(U3),"null","'"&amp;U3&amp;"'")&amp;","&amp;IF(ISBLANK(V3),"null","'"&amp;V3&amp;"'")&amp;","&amp;IF(ISBLANK(W3),"null","'"&amp;W3&amp;"'")&amp;"),"</f>
        <v>('demo', 'martin@comunas.fm', 'lead2', 'lead.new', 'real_estate,investment,other','3032',null,'crm','hot','CRM: Periodic Contact','ms',null,'Sarah','Djulevic','079 295 54 65',null,'s.djulevic@outlook.de','Eggacherweg 24','5035','Unterentfelden','AG','ch','Please organise your quarterly contact meeting with Sarah Djulevic'),</v>
      </c>
    </row>
    <row r="4" spans="1:25" x14ac:dyDescent="0.25">
      <c r="A4" t="s">
        <v>4</v>
      </c>
      <c r="B4" s="23" t="s">
        <v>20</v>
      </c>
      <c r="C4" t="s">
        <v>206</v>
      </c>
      <c r="D4" t="s">
        <v>185</v>
      </c>
      <c r="E4" t="s">
        <v>207</v>
      </c>
      <c r="F4" s="6">
        <v>3033</v>
      </c>
      <c r="G4" s="9"/>
      <c r="H4" t="s">
        <v>208</v>
      </c>
      <c r="I4" t="s">
        <v>188</v>
      </c>
      <c r="J4" t="s">
        <v>209</v>
      </c>
      <c r="K4" t="s">
        <v>94</v>
      </c>
      <c r="M4" t="s">
        <v>210</v>
      </c>
      <c r="N4" t="s">
        <v>211</v>
      </c>
      <c r="O4" t="s">
        <v>201</v>
      </c>
      <c r="Q4" s="4" t="s">
        <v>212</v>
      </c>
      <c r="W4" t="s">
        <v>213</v>
      </c>
      <c r="Y4" t="str">
        <f>"('"&amp;A4&amp;"', '"&amp;B4&amp;"', '"&amp;C4&amp;"', '"&amp;D4&amp;"', "&amp;IF(ISBLANK(E4),"null","'"&amp;E4&amp;"'")&amp;","&amp;IF(ISBLANK(F4),"null","'"&amp;F4&amp;"'")&amp;","&amp;IF(ISBLANK(G4),"null","'"&amp;G4&amp;"'")&amp;","&amp;IF(ISBLANK(H4),"null","'"&amp;H4&amp;"'")&amp;","&amp;IF(ISBLANK(I4),"null","'"&amp;I4&amp;"'")&amp;","&amp;IF(ISBLANK(J4),"null","'"&amp;J4&amp;"'")&amp;","&amp;IF(ISBLANK(K4),"null","'"&amp;K4&amp;"'")&amp;","&amp;IF(ISBLANK(L4),"null","'"&amp;L4&amp;"'")&amp;","&amp;IF(ISBLANK(M4),"null","'"&amp;M4&amp;"'")&amp;","&amp;IF(ISBLANK(N4),"null","'"&amp;N4&amp;"'")&amp;","&amp;IF(ISBLANK(O4),"null","'"&amp;O4&amp;"'")&amp;","&amp;IF(ISBLANK(P4),"null","'"&amp;P4&amp;"'")&amp;","&amp;IF(ISBLANK(Q4),"null","'"&amp;Q4&amp;"'")&amp;","&amp;IF(ISBLANK(R4),"null","'"&amp;R4&amp;"'")&amp;","&amp;IF(ISBLANK(S4),"null","'"&amp;S4&amp;"'")&amp;","&amp;IF(ISBLANK(T4),"null","'"&amp;T4&amp;"'")&amp;","&amp;IF(ISBLANK(U4),"null","'"&amp;U4&amp;"'")&amp;","&amp;IF(ISBLANK(V4),"null","'"&amp;V4&amp;"'")&amp;","&amp;IF(ISBLANK(W4),"null","'"&amp;W4&amp;"'")&amp;"),"</f>
        <v>('demo', 'martin@comunas.fm', 'lead3', 'lead.new', 'retirement,inheritance','3033',null,'web','warm','Web Contact','mrs',null,'Mirjam','Muster','079 295 54 65',null,'mirjiam.muster@gmail.com',null,null,null,null,null,'Request from web contact: "Guten Tag, wollen sie mich bitte zurückrufen für Fragen bzgl Pensionierung und Nachlass. Mfg Mirjam Muster"'),</v>
      </c>
    </row>
    <row r="5" spans="1:25" x14ac:dyDescent="0.25">
      <c r="A5" t="s">
        <v>4</v>
      </c>
      <c r="B5" s="23" t="s">
        <v>20</v>
      </c>
      <c r="C5" t="s">
        <v>214</v>
      </c>
      <c r="D5" t="s">
        <v>185</v>
      </c>
      <c r="F5" s="6">
        <v>3034</v>
      </c>
      <c r="H5" t="s">
        <v>196</v>
      </c>
      <c r="I5" t="s">
        <v>188</v>
      </c>
      <c r="J5" t="s">
        <v>215</v>
      </c>
      <c r="K5" t="s">
        <v>86</v>
      </c>
      <c r="M5" t="s">
        <v>87</v>
      </c>
      <c r="N5" t="s">
        <v>88</v>
      </c>
      <c r="O5" s="9" t="s">
        <v>89</v>
      </c>
      <c r="Q5" t="s">
        <v>216</v>
      </c>
      <c r="W5" t="s">
        <v>217</v>
      </c>
      <c r="Y5" t="str">
        <f>"('"&amp;A5&amp;"', '"&amp;B5&amp;"', '"&amp;C5&amp;"', '"&amp;D5&amp;"', "&amp;IF(ISBLANK(E5),"null","'"&amp;E5&amp;"'")&amp;","&amp;IF(ISBLANK(F5),"null","'"&amp;F5&amp;"'")&amp;","&amp;IF(ISBLANK(G5),"null","'"&amp;G5&amp;"'")&amp;","&amp;IF(ISBLANK(H5),"null","'"&amp;H5&amp;"'")&amp;","&amp;IF(ISBLANK(I5),"null","'"&amp;I5&amp;"'")&amp;","&amp;IF(ISBLANK(J5),"null","'"&amp;J5&amp;"'")&amp;","&amp;IF(ISBLANK(K5),"null","'"&amp;K5&amp;"'")&amp;","&amp;IF(ISBLANK(L5),"null","'"&amp;L5&amp;"'")&amp;","&amp;IF(ISBLANK(M5),"null","'"&amp;M5&amp;"'")&amp;","&amp;IF(ISBLANK(N5),"null","'"&amp;N5&amp;"'")&amp;","&amp;IF(ISBLANK(O5),"null","'"&amp;O5&amp;"'")&amp;","&amp;IF(ISBLANK(P5),"null","'"&amp;P5&amp;"'")&amp;","&amp;IF(ISBLANK(Q5),"null","'"&amp;Q5&amp;"'")&amp;","&amp;IF(ISBLANK(R5),"null","'"&amp;R5&amp;"'")&amp;","&amp;IF(ISBLANK(S5),"null","'"&amp;S5&amp;"'")&amp;","&amp;IF(ISBLANK(T5),"null","'"&amp;T5&amp;"'")&amp;","&amp;IF(ISBLANK(U5),"null","'"&amp;U5&amp;"'")&amp;","&amp;IF(ISBLANK(V5),"null","'"&amp;V5&amp;"'")&amp;","&amp;IF(ISBLANK(W5),"null","'"&amp;W5&amp;"'")&amp;"),"</f>
        <v>('demo', 'martin@comunas.fm', 'lead4', 'lead.new', null,'3034',null,'crm','warm','Annual Review','mr',null,'Freddy','Müller','079 568 42 12',null,'freddy_mueller@gmail.com',null,null,null,null,null,'Trigger annual review'),</v>
      </c>
    </row>
    <row r="9" spans="1:25" x14ac:dyDescent="0.25">
      <c r="E9" s="10"/>
    </row>
    <row r="12" spans="1:25" x14ac:dyDescent="0.25">
      <c r="T12" s="10"/>
    </row>
  </sheetData>
  <hyperlinks>
    <hyperlink ref="Q4" r:id="rId1" xr:uid="{00000000-0004-0000-0500-000000000000}"/>
    <hyperlink ref="Q5" r:id="rId2" xr:uid="{00000000-0004-0000-0500-000001000000}"/>
    <hyperlink ref="B2" r:id="rId3" xr:uid="{1AC49A86-4AD8-4D22-9842-0F9E5DA104EE}"/>
    <hyperlink ref="B3:B5" r:id="rId4" display="martin@comunas.fm" xr:uid="{3CC410FC-304E-4D73-91FA-38418DFDF7F1}"/>
  </hyperlinks>
  <pageMargins left="0.7" right="0.7" top="0.78749999999999998" bottom="0.78749999999999998" header="0.51180555555555496" footer="0.51180555555555496"/>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10"/>
  <sheetViews>
    <sheetView zoomScaleNormal="100" workbookViewId="0">
      <selection activeCell="H2" sqref="H2"/>
    </sheetView>
  </sheetViews>
  <sheetFormatPr defaultColWidth="10.85546875" defaultRowHeight="15" x14ac:dyDescent="0.25"/>
  <cols>
    <col min="1" max="1" width="19.85546875" customWidth="1"/>
    <col min="2" max="2" width="21.42578125" customWidth="1"/>
    <col min="3" max="3" width="15.42578125" customWidth="1"/>
    <col min="4" max="4" width="22" customWidth="1"/>
    <col min="6" max="6" width="10.42578125" customWidth="1"/>
    <col min="7" max="9" width="30.85546875" customWidth="1"/>
    <col min="10" max="10" width="22.42578125" customWidth="1"/>
    <col min="11" max="11" width="20.28515625" customWidth="1"/>
    <col min="12" max="12" width="22.5703125" customWidth="1"/>
    <col min="13" max="13" width="43.140625" style="10" customWidth="1"/>
  </cols>
  <sheetData>
    <row r="1" spans="1:24" x14ac:dyDescent="0.25">
      <c r="A1" s="1" t="s">
        <v>7</v>
      </c>
      <c r="B1" s="1" t="s">
        <v>21</v>
      </c>
      <c r="C1" s="1" t="s">
        <v>178</v>
      </c>
      <c r="D1" s="1" t="s">
        <v>179</v>
      </c>
      <c r="E1" s="1" t="s">
        <v>218</v>
      </c>
      <c r="F1" s="1" t="s">
        <v>71</v>
      </c>
      <c r="G1" s="1" t="s">
        <v>1</v>
      </c>
      <c r="H1" s="1" t="s">
        <v>98</v>
      </c>
      <c r="I1" s="1" t="s">
        <v>221</v>
      </c>
      <c r="J1" s="1" t="s">
        <v>222</v>
      </c>
      <c r="K1" s="1" t="s">
        <v>223</v>
      </c>
      <c r="M1" s="10" t="s">
        <v>224</v>
      </c>
    </row>
    <row r="2" spans="1:24" x14ac:dyDescent="0.25">
      <c r="A2" t="s">
        <v>4</v>
      </c>
      <c r="B2" t="s">
        <v>16</v>
      </c>
      <c r="C2" t="s">
        <v>225</v>
      </c>
      <c r="D2" t="s">
        <v>219</v>
      </c>
      <c r="E2" s="9">
        <v>1000002</v>
      </c>
      <c r="F2">
        <v>1111</v>
      </c>
      <c r="G2" t="s">
        <v>226</v>
      </c>
      <c r="H2" t="s">
        <v>226</v>
      </c>
      <c r="I2" t="s">
        <v>227</v>
      </c>
      <c r="J2" s="9" t="s">
        <v>228</v>
      </c>
      <c r="K2" s="9" t="s">
        <v>229</v>
      </c>
      <c r="M2" s="11" t="str">
        <f>"('"&amp;Task!A2&amp;"', '"&amp;Task!B2&amp;"', '"&amp;Task!C2&amp;"', '"&amp;Task!D2&amp;"', "&amp;IF(ISBLANK(Task!E2),"null","'"&amp;Task!E2&amp;"'")&amp;", '"&amp;Task!F2&amp;"',"&amp;IF(ISBLANK(Task!G2),"null","'"&amp;Task!G2&amp;"'")&amp;","&amp;IF(ISBLANK(Task!H2),"null","'"&amp;Task!H2&amp;"'")&amp;","&amp;IF(ISBLANK(Task!I2),"null","'"&amp;Task!I2&amp;"'")&amp;","&amp;IF(ISBLANK(Task!J2),"null","'"&amp;Task!J2&amp;"'")&amp;","&amp;IF(ISBLANK(Task!K2),"null","'"&amp;Task!K2&amp;"'")&amp;"),"</f>
        <v>('demo', 'advisor@finadvise.io', 'task.open', 'real_estate,investment', '1000002', '1111','Call Christian Stohler','Call Christian Stohler','low','27.03.2021 08:00:00','15.02.2021 08:00:00'),</v>
      </c>
      <c r="X2" s="9"/>
    </row>
    <row r="3" spans="1:24" x14ac:dyDescent="0.25">
      <c r="A3" t="s">
        <v>4</v>
      </c>
      <c r="B3" t="s">
        <v>16</v>
      </c>
      <c r="C3" t="s">
        <v>230</v>
      </c>
      <c r="D3" t="s">
        <v>220</v>
      </c>
      <c r="E3" s="9">
        <v>1000001</v>
      </c>
      <c r="F3">
        <v>1111</v>
      </c>
      <c r="G3" t="s">
        <v>231</v>
      </c>
      <c r="H3" t="s">
        <v>231</v>
      </c>
      <c r="I3" t="s">
        <v>232</v>
      </c>
      <c r="J3" s="9" t="s">
        <v>233</v>
      </c>
      <c r="K3" s="9" t="s">
        <v>234</v>
      </c>
      <c r="M3" s="10" t="str">
        <f>"('"&amp;Task!A3&amp;"', '"&amp;Task!B3&amp;"', '"&amp;Task!C3&amp;"', '"&amp;Task!D3&amp;"', "&amp;IF(ISBLANK(Task!E3),"null","'"&amp;Task!E3&amp;"'")&amp;", '"&amp;Task!F3&amp;"',"&amp;IF(ISBLANK(Task!G3),"null","'"&amp;Task!G3&amp;"'")&amp;","&amp;IF(ISBLANK(Task!H3),"null","'"&amp;Task!H3&amp;"'")&amp;","&amp;IF(ISBLANK(Task!I3),"null","'"&amp;Task!I3&amp;"'")&amp;","&amp;IF(ISBLANK(Task!J3),"null","'"&amp;Task!J3&amp;"'")&amp;","&amp;IF(ISBLANK(Task!K3),"null","'"&amp;Task!K3&amp;"'")&amp;"),"</f>
        <v>('demo', 'advisor@finadvise.io', 'task.in_progress', 'retirement', '1000001', '1111','Make reservation at Central Plaza','Make reservation at Central Plaza','normal','12.10.2020 12:00:00','20.12.2020 12:00:00'),</v>
      </c>
    </row>
    <row r="4" spans="1:24" x14ac:dyDescent="0.25">
      <c r="A4" t="s">
        <v>4</v>
      </c>
      <c r="B4" s="9" t="s">
        <v>16</v>
      </c>
      <c r="C4" t="s">
        <v>235</v>
      </c>
      <c r="E4" s="9">
        <v>1000000</v>
      </c>
      <c r="F4">
        <v>1111</v>
      </c>
      <c r="G4" t="s">
        <v>236</v>
      </c>
      <c r="H4" t="s">
        <v>236</v>
      </c>
      <c r="I4" t="s">
        <v>237</v>
      </c>
      <c r="J4" s="9" t="s">
        <v>238</v>
      </c>
      <c r="M4" s="10" t="str">
        <f>"('"&amp;Task!A4&amp;"', '"&amp;Task!B4&amp;"', '"&amp;Task!C4&amp;"', '"&amp;Task!D4&amp;"', "&amp;IF(ISBLANK(Task!E4),"null","'"&amp;Task!E4&amp;"'")&amp;", '"&amp;Task!F4&amp;"',"&amp;IF(ISBLANK(Task!G4),"null","'"&amp;Task!G4&amp;"'")&amp;","&amp;IF(ISBLANK(Task!H4),"null","'"&amp;Task!H4&amp;"'")&amp;","&amp;IF(ISBLANK(Task!I4),"null","'"&amp;Task!I4&amp;"'")&amp;","&amp;IF(ISBLANK(Task!J4),"null","'"&amp;Task!J4&amp;"'")&amp;","&amp;IF(ISBLANK(Task!K4),"null","'"&amp;Task!K4&amp;"'")&amp;");"</f>
        <v>('demo', 'advisor@finadvise.io', 'task.done', '', '1000000', '1111','Tennis w/ Marco','Tennis w/ Marco','high','27.03.2020 14:00:00',null);</v>
      </c>
    </row>
    <row r="10" spans="1:24" x14ac:dyDescent="0.25">
      <c r="F10" s="10"/>
    </row>
  </sheetData>
  <hyperlinks>
    <hyperlink ref="B4" r:id="rId1" xr:uid="{00000000-0004-0000-0A00-000000000000}"/>
  </hyperlinks>
  <pageMargins left="0.7" right="0.7" top="0.78749999999999998" bottom="0.78749999999999998" header="0.51180555555555496" footer="0.51180555555555496"/>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303"/>
  <sheetViews>
    <sheetView topLeftCell="A25" zoomScaleNormal="100" workbookViewId="0">
      <selection activeCell="D42" sqref="D42"/>
    </sheetView>
  </sheetViews>
  <sheetFormatPr defaultColWidth="10.7109375" defaultRowHeight="15" x14ac:dyDescent="0.25"/>
  <cols>
    <col min="1" max="1" width="11.140625" style="6" customWidth="1"/>
    <col min="2" max="2" width="19.7109375" style="6" customWidth="1"/>
    <col min="3" max="3" width="11.140625" style="6" customWidth="1"/>
    <col min="4" max="4" width="63.42578125" style="6" customWidth="1"/>
    <col min="5" max="8" width="11.140625" style="6" customWidth="1"/>
    <col min="9" max="9" width="42.140625" style="6" customWidth="1"/>
    <col min="10" max="10" width="12.140625" style="6" customWidth="1"/>
    <col min="11" max="11" width="16.7109375" style="6" customWidth="1"/>
    <col min="12" max="18" width="12.140625" style="6" customWidth="1"/>
    <col min="19" max="19" width="12.140625" style="12" customWidth="1"/>
    <col min="20" max="20" width="81.140625" style="6" customWidth="1"/>
    <col min="21" max="26" width="12.140625" style="6" customWidth="1"/>
    <col min="27" max="27" width="81.140625" style="6" customWidth="1"/>
    <col min="28" max="1024" width="10.7109375" style="6"/>
  </cols>
  <sheetData>
    <row r="1" spans="1:22" x14ac:dyDescent="0.25">
      <c r="A1" s="13" t="s">
        <v>7</v>
      </c>
      <c r="B1" s="13" t="s">
        <v>21</v>
      </c>
      <c r="C1" s="13" t="s">
        <v>71</v>
      </c>
      <c r="D1" s="13" t="s">
        <v>1</v>
      </c>
      <c r="E1" s="13" t="s">
        <v>239</v>
      </c>
      <c r="F1" s="13" t="s">
        <v>240</v>
      </c>
      <c r="G1" s="13" t="s">
        <v>241</v>
      </c>
      <c r="H1" s="13" t="s">
        <v>242</v>
      </c>
      <c r="I1" s="13" t="s">
        <v>81</v>
      </c>
      <c r="J1" s="13" t="s">
        <v>82</v>
      </c>
      <c r="K1" s="13" t="s">
        <v>83</v>
      </c>
      <c r="L1" s="13" t="s">
        <v>84</v>
      </c>
      <c r="M1" s="13" t="s">
        <v>85</v>
      </c>
      <c r="N1" s="13" t="s">
        <v>243</v>
      </c>
      <c r="O1" s="13" t="s">
        <v>244</v>
      </c>
      <c r="P1" s="13" t="s">
        <v>245</v>
      </c>
      <c r="Q1" s="13" t="s">
        <v>246</v>
      </c>
      <c r="R1" s="13" t="s">
        <v>247</v>
      </c>
      <c r="S1" s="13" t="s">
        <v>248</v>
      </c>
      <c r="T1" s="14" t="s">
        <v>98</v>
      </c>
      <c r="V1" s="6" t="s">
        <v>4083</v>
      </c>
    </row>
    <row r="2" spans="1:22" ht="17.850000000000001" customHeight="1" x14ac:dyDescent="0.25">
      <c r="A2" s="6" t="s">
        <v>6</v>
      </c>
      <c r="B2" s="15" t="s">
        <v>20</v>
      </c>
      <c r="C2" s="6" t="s">
        <v>26</v>
      </c>
      <c r="D2" s="6" t="s">
        <v>249</v>
      </c>
      <c r="E2" s="6" t="s">
        <v>250</v>
      </c>
      <c r="F2" s="16" t="s">
        <v>251</v>
      </c>
      <c r="G2" s="6">
        <v>6</v>
      </c>
      <c r="H2" s="17">
        <v>1973</v>
      </c>
      <c r="I2" s="6" t="s">
        <v>90</v>
      </c>
      <c r="J2" s="6">
        <v>8045</v>
      </c>
      <c r="K2" s="6" t="s">
        <v>91</v>
      </c>
      <c r="L2" s="6" t="s">
        <v>92</v>
      </c>
      <c r="M2" s="6" t="s">
        <v>93</v>
      </c>
      <c r="N2" s="6" t="s">
        <v>28</v>
      </c>
      <c r="O2" s="6">
        <v>2000</v>
      </c>
      <c r="P2" s="6">
        <v>480</v>
      </c>
      <c r="Q2" s="6">
        <v>1500000</v>
      </c>
      <c r="R2" s="18">
        <v>2010</v>
      </c>
      <c r="S2" s="18" t="s">
        <v>252</v>
      </c>
      <c r="T2" s="12" t="s">
        <v>253</v>
      </c>
      <c r="V2" s="6" t="str">
        <f>"('"&amp;A2&amp;"', '"&amp;B2&amp;"', '"&amp;C2&amp;"', '"&amp;D2&amp;"', "&amp;IF(ISBLANK(E2),"null","'"&amp;E2&amp;"'")&amp;","&amp;IF(ISBLANK(F2),"null","'"&amp;F2&amp;"'")&amp;","&amp;IF(ISBLANK(G2),"null","'"&amp;G2&amp;"'")&amp;","&amp;IF(ISBLANK(H2),"null",H2)&amp;","&amp;IF(ISBLANK(I2),"null","'"&amp;I2&amp;"'")&amp;","&amp;IF(ISBLANK(J2),"null","'"&amp;J2&amp;"'")&amp;","&amp;IF(ISBLANK(K2),"null","'"&amp;K2&amp;"'")&amp;","&amp;IF(ISBLANK(M2),"null","'"&amp;M2&amp;"'")&amp;","&amp;IF(ISBLANK(N2),"null","'"&amp;N2&amp;"'")&amp;","&amp;IF(ISBLANK(O2),"null",O2)&amp;","&amp;IF(ISBLANK(P2),"null",P2)&amp;","&amp;IF(ISBLANK(Q2),"null",Q2)&amp;","&amp;IF(ISBLANK(R2),"null",R2)&amp;","&amp;IF(ISBLANK(S2),"null","'"&amp;S2&amp;"'")&amp;","&amp;IF(ISBLANK(T2),"null","'"&amp;T2&amp;"'")&amp;"),"</f>
        <v>('comunas', 'martin@comunas.fm', 'hh1', 'Villa', '01','05-1','6',1973,'Langacher 45','8045','Uster','ch','chf',2000,480,1500000,2010,'N','- Das Restaurant befindet sich im EG des Rathauses (Stratus-Nr. 17 05) und sollte für die Investitionsplanung mit diesem zusammen berücksichtigt werden.\n- Der Waren- und Personenaufzug in der Küche wurde letztes Jahr erneuert.\n- Die Küche ist 19-jährig.\n- Der Pizzaofen gehört dem Pächter'),</v>
      </c>
    </row>
    <row r="4" spans="1:22" x14ac:dyDescent="0.25">
      <c r="A4" s="18" t="s">
        <v>254</v>
      </c>
      <c r="B4" s="18" t="s">
        <v>255</v>
      </c>
      <c r="C4" s="18" t="s">
        <v>256</v>
      </c>
      <c r="D4" s="18" t="s">
        <v>257</v>
      </c>
      <c r="E4" s="18" t="s">
        <v>258</v>
      </c>
      <c r="F4" s="18" t="s">
        <v>259</v>
      </c>
      <c r="G4" s="18" t="s">
        <v>260</v>
      </c>
      <c r="H4" s="18" t="s">
        <v>261</v>
      </c>
      <c r="I4" s="18" t="s">
        <v>262</v>
      </c>
      <c r="J4" s="18" t="s">
        <v>263</v>
      </c>
      <c r="K4" s="18" t="s">
        <v>264</v>
      </c>
      <c r="L4" s="18" t="s">
        <v>265</v>
      </c>
      <c r="M4" s="18" t="s">
        <v>266</v>
      </c>
      <c r="N4" s="18" t="s">
        <v>267</v>
      </c>
      <c r="O4" s="18" t="s">
        <v>268</v>
      </c>
      <c r="P4" s="18" t="s">
        <v>269</v>
      </c>
      <c r="Q4" s="18" t="s">
        <v>270</v>
      </c>
      <c r="R4" s="18" t="s">
        <v>271</v>
      </c>
      <c r="S4" s="18" t="s">
        <v>272</v>
      </c>
      <c r="T4" s="18" t="s">
        <v>273</v>
      </c>
    </row>
    <row r="5" spans="1:22" x14ac:dyDescent="0.25">
      <c r="A5" s="18" t="s">
        <v>4</v>
      </c>
      <c r="B5" s="18" t="s">
        <v>20</v>
      </c>
      <c r="C5" s="6">
        <v>8253</v>
      </c>
      <c r="D5" s="18" t="s">
        <v>274</v>
      </c>
      <c r="E5" s="18" t="s">
        <v>275</v>
      </c>
      <c r="F5" s="18" t="s">
        <v>276</v>
      </c>
      <c r="G5" s="18" t="s">
        <v>277</v>
      </c>
      <c r="H5" s="6">
        <v>1958</v>
      </c>
      <c r="I5" s="18" t="s">
        <v>278</v>
      </c>
      <c r="J5" s="6">
        <v>8253</v>
      </c>
      <c r="K5" s="18" t="s">
        <v>279</v>
      </c>
      <c r="L5" s="18"/>
      <c r="M5" s="18" t="s">
        <v>93</v>
      </c>
      <c r="N5" s="18" t="s">
        <v>28</v>
      </c>
      <c r="O5" s="6">
        <v>13886</v>
      </c>
      <c r="P5" s="6">
        <v>0</v>
      </c>
      <c r="Q5" s="6">
        <v>8497</v>
      </c>
      <c r="R5" s="6">
        <v>2006</v>
      </c>
      <c r="S5" s="19" t="s">
        <v>252</v>
      </c>
      <c r="T5" s="18"/>
      <c r="V5" s="6" t="str">
        <f t="shared" ref="V5:V68" si="0">"('"&amp;A5&amp;"', '"&amp;B5&amp;"', '"&amp;C5&amp;"', '"&amp;D5&amp;"', "&amp;IF(ISBLANK(E5),"null","'"&amp;E5&amp;"'")&amp;","&amp;IF(ISBLANK(F5),"null","'"&amp;F5&amp;"'")&amp;","&amp;IF(ISBLANK(G5),"null","'"&amp;G5&amp;"'")&amp;","&amp;IF(ISBLANK(H5),"null",H5)&amp;","&amp;IF(ISBLANK(I5),"null","'"&amp;I5&amp;"'")&amp;","&amp;IF(ISBLANK(J5),"null","'"&amp;J5&amp;"'")&amp;","&amp;IF(ISBLANK(K5),"null","'"&amp;K5&amp;"'")&amp;","&amp;IF(ISBLANK(M5),"null","'"&amp;M5&amp;"'")&amp;","&amp;IF(ISBLANK(N5),"null","'"&amp;N5&amp;"'")&amp;","&amp;IF(ISBLANK(O5),"null",O5)&amp;","&amp;IF(ISBLANK(P5),"null",P5)&amp;","&amp;IF(ISBLANK(Q5),"null",Q5)&amp;","&amp;IF(ISBLANK(R5),"null",R5)&amp;","&amp;IF(ISBLANK(S5),"null","'"&amp;S5&amp;"'")&amp;","&amp;IF(ISBLANK(T5),"null","'"&amp;T5&amp;"'")&amp;"),"</f>
        <v>('demo', 'martin@comunas.fm', '8253', 'best. Schulhaus Zentrum', 'T02','ST02-12','C0',1958,'Schulstrasse 5','8253','Diessenhofen','ch','chf',13886,0,8497,2006,'N',null),</v>
      </c>
    </row>
    <row r="6" spans="1:22" x14ac:dyDescent="0.25">
      <c r="A6" s="18" t="s">
        <v>4</v>
      </c>
      <c r="B6" s="18" t="s">
        <v>20</v>
      </c>
      <c r="C6" s="6">
        <v>8255</v>
      </c>
      <c r="D6" s="18" t="s">
        <v>280</v>
      </c>
      <c r="E6" s="18" t="s">
        <v>275</v>
      </c>
      <c r="F6" s="18" t="s">
        <v>276</v>
      </c>
      <c r="G6" s="18" t="s">
        <v>277</v>
      </c>
      <c r="H6" s="6">
        <v>1970</v>
      </c>
      <c r="I6" s="18" t="s">
        <v>281</v>
      </c>
      <c r="J6" s="6">
        <v>8255</v>
      </c>
      <c r="K6" s="18" t="s">
        <v>282</v>
      </c>
      <c r="L6" s="18"/>
      <c r="M6" s="18" t="s">
        <v>93</v>
      </c>
      <c r="N6" s="18" t="s">
        <v>28</v>
      </c>
      <c r="O6" s="6">
        <v>3539</v>
      </c>
      <c r="P6" s="6">
        <v>0</v>
      </c>
      <c r="Q6" s="6">
        <v>2480</v>
      </c>
      <c r="R6" s="6">
        <v>2006</v>
      </c>
      <c r="S6" s="19" t="s">
        <v>252</v>
      </c>
      <c r="T6" s="18"/>
      <c r="V6" s="6" t="str">
        <f t="shared" si="0"/>
        <v>('demo', 'martin@comunas.fm', '8255', 'Schulhaus Schlattingen', 'T02','ST02-12','C0',1970,'Bahnhofstrasse 1','8255','Schlattingen','ch','chf',3539,0,2480,2006,'N',null),</v>
      </c>
    </row>
    <row r="7" spans="1:22" x14ac:dyDescent="0.25">
      <c r="A7" s="18" t="s">
        <v>4</v>
      </c>
      <c r="B7" s="18" t="s">
        <v>20</v>
      </c>
      <c r="C7" s="6">
        <v>8253</v>
      </c>
      <c r="D7" s="18" t="s">
        <v>283</v>
      </c>
      <c r="E7" s="18" t="s">
        <v>275</v>
      </c>
      <c r="F7" s="18" t="s">
        <v>284</v>
      </c>
      <c r="G7" s="18" t="s">
        <v>285</v>
      </c>
      <c r="H7" s="6">
        <v>1973</v>
      </c>
      <c r="I7" s="18" t="s">
        <v>286</v>
      </c>
      <c r="J7" s="6">
        <v>8253</v>
      </c>
      <c r="K7" s="18" t="s">
        <v>279</v>
      </c>
      <c r="L7" s="18"/>
      <c r="M7" s="18" t="s">
        <v>93</v>
      </c>
      <c r="N7" s="18" t="s">
        <v>28</v>
      </c>
      <c r="O7" s="6">
        <v>1624</v>
      </c>
      <c r="P7" s="6">
        <v>0</v>
      </c>
      <c r="Q7" s="6">
        <v>861</v>
      </c>
      <c r="R7" s="6">
        <v>2009</v>
      </c>
      <c r="S7" s="19" t="s">
        <v>252</v>
      </c>
      <c r="T7" s="18"/>
      <c r="V7" s="6" t="str">
        <f t="shared" si="0"/>
        <v>('demo', 'martin@comunas.fm', '8253', 'Kindergarten Schupfenzelg', 'T02','ST01-4','C8',1973,'Schützenstrasse','8253','Diessenhofen','ch','chf',1624,0,861,2009,'N',null),</v>
      </c>
    </row>
    <row r="8" spans="1:22" x14ac:dyDescent="0.25">
      <c r="A8" s="18" t="s">
        <v>4</v>
      </c>
      <c r="B8" s="18" t="s">
        <v>20</v>
      </c>
      <c r="C8" s="6">
        <v>8479</v>
      </c>
      <c r="D8" s="18" t="s">
        <v>287</v>
      </c>
      <c r="E8" s="18" t="s">
        <v>288</v>
      </c>
      <c r="F8" s="18" t="s">
        <v>289</v>
      </c>
      <c r="G8" s="18" t="s">
        <v>290</v>
      </c>
      <c r="H8" s="6">
        <v>1982</v>
      </c>
      <c r="I8" s="18" t="s">
        <v>291</v>
      </c>
      <c r="J8" s="6">
        <v>8479</v>
      </c>
      <c r="K8" s="18" t="s">
        <v>292</v>
      </c>
      <c r="L8" s="18"/>
      <c r="M8" s="18" t="s">
        <v>93</v>
      </c>
      <c r="N8" s="18" t="s">
        <v>28</v>
      </c>
      <c r="O8" s="6">
        <v>3490</v>
      </c>
      <c r="P8" s="6">
        <v>0</v>
      </c>
      <c r="Q8" s="6">
        <v>2080</v>
      </c>
      <c r="R8" s="6">
        <v>2003</v>
      </c>
      <c r="S8" s="19" t="s">
        <v>252</v>
      </c>
      <c r="T8" s="18"/>
      <c r="V8" s="6" t="str">
        <f t="shared" si="0"/>
        <v>('demo', 'martin@comunas.fm', '8479', 'Laubenhuus', 'T01','ST02-11','C7',1982,'Feldistrasse 6/8','8479','Altikon','ch','chf',3490,0,2080,2003,'N',null),</v>
      </c>
    </row>
    <row r="9" spans="1:22" x14ac:dyDescent="0.25">
      <c r="A9" s="18" t="s">
        <v>4</v>
      </c>
      <c r="B9" s="18" t="s">
        <v>20</v>
      </c>
      <c r="C9" s="6">
        <v>8266</v>
      </c>
      <c r="D9" s="18" t="s">
        <v>293</v>
      </c>
      <c r="E9" s="18" t="s">
        <v>275</v>
      </c>
      <c r="F9" s="18" t="s">
        <v>276</v>
      </c>
      <c r="G9" s="18" t="s">
        <v>294</v>
      </c>
      <c r="H9" s="6">
        <v>2004</v>
      </c>
      <c r="I9" s="18" t="s">
        <v>295</v>
      </c>
      <c r="J9" s="6">
        <v>8266</v>
      </c>
      <c r="K9" s="18" t="s">
        <v>296</v>
      </c>
      <c r="L9" s="18"/>
      <c r="M9" s="18" t="s">
        <v>93</v>
      </c>
      <c r="N9" s="18" t="s">
        <v>28</v>
      </c>
      <c r="O9" s="6">
        <v>18099</v>
      </c>
      <c r="P9" s="6">
        <v>0</v>
      </c>
      <c r="Q9" s="6">
        <v>9298</v>
      </c>
      <c r="R9" s="6">
        <v>2005</v>
      </c>
      <c r="S9" s="19" t="s">
        <v>252</v>
      </c>
      <c r="T9" s="18" t="s">
        <v>297</v>
      </c>
      <c r="V9" s="6" t="str">
        <f t="shared" si="0"/>
        <v>('demo', 'martin@comunas.fm', '8266', 'Oberstufenschulhaus Feldbach', 'T02','ST02-12','C9',2004,'Feldbach','8266','Steckborn','ch','chf',18099,0,9298,2005,'N','Bauherrschaft: Oberstufenschulgemeinde\nGV-Wert und Volumen inkl. Velounterstand\nAula (200 Plätze)\nAufzug mit Innentür gem. akt. Vorschriften'),</v>
      </c>
    </row>
    <row r="10" spans="1:22" x14ac:dyDescent="0.25">
      <c r="A10" s="18" t="s">
        <v>4</v>
      </c>
      <c r="B10" s="18" t="s">
        <v>20</v>
      </c>
      <c r="C10" s="6">
        <v>8266</v>
      </c>
      <c r="D10" s="18" t="s">
        <v>298</v>
      </c>
      <c r="E10" s="18" t="s">
        <v>275</v>
      </c>
      <c r="F10" s="18" t="s">
        <v>276</v>
      </c>
      <c r="G10" s="18" t="s">
        <v>294</v>
      </c>
      <c r="H10" s="6">
        <v>1954</v>
      </c>
      <c r="I10" s="18" t="s">
        <v>299</v>
      </c>
      <c r="J10" s="6">
        <v>8266</v>
      </c>
      <c r="K10" s="18" t="s">
        <v>296</v>
      </c>
      <c r="L10" s="18"/>
      <c r="M10" s="18" t="s">
        <v>93</v>
      </c>
      <c r="N10" s="18" t="s">
        <v>28</v>
      </c>
      <c r="O10" s="6">
        <v>3558</v>
      </c>
      <c r="P10" s="6">
        <v>0</v>
      </c>
      <c r="Q10" s="6">
        <v>2180</v>
      </c>
      <c r="R10" s="6">
        <v>2009</v>
      </c>
      <c r="S10" s="19" t="s">
        <v>252</v>
      </c>
      <c r="T10" s="18"/>
      <c r="V10" s="6" t="str">
        <f t="shared" si="0"/>
        <v>('demo', 'martin@comunas.fm', '8266', 'Hub gelb', 'T02','ST02-12','C9',1954,'Frauenfelderstrasse 10','8266','Steckborn','ch','chf',3558,0,2180,2009,'N',null),</v>
      </c>
    </row>
    <row r="11" spans="1:22" x14ac:dyDescent="0.25">
      <c r="A11" s="18" t="s">
        <v>4</v>
      </c>
      <c r="B11" s="18" t="s">
        <v>20</v>
      </c>
      <c r="C11" s="6">
        <v>8266</v>
      </c>
      <c r="D11" s="18" t="s">
        <v>300</v>
      </c>
      <c r="E11" s="18" t="s">
        <v>275</v>
      </c>
      <c r="F11" s="18" t="s">
        <v>276</v>
      </c>
      <c r="G11" s="18" t="s">
        <v>294</v>
      </c>
      <c r="H11" s="6">
        <v>1863</v>
      </c>
      <c r="I11" s="18" t="s">
        <v>301</v>
      </c>
      <c r="J11" s="6">
        <v>8266</v>
      </c>
      <c r="K11" s="18" t="s">
        <v>296</v>
      </c>
      <c r="L11" s="18"/>
      <c r="M11" s="18" t="s">
        <v>93</v>
      </c>
      <c r="N11" s="18" t="s">
        <v>28</v>
      </c>
      <c r="O11" s="6">
        <v>4193</v>
      </c>
      <c r="P11" s="6">
        <v>0</v>
      </c>
      <c r="Q11" s="6">
        <v>2279</v>
      </c>
      <c r="R11" s="6">
        <v>2009</v>
      </c>
      <c r="S11" s="19" t="s">
        <v>252</v>
      </c>
      <c r="T11" s="18" t="s">
        <v>302</v>
      </c>
      <c r="V11" s="6" t="str">
        <f t="shared" si="0"/>
        <v>('demo', 'martin@comunas.fm', '8266', 'Seeschulhaus', 'T02','ST02-12','C9',1863,'Seestrasse 126','8266','Steckborn','ch','chf',4193,0,2279,2009,'N','Ein Baubeschrieb ist nicht vorhanden.\n1998 und 2000 erfolgte ein Sanierung innen und aussen.'),</v>
      </c>
    </row>
    <row r="12" spans="1:22" x14ac:dyDescent="0.25">
      <c r="A12" s="18" t="s">
        <v>4</v>
      </c>
      <c r="B12" s="18" t="s">
        <v>20</v>
      </c>
      <c r="C12" s="6">
        <v>8266</v>
      </c>
      <c r="D12" s="18" t="s">
        <v>303</v>
      </c>
      <c r="E12" s="18" t="s">
        <v>304</v>
      </c>
      <c r="F12" s="18" t="s">
        <v>305</v>
      </c>
      <c r="G12" s="18" t="s">
        <v>294</v>
      </c>
      <c r="H12" s="6">
        <v>1981</v>
      </c>
      <c r="I12" s="18" t="s">
        <v>295</v>
      </c>
      <c r="J12" s="6">
        <v>8266</v>
      </c>
      <c r="K12" s="18" t="s">
        <v>296</v>
      </c>
      <c r="L12" s="18"/>
      <c r="M12" s="18" t="s">
        <v>93</v>
      </c>
      <c r="N12" s="18" t="s">
        <v>28</v>
      </c>
      <c r="O12" s="6">
        <v>21371</v>
      </c>
      <c r="P12" s="6">
        <v>0</v>
      </c>
      <c r="Q12" s="6">
        <v>7694</v>
      </c>
      <c r="R12" s="6">
        <v>2009</v>
      </c>
      <c r="S12" s="19" t="s">
        <v>252</v>
      </c>
      <c r="T12" s="18"/>
      <c r="V12" s="6" t="str">
        <f t="shared" si="0"/>
        <v>('demo', 'martin@comunas.fm', '8266', 'Sport- und Mehrzweckhalle', 'T12','ST01-9','C9',1981,'Feldbach','8266','Steckborn','ch','chf',21371,0,7694,2009,'N',null),</v>
      </c>
    </row>
    <row r="13" spans="1:22" x14ac:dyDescent="0.25">
      <c r="A13" s="18" t="s">
        <v>4</v>
      </c>
      <c r="B13" s="18" t="s">
        <v>20</v>
      </c>
      <c r="C13" s="6">
        <v>8266</v>
      </c>
      <c r="D13" s="18" t="s">
        <v>306</v>
      </c>
      <c r="E13" s="18" t="s">
        <v>275</v>
      </c>
      <c r="F13" s="18" t="s">
        <v>276</v>
      </c>
      <c r="G13" s="18" t="s">
        <v>294</v>
      </c>
      <c r="H13" s="6">
        <v>1953</v>
      </c>
      <c r="I13" s="18" t="s">
        <v>307</v>
      </c>
      <c r="J13" s="6">
        <v>8266</v>
      </c>
      <c r="K13" s="18" t="s">
        <v>296</v>
      </c>
      <c r="L13" s="18"/>
      <c r="M13" s="18" t="s">
        <v>93</v>
      </c>
      <c r="N13" s="18" t="s">
        <v>28</v>
      </c>
      <c r="O13" s="6">
        <v>3015</v>
      </c>
      <c r="P13" s="6">
        <v>0</v>
      </c>
      <c r="Q13" s="6">
        <v>1718</v>
      </c>
      <c r="R13" s="6">
        <v>2006</v>
      </c>
      <c r="S13" s="19" t="s">
        <v>252</v>
      </c>
      <c r="T13" s="18" t="s">
        <v>308</v>
      </c>
      <c r="V13" s="6" t="str">
        <f t="shared" si="0"/>
        <v>('demo', 'martin@comunas.fm', '8266', 'Hub rot', 'T02','ST02-12','C9',1953,'Frauenfelderstrasse 8','8266','Steckborn','ch','chf',3015,0,1718,2006,'N','inkl. Pausenhalle; Bj. 1962, Vers.wert: 2''705''000.-\nSanierung wie Hub gelb\nAula: Heizung ohne Thermostaten, tw. keine Storen (aussen) nur Innenverdunklung, Lüftung vorh.'),</v>
      </c>
    </row>
    <row r="14" spans="1:22" x14ac:dyDescent="0.25">
      <c r="A14" s="18" t="s">
        <v>4</v>
      </c>
      <c r="B14" s="18" t="s">
        <v>20</v>
      </c>
      <c r="C14" s="6">
        <v>8266</v>
      </c>
      <c r="D14" s="18" t="s">
        <v>309</v>
      </c>
      <c r="E14" s="18" t="s">
        <v>275</v>
      </c>
      <c r="F14" s="18" t="s">
        <v>284</v>
      </c>
      <c r="G14" s="18" t="s">
        <v>285</v>
      </c>
      <c r="H14" s="6">
        <v>1996</v>
      </c>
      <c r="I14" s="18" t="s">
        <v>310</v>
      </c>
      <c r="J14" s="6">
        <v>8266</v>
      </c>
      <c r="K14" s="18" t="s">
        <v>296</v>
      </c>
      <c r="L14" s="18"/>
      <c r="M14" s="18" t="s">
        <v>93</v>
      </c>
      <c r="N14" s="18" t="s">
        <v>28</v>
      </c>
      <c r="O14" s="6">
        <v>2601</v>
      </c>
      <c r="P14" s="6">
        <v>0</v>
      </c>
      <c r="Q14" s="6">
        <v>1464</v>
      </c>
      <c r="R14" s="6">
        <v>2010</v>
      </c>
      <c r="S14" s="19" t="s">
        <v>252</v>
      </c>
      <c r="T14" s="18"/>
      <c r="V14" s="6" t="str">
        <f t="shared" si="0"/>
        <v>('demo', 'martin@comunas.fm', '8266', 'Doppelkindergarten', 'T02','ST01-4','C8',1996,'Zelgistrasse 8','8266','Steckborn','ch','chf',2601,0,1464,2010,'N',null),</v>
      </c>
    </row>
    <row r="15" spans="1:22" x14ac:dyDescent="0.25">
      <c r="A15" s="18" t="s">
        <v>4</v>
      </c>
      <c r="B15" s="18" t="s">
        <v>20</v>
      </c>
      <c r="C15" s="6">
        <v>8266</v>
      </c>
      <c r="D15" s="18" t="s">
        <v>311</v>
      </c>
      <c r="E15" s="18" t="s">
        <v>275</v>
      </c>
      <c r="F15" s="18" t="s">
        <v>276</v>
      </c>
      <c r="G15" s="18" t="s">
        <v>294</v>
      </c>
      <c r="H15" s="6">
        <v>2011</v>
      </c>
      <c r="I15" s="18" t="s">
        <v>312</v>
      </c>
      <c r="J15" s="6">
        <v>8266</v>
      </c>
      <c r="K15" s="18" t="s">
        <v>296</v>
      </c>
      <c r="L15" s="18"/>
      <c r="M15" s="18" t="s">
        <v>93</v>
      </c>
      <c r="N15" s="18" t="s">
        <v>28</v>
      </c>
      <c r="O15" s="6">
        <v>3928</v>
      </c>
      <c r="P15" s="6">
        <v>0</v>
      </c>
      <c r="Q15" s="6">
        <v>1500</v>
      </c>
      <c r="R15" s="6">
        <v>2011</v>
      </c>
      <c r="S15" s="19" t="s">
        <v>252</v>
      </c>
      <c r="T15" s="18" t="s">
        <v>313</v>
      </c>
      <c r="V15" s="6" t="str">
        <f t="shared" si="0"/>
        <v>('demo', 'martin@comunas.fm', '8266', 'Hub blau', 'T02','ST02-12','C9',2011,'Hubstrasse','8266','Steckborn','ch','chf',3928,0,1500,2011,'N','Kellerraum (Musikzimmer) feucht!'),</v>
      </c>
    </row>
    <row r="16" spans="1:22" x14ac:dyDescent="0.25">
      <c r="A16" s="18" t="s">
        <v>4</v>
      </c>
      <c r="B16" s="18" t="s">
        <v>20</v>
      </c>
      <c r="C16" s="6">
        <v>5620</v>
      </c>
      <c r="D16" s="18" t="s">
        <v>314</v>
      </c>
      <c r="E16" s="18" t="s">
        <v>275</v>
      </c>
      <c r="F16" s="18" t="s">
        <v>276</v>
      </c>
      <c r="G16" s="18" t="s">
        <v>294</v>
      </c>
      <c r="H16" s="6">
        <v>1973</v>
      </c>
      <c r="I16" s="18" t="s">
        <v>315</v>
      </c>
      <c r="J16" s="6">
        <v>5620</v>
      </c>
      <c r="K16" s="18" t="s">
        <v>316</v>
      </c>
      <c r="L16" s="18"/>
      <c r="M16" s="18" t="s">
        <v>93</v>
      </c>
      <c r="N16" s="18" t="s">
        <v>28</v>
      </c>
      <c r="O16" s="6">
        <v>21342</v>
      </c>
      <c r="P16" s="6">
        <v>0</v>
      </c>
      <c r="Q16" s="6">
        <v>9928</v>
      </c>
      <c r="R16" s="6">
        <v>1990</v>
      </c>
      <c r="S16" s="19" t="s">
        <v>252</v>
      </c>
      <c r="T16" s="18" t="s">
        <v>317</v>
      </c>
      <c r="V16" s="6" t="str">
        <f t="shared" si="0"/>
        <v>('demo', 'martin@comunas.fm', '5620', 'Schulhaus Isenlauf', 'T02','ST02-12','C9',1973,'Badstrasse 3','5620','Bremgarten','ch','chf',21342,0,9928,1990,'N','Anbau ''87, Heizzentrale Holzschnitzel ''08, danach Setzungen und Risse\nFenstergläser in Anbau ''95, im Altbau ''95 IV (auf Südseite sind Gläser gedreht), Rafflamellen ''87/''95\nSommerlicher Wärmeschutz ist nicht genügend\nFäkalienpumpe 3-4 Jahre alt\nIn Werkräumen kein zentraler Schlüsselschalter'),</v>
      </c>
    </row>
    <row r="17" spans="1:22" x14ac:dyDescent="0.25">
      <c r="A17" s="18" t="s">
        <v>4</v>
      </c>
      <c r="B17" s="18" t="s">
        <v>20</v>
      </c>
      <c r="C17" s="6">
        <v>5620</v>
      </c>
      <c r="D17" s="18" t="s">
        <v>318</v>
      </c>
      <c r="E17" s="18" t="s">
        <v>275</v>
      </c>
      <c r="F17" s="18" t="s">
        <v>284</v>
      </c>
      <c r="G17" s="18" t="s">
        <v>294</v>
      </c>
      <c r="H17" s="6">
        <v>1927</v>
      </c>
      <c r="I17" s="18" t="s">
        <v>319</v>
      </c>
      <c r="J17" s="6">
        <v>5620</v>
      </c>
      <c r="K17" s="18" t="s">
        <v>316</v>
      </c>
      <c r="L17" s="18"/>
      <c r="M17" s="18" t="s">
        <v>93</v>
      </c>
      <c r="N17" s="18" t="s">
        <v>28</v>
      </c>
      <c r="O17" s="6">
        <v>2218</v>
      </c>
      <c r="P17" s="6">
        <v>614</v>
      </c>
      <c r="Q17" s="6">
        <v>1341</v>
      </c>
      <c r="R17" s="6">
        <v>2005</v>
      </c>
      <c r="S17" s="19" t="s">
        <v>252</v>
      </c>
      <c r="T17" s="18" t="s">
        <v>320</v>
      </c>
      <c r="V17" s="6" t="str">
        <f t="shared" si="0"/>
        <v>('demo', 'martin@comunas.fm', '5620', 'Kindergarten Unterstadt', 'T02','ST01-4','C9',1927,'Klosterweg 6','5620','Bremgarten','ch','chf',2218,614,1341,2005,'N','IV-Verglasung auf Nordseite\nAkustikdecken im KG\nkein UG vorh.\nNeubau: Beschattungselemente in Holz: Schiebeläden (fkt. n. mehr)\nAltbau: Holzläden'),</v>
      </c>
    </row>
    <row r="18" spans="1:22" x14ac:dyDescent="0.25">
      <c r="A18" s="18" t="s">
        <v>4</v>
      </c>
      <c r="B18" s="18" t="s">
        <v>20</v>
      </c>
      <c r="C18" s="6">
        <v>9470</v>
      </c>
      <c r="D18" s="18" t="s">
        <v>321</v>
      </c>
      <c r="E18" s="18" t="s">
        <v>304</v>
      </c>
      <c r="F18" s="18" t="s">
        <v>305</v>
      </c>
      <c r="G18" s="18" t="s">
        <v>294</v>
      </c>
      <c r="H18" s="6">
        <v>1964</v>
      </c>
      <c r="I18" s="18" t="s">
        <v>322</v>
      </c>
      <c r="J18" s="6">
        <v>9470</v>
      </c>
      <c r="K18" s="18" t="s">
        <v>323</v>
      </c>
      <c r="L18" s="18"/>
      <c r="M18" s="18" t="s">
        <v>93</v>
      </c>
      <c r="N18" s="18" t="s">
        <v>28</v>
      </c>
      <c r="O18" s="6">
        <v>5663</v>
      </c>
      <c r="P18" s="6">
        <v>0</v>
      </c>
      <c r="Q18" s="6">
        <v>2530</v>
      </c>
      <c r="R18" s="6">
        <v>2003</v>
      </c>
      <c r="S18" s="19" t="s">
        <v>252</v>
      </c>
      <c r="T18" s="18" t="s">
        <v>324</v>
      </c>
      <c r="V18" s="6" t="str">
        <f t="shared" si="0"/>
        <v>('demo', 'martin@comunas.fm', '9470', 'Turnhalle', 'T12','ST01-9','C9',1964,'Hanflandstr. 5','9470','Buchs SG','ch','chf',5663,0,2530,2003,'N','Bühnenmaterialraum, Aussengeräteraum'),</v>
      </c>
    </row>
    <row r="19" spans="1:22" x14ac:dyDescent="0.25">
      <c r="A19" s="18" t="s">
        <v>4</v>
      </c>
      <c r="B19" s="18" t="s">
        <v>20</v>
      </c>
      <c r="C19" s="6">
        <v>9470</v>
      </c>
      <c r="D19" s="18" t="s">
        <v>325</v>
      </c>
      <c r="E19" s="18" t="s">
        <v>275</v>
      </c>
      <c r="F19" s="18" t="s">
        <v>284</v>
      </c>
      <c r="G19" s="18" t="s">
        <v>285</v>
      </c>
      <c r="H19" s="6">
        <v>1964</v>
      </c>
      <c r="I19" s="18" t="s">
        <v>326</v>
      </c>
      <c r="J19" s="6">
        <v>9470</v>
      </c>
      <c r="K19" s="18" t="s">
        <v>323</v>
      </c>
      <c r="L19" s="18"/>
      <c r="M19" s="18" t="s">
        <v>93</v>
      </c>
      <c r="N19" s="18" t="s">
        <v>28</v>
      </c>
      <c r="O19" s="6">
        <v>1320</v>
      </c>
      <c r="P19" s="6">
        <v>0</v>
      </c>
      <c r="Q19" s="6">
        <v>1020</v>
      </c>
      <c r="R19" s="6">
        <v>2003</v>
      </c>
      <c r="S19" s="19" t="s">
        <v>252</v>
      </c>
      <c r="T19" s="18" t="s">
        <v>327</v>
      </c>
      <c r="V19" s="6" t="str">
        <f t="shared" si="0"/>
        <v>('demo', 'martin@comunas.fm', '9470', 'Kindergarten / HW-Wohnung', 'T02','ST01-4','C8',1964,'Hanflandstr. 3','9470','Buchs SG','ch','chf',1320,0,1020,2003,'N','nicht unterkellert, Hauswartbüro vorhanden'),</v>
      </c>
    </row>
    <row r="20" spans="1:22" x14ac:dyDescent="0.25">
      <c r="A20" s="18" t="s">
        <v>4</v>
      </c>
      <c r="B20" s="18" t="s">
        <v>20</v>
      </c>
      <c r="C20" s="6">
        <v>9470</v>
      </c>
      <c r="D20" s="18" t="s">
        <v>328</v>
      </c>
      <c r="E20" s="18" t="s">
        <v>275</v>
      </c>
      <c r="F20" s="18" t="s">
        <v>284</v>
      </c>
      <c r="G20" s="18" t="s">
        <v>285</v>
      </c>
      <c r="H20" s="6">
        <v>1966</v>
      </c>
      <c r="I20" s="18" t="s">
        <v>329</v>
      </c>
      <c r="J20" s="6">
        <v>9470</v>
      </c>
      <c r="K20" s="18" t="s">
        <v>323</v>
      </c>
      <c r="L20" s="18"/>
      <c r="M20" s="18" t="s">
        <v>93</v>
      </c>
      <c r="N20" s="18" t="s">
        <v>28</v>
      </c>
      <c r="O20" s="6">
        <v>1812</v>
      </c>
      <c r="P20" s="6">
        <v>0</v>
      </c>
      <c r="Q20" s="6">
        <v>997</v>
      </c>
      <c r="R20" s="6">
        <v>2012</v>
      </c>
      <c r="S20" s="19" t="s">
        <v>252</v>
      </c>
      <c r="T20" s="18" t="s">
        <v>330</v>
      </c>
      <c r="V20" s="6" t="str">
        <f t="shared" si="0"/>
        <v>('demo', 'martin@comunas.fm', '9470', 'Kindergarten-Pavillon Birkenau', 'T02','ST01-4','C8',1966,'Birkenaustrasse 12','9470','Buchs SG','ch','chf',1812,0,997,2012,'N','Baujahr gem. Ang. Liegenschaftenverwalter 1966, jedoch eher um 2000 bis 2012\nVermutlich wurde beim Hauptgebäude die Gebäudehülle und tw. der Innenausbau erneuert, Fundament, Böden, Innenwände und Haustechnik grösstenteils neu, tw. original'),</v>
      </c>
    </row>
    <row r="21" spans="1:22" x14ac:dyDescent="0.25">
      <c r="A21" s="18" t="s">
        <v>4</v>
      </c>
      <c r="B21" s="18" t="s">
        <v>20</v>
      </c>
      <c r="C21" s="6">
        <v>9470</v>
      </c>
      <c r="D21" s="18" t="s">
        <v>331</v>
      </c>
      <c r="E21" s="18" t="s">
        <v>275</v>
      </c>
      <c r="F21" s="18" t="s">
        <v>276</v>
      </c>
      <c r="G21" s="18" t="s">
        <v>294</v>
      </c>
      <c r="H21" s="6">
        <v>1972</v>
      </c>
      <c r="I21" s="18" t="s">
        <v>332</v>
      </c>
      <c r="J21" s="6">
        <v>9470</v>
      </c>
      <c r="K21" s="18" t="s">
        <v>323</v>
      </c>
      <c r="L21" s="18"/>
      <c r="M21" s="18" t="s">
        <v>93</v>
      </c>
      <c r="N21" s="18" t="s">
        <v>28</v>
      </c>
      <c r="O21" s="6">
        <v>2117</v>
      </c>
      <c r="P21" s="6">
        <v>0</v>
      </c>
      <c r="Q21" s="6">
        <v>2421</v>
      </c>
      <c r="R21" s="6">
        <v>2010</v>
      </c>
      <c r="S21" s="19" t="s">
        <v>252</v>
      </c>
      <c r="T21" s="18" t="s">
        <v>333</v>
      </c>
      <c r="V21" s="6" t="str">
        <f t="shared" si="0"/>
        <v>('demo', 'martin@comunas.fm', '9470', 'Aula OZ Flös', 'T02','ST02-12','C9',1972,'Heldaustrasse 48','9470','Buchs SG','ch','chf',2117,0,2421,2010,'N','Rauchabzug im  EG + Saal, Archiv vorhanden'),</v>
      </c>
    </row>
    <row r="22" spans="1:22" x14ac:dyDescent="0.25">
      <c r="A22" s="18" t="s">
        <v>4</v>
      </c>
      <c r="B22" s="18" t="s">
        <v>20</v>
      </c>
      <c r="C22" s="6">
        <v>9470</v>
      </c>
      <c r="D22" s="18" t="s">
        <v>334</v>
      </c>
      <c r="E22" s="18" t="s">
        <v>275</v>
      </c>
      <c r="F22" s="18" t="s">
        <v>276</v>
      </c>
      <c r="G22" s="18" t="s">
        <v>294</v>
      </c>
      <c r="H22" s="6">
        <v>1972</v>
      </c>
      <c r="I22" s="18" t="s">
        <v>335</v>
      </c>
      <c r="J22" s="6">
        <v>9470</v>
      </c>
      <c r="K22" s="18" t="s">
        <v>323</v>
      </c>
      <c r="L22" s="18"/>
      <c r="M22" s="18" t="s">
        <v>93</v>
      </c>
      <c r="N22" s="18" t="s">
        <v>28</v>
      </c>
      <c r="O22" s="6">
        <v>57081</v>
      </c>
      <c r="P22" s="6">
        <v>0</v>
      </c>
      <c r="Q22" s="6">
        <v>25686</v>
      </c>
      <c r="R22" s="6">
        <v>2010</v>
      </c>
      <c r="S22" s="19" t="s">
        <v>252</v>
      </c>
      <c r="T22" s="18" t="s">
        <v>336</v>
      </c>
      <c r="V22" s="6" t="str">
        <f t="shared" si="0"/>
        <v>('demo', 'martin@comunas.fm', '9470', 'Schulanlage / Hallenbad', 'T02','ST02-12','C9',1972,'Heldaustrasse 50','9470','Buchs SG','ch','chf',57081,0,25686,2010,'N','Boden: Klinker tw. beschädigt wird aber saniert, Kochschule + Unterrichtsraum, Materialraum , Grundwasserpumpe, Kühlung der Aula\nBaujahr gem. Ang. Liegenschaftenverwalter 1972, jedoch eher 2011'),</v>
      </c>
    </row>
    <row r="23" spans="1:22" x14ac:dyDescent="0.25">
      <c r="A23" s="18" t="s">
        <v>4</v>
      </c>
      <c r="B23" s="18" t="s">
        <v>20</v>
      </c>
      <c r="C23" s="6">
        <v>9470</v>
      </c>
      <c r="D23" s="18" t="s">
        <v>337</v>
      </c>
      <c r="E23" s="18" t="s">
        <v>275</v>
      </c>
      <c r="F23" s="18" t="s">
        <v>284</v>
      </c>
      <c r="G23" s="18" t="s">
        <v>285</v>
      </c>
      <c r="H23" s="6">
        <v>1970</v>
      </c>
      <c r="I23" s="18" t="s">
        <v>338</v>
      </c>
      <c r="J23" s="6">
        <v>9470</v>
      </c>
      <c r="K23" s="18" t="s">
        <v>323</v>
      </c>
      <c r="L23" s="18"/>
      <c r="M23" s="18" t="s">
        <v>93</v>
      </c>
      <c r="N23" s="18" t="s">
        <v>28</v>
      </c>
      <c r="O23" s="6">
        <v>832</v>
      </c>
      <c r="P23" s="6">
        <v>0</v>
      </c>
      <c r="Q23" s="6">
        <v>399</v>
      </c>
      <c r="R23" s="6">
        <v>2012</v>
      </c>
      <c r="S23" s="19" t="s">
        <v>252</v>
      </c>
      <c r="T23" s="18"/>
      <c r="V23" s="6" t="str">
        <f t="shared" si="0"/>
        <v>('demo', 'martin@comunas.fm', '9470', 'Kindergarten-Pavillon', 'T02','ST01-4','C8',1970,'Flösweg 3','9470','Buchs SG','ch','chf',832,0,399,2012,'N',null),</v>
      </c>
    </row>
    <row r="24" spans="1:22" x14ac:dyDescent="0.25">
      <c r="A24" s="18" t="s">
        <v>4</v>
      </c>
      <c r="B24" s="18" t="s">
        <v>20</v>
      </c>
      <c r="C24" s="6">
        <v>9470</v>
      </c>
      <c r="D24" s="18" t="s">
        <v>339</v>
      </c>
      <c r="E24" s="18" t="s">
        <v>275</v>
      </c>
      <c r="F24" s="18" t="s">
        <v>276</v>
      </c>
      <c r="G24" s="18" t="s">
        <v>294</v>
      </c>
      <c r="H24" s="6">
        <v>1951</v>
      </c>
      <c r="I24" s="18" t="s">
        <v>340</v>
      </c>
      <c r="J24" s="6">
        <v>9470</v>
      </c>
      <c r="K24" s="18" t="s">
        <v>323</v>
      </c>
      <c r="L24" s="18"/>
      <c r="M24" s="18" t="s">
        <v>93</v>
      </c>
      <c r="N24" s="18" t="s">
        <v>28</v>
      </c>
      <c r="O24" s="6">
        <v>7874</v>
      </c>
      <c r="P24" s="6">
        <v>0</v>
      </c>
      <c r="Q24" s="6">
        <v>4735</v>
      </c>
      <c r="R24" s="6">
        <v>2004</v>
      </c>
      <c r="S24" s="19" t="s">
        <v>252</v>
      </c>
      <c r="T24" s="18" t="s">
        <v>341</v>
      </c>
      <c r="V24" s="6" t="str">
        <f t="shared" si="0"/>
        <v>('demo', 'martin@comunas.fm', '9470', 'Schulhaus Kappeli', 'T02','ST02-12','C9',1951,'Volksgartenstrasse 12','9470','Buchs SG','ch','chf',7874,0,4735,2004,'N','Materialraum, Therapieraum, Schulküche (wird nicht mehr genutzt), Gruppenraum im UG: feucht, Hauswartraum vorhanden\nBaujahr Parkgarage: 1996'),</v>
      </c>
    </row>
    <row r="25" spans="1:22" x14ac:dyDescent="0.25">
      <c r="A25" s="18" t="s">
        <v>4</v>
      </c>
      <c r="B25" s="18" t="s">
        <v>20</v>
      </c>
      <c r="C25" s="6">
        <v>3032</v>
      </c>
      <c r="D25" s="18" t="s">
        <v>342</v>
      </c>
      <c r="E25" s="18" t="s">
        <v>288</v>
      </c>
      <c r="F25" s="18" t="s">
        <v>289</v>
      </c>
      <c r="G25" s="18" t="s">
        <v>290</v>
      </c>
      <c r="H25" s="6">
        <v>1834</v>
      </c>
      <c r="I25" s="18" t="s">
        <v>343</v>
      </c>
      <c r="J25" s="6">
        <v>3032</v>
      </c>
      <c r="K25" s="18" t="s">
        <v>344</v>
      </c>
      <c r="L25" s="18"/>
      <c r="M25" s="18" t="s">
        <v>93</v>
      </c>
      <c r="N25" s="18" t="s">
        <v>28</v>
      </c>
      <c r="O25" s="6">
        <v>1840</v>
      </c>
      <c r="P25" s="6">
        <v>0</v>
      </c>
      <c r="Q25" s="6">
        <v>1573</v>
      </c>
      <c r="R25" s="6">
        <v>2009</v>
      </c>
      <c r="S25" s="19" t="s">
        <v>345</v>
      </c>
      <c r="T25" s="18" t="s">
        <v>346</v>
      </c>
      <c r="V25" s="6" t="str">
        <f t="shared" si="0"/>
        <v>('demo', 'martin@comunas.fm', '3032', 'Wohn- und Geschäftshaus', 'T01','ST02-11','C7',1834,'Bergfeldstrasse 8','3032','Hinterkappelen','ch','chf',1840,0,1573,2009,'NW','Ehemalige Primarschule\nIm EG Praxis mit Mieterausbau (Oberflächen, Klimagerät, Beleuchtung, Einbauten)\nWärmepumpe wurde ersetzt, Oel-Heizung wird nur im Bedarfsfall genutzt\nWC in Praxis: muss mehrmals spülen bis ok.\nLehrerwohnung: B: PVC, Linol, Platten'),</v>
      </c>
    </row>
    <row r="26" spans="1:22" x14ac:dyDescent="0.25">
      <c r="A26" s="18" t="s">
        <v>4</v>
      </c>
      <c r="B26" s="18" t="s">
        <v>20</v>
      </c>
      <c r="C26" s="6">
        <v>3032</v>
      </c>
      <c r="D26" s="18" t="s">
        <v>347</v>
      </c>
      <c r="E26" s="18" t="s">
        <v>288</v>
      </c>
      <c r="F26" s="18" t="s">
        <v>289</v>
      </c>
      <c r="G26" s="18" t="s">
        <v>290</v>
      </c>
      <c r="H26" s="6">
        <v>1989</v>
      </c>
      <c r="I26" s="18" t="s">
        <v>348</v>
      </c>
      <c r="J26" s="6">
        <v>3032</v>
      </c>
      <c r="K26" s="18" t="s">
        <v>344</v>
      </c>
      <c r="L26" s="18"/>
      <c r="M26" s="18" t="s">
        <v>93</v>
      </c>
      <c r="N26" s="18" t="s">
        <v>28</v>
      </c>
      <c r="O26" s="6">
        <v>6160</v>
      </c>
      <c r="P26" s="6">
        <v>0</v>
      </c>
      <c r="Q26" s="6">
        <v>4304</v>
      </c>
      <c r="R26" s="6">
        <v>2009</v>
      </c>
      <c r="S26" s="19" t="s">
        <v>345</v>
      </c>
      <c r="T26" s="18" t="s">
        <v>349</v>
      </c>
      <c r="V26" s="6" t="str">
        <f t="shared" si="0"/>
        <v>('demo', 'martin@comunas.fm', '3032', 'Feuerwehrmagazin/3 Wohnungen', 'T01','ST02-11','C7',1989,'Dorfstrasse 45','3032','Hinterkappelen','ch','chf',6160,0,4304,2009,'NW','Fenster in Wohnung auf Südseite ist im Winter beschlagen (IV noch intakt?)\nSchlauchwasch- und Trocknungsanlage, Druckluft ok.\nDie Küchen wurden 2013 in allen drei Wg. saniert.\nLüftungsanlage inkl. Heizung\nKompressor'),</v>
      </c>
    </row>
    <row r="27" spans="1:22" x14ac:dyDescent="0.25">
      <c r="A27" s="18" t="s">
        <v>4</v>
      </c>
      <c r="B27" s="18" t="s">
        <v>20</v>
      </c>
      <c r="C27" s="6">
        <v>3034</v>
      </c>
      <c r="D27" s="18" t="s">
        <v>350</v>
      </c>
      <c r="E27" s="18" t="s">
        <v>275</v>
      </c>
      <c r="F27" s="18" t="s">
        <v>276</v>
      </c>
      <c r="G27" s="18" t="s">
        <v>294</v>
      </c>
      <c r="H27" s="6">
        <v>1963</v>
      </c>
      <c r="I27" s="18" t="s">
        <v>351</v>
      </c>
      <c r="J27" s="6">
        <v>3034</v>
      </c>
      <c r="K27" s="18" t="s">
        <v>344</v>
      </c>
      <c r="L27" s="18"/>
      <c r="M27" s="18" t="s">
        <v>93</v>
      </c>
      <c r="N27" s="18" t="s">
        <v>28</v>
      </c>
      <c r="O27" s="6">
        <v>7481</v>
      </c>
      <c r="P27" s="6">
        <v>0</v>
      </c>
      <c r="Q27" s="6">
        <v>5670</v>
      </c>
      <c r="R27" s="6">
        <v>2012</v>
      </c>
      <c r="S27" s="19" t="s">
        <v>345</v>
      </c>
      <c r="T27" s="18" t="s">
        <v>352</v>
      </c>
      <c r="V27" s="6" t="str">
        <f t="shared" si="0"/>
        <v>('demo', 'martin@comunas.fm', '3034', 'Schulhaus, Pausenhalle , Kita', 'T02','ST02-12','C9',1963,'Schulstrasse 4','3034','Hinterkappelen','ch','chf',7481,0,5670,2012,'NW','Lüftung f. WC und Fumoir\nSanierung aussen und innen 2004\nWärmetechn. Sanierung 4.5 Mio geplant für ges. Schulanlage\nGeländehöhen zu tief\nSchiebetüren in Werkräumen\nFeuerleiter vorh.\nWindfang alt, undichte Türen\nIm Anbau Kita mit eigener Küche, Mansardendach ausgebaut, Böden Linol\nDach innen Gipskarton, gestrichen\nWC: ältere Apparate, aber funktionierend\nTreppe aus Kunststein\nEinbauschränke\nSimse Naturst.\nWände gestr./verputzt'),</v>
      </c>
    </row>
    <row r="28" spans="1:22" x14ac:dyDescent="0.25">
      <c r="A28" s="18" t="s">
        <v>4</v>
      </c>
      <c r="B28" s="18" t="s">
        <v>20</v>
      </c>
      <c r="C28" s="6">
        <v>3034</v>
      </c>
      <c r="D28" s="18" t="s">
        <v>353</v>
      </c>
      <c r="E28" s="18" t="s">
        <v>304</v>
      </c>
      <c r="F28" s="18" t="s">
        <v>354</v>
      </c>
      <c r="G28" s="18" t="s">
        <v>294</v>
      </c>
      <c r="H28" s="6">
        <v>1981</v>
      </c>
      <c r="I28" s="18" t="s">
        <v>278</v>
      </c>
      <c r="J28" s="6">
        <v>3034</v>
      </c>
      <c r="K28" s="18" t="s">
        <v>344</v>
      </c>
      <c r="L28" s="18"/>
      <c r="M28" s="18" t="s">
        <v>93</v>
      </c>
      <c r="N28" s="18" t="s">
        <v>28</v>
      </c>
      <c r="O28" s="6">
        <v>9627</v>
      </c>
      <c r="P28" s="6">
        <v>0</v>
      </c>
      <c r="Q28" s="6">
        <v>5530</v>
      </c>
      <c r="R28" s="6">
        <v>2012</v>
      </c>
      <c r="S28" s="19" t="s">
        <v>345</v>
      </c>
      <c r="T28" s="18" t="s">
        <v>355</v>
      </c>
      <c r="V28" s="6" t="str">
        <f t="shared" si="0"/>
        <v>('demo', 'martin@comunas.fm', '3034', 'Turnhalle und Lehrschwimmbecken', 'T12','ST07-38','C9',1981,'Schulstrasse 5','3034','Hinterkappelen','ch','chf',9627,0,5530,2012,'NW','Turnhallenboden neu\nHeizung erfolgt über Lüftung\nLehrschwimmbecken: Lüftung neu, W: Keramik tw. neu\nWarmwasseraufbereitung z.T. neu (''97 + ''08) Wärmetauscher, Abwasser\nDruckluftsteuerung'),</v>
      </c>
    </row>
    <row r="29" spans="1:22" x14ac:dyDescent="0.25">
      <c r="A29" s="18" t="s">
        <v>4</v>
      </c>
      <c r="B29" s="18" t="s">
        <v>20</v>
      </c>
      <c r="C29" s="6">
        <v>3034</v>
      </c>
      <c r="D29" s="18" t="s">
        <v>356</v>
      </c>
      <c r="E29" s="18" t="s">
        <v>288</v>
      </c>
      <c r="F29" s="18" t="s">
        <v>289</v>
      </c>
      <c r="G29" s="18" t="s">
        <v>290</v>
      </c>
      <c r="H29" s="6">
        <v>1963</v>
      </c>
      <c r="I29" s="18" t="s">
        <v>357</v>
      </c>
      <c r="J29" s="6">
        <v>3034</v>
      </c>
      <c r="K29" s="18" t="s">
        <v>344</v>
      </c>
      <c r="L29" s="18"/>
      <c r="M29" s="18" t="s">
        <v>93</v>
      </c>
      <c r="N29" s="18" t="s">
        <v>28</v>
      </c>
      <c r="O29" s="6">
        <v>1150</v>
      </c>
      <c r="P29" s="6">
        <v>0</v>
      </c>
      <c r="Q29" s="6">
        <v>902</v>
      </c>
      <c r="R29" s="6">
        <v>2009</v>
      </c>
      <c r="S29" s="19" t="s">
        <v>345</v>
      </c>
      <c r="T29" s="18" t="s">
        <v>358</v>
      </c>
      <c r="V29" s="6" t="str">
        <f t="shared" si="0"/>
        <v>('demo', 'martin@comunas.fm', '3034', 'Wohnhaus (2 Wohnungen)', 'T01','ST02-11','C7',1963,'Schulstrasse 6','3034','Hinterkappelen','ch','chf',1150,0,902,2009,'NW','Anbau Wintergarten ca. 2006\nBadsanierung 2014'),</v>
      </c>
    </row>
    <row r="30" spans="1:22" x14ac:dyDescent="0.25">
      <c r="A30" s="18" t="s">
        <v>4</v>
      </c>
      <c r="B30" s="18" t="s">
        <v>20</v>
      </c>
      <c r="C30" s="6">
        <v>3034</v>
      </c>
      <c r="D30" s="18" t="s">
        <v>359</v>
      </c>
      <c r="E30" s="18" t="s">
        <v>275</v>
      </c>
      <c r="F30" s="18" t="s">
        <v>276</v>
      </c>
      <c r="G30" s="18" t="s">
        <v>294</v>
      </c>
      <c r="H30" s="6">
        <v>1980</v>
      </c>
      <c r="I30" s="18" t="s">
        <v>360</v>
      </c>
      <c r="J30" s="6">
        <v>3034</v>
      </c>
      <c r="K30" s="18" t="s">
        <v>344</v>
      </c>
      <c r="L30" s="18"/>
      <c r="M30" s="18" t="s">
        <v>93</v>
      </c>
      <c r="N30" s="18" t="s">
        <v>28</v>
      </c>
      <c r="O30" s="6">
        <v>3440</v>
      </c>
      <c r="P30" s="6">
        <v>0</v>
      </c>
      <c r="Q30" s="6">
        <v>2485</v>
      </c>
      <c r="R30" s="6">
        <v>2012</v>
      </c>
      <c r="S30" s="19" t="s">
        <v>345</v>
      </c>
      <c r="T30" s="18" t="s">
        <v>361</v>
      </c>
      <c r="V30" s="6" t="str">
        <f t="shared" si="0"/>
        <v>('demo', 'martin@comunas.fm', '3034', 'Schulhaus', 'T02','ST02-12','C9',1980,'Schulstrasse 7','3034','Hinterkappelen','ch','chf',3440,0,2485,2012,'NW','Bibliothek vor wenigen Jahren saniert.\nEin Klassenzimmer mit Linolboden\nSolaranlage auf Steildach(?)'),</v>
      </c>
    </row>
    <row r="31" spans="1:22" x14ac:dyDescent="0.25">
      <c r="A31" s="18" t="s">
        <v>4</v>
      </c>
      <c r="B31" s="18" t="s">
        <v>20</v>
      </c>
      <c r="C31" s="6">
        <v>3034</v>
      </c>
      <c r="D31" s="18" t="s">
        <v>362</v>
      </c>
      <c r="E31" s="18" t="s">
        <v>275</v>
      </c>
      <c r="F31" s="18" t="s">
        <v>276</v>
      </c>
      <c r="G31" s="18" t="s">
        <v>294</v>
      </c>
      <c r="H31" s="6">
        <v>0</v>
      </c>
      <c r="I31" s="18" t="s">
        <v>363</v>
      </c>
      <c r="J31" s="6">
        <v>3034</v>
      </c>
      <c r="K31" s="18" t="s">
        <v>344</v>
      </c>
      <c r="L31" s="18"/>
      <c r="M31" s="18" t="s">
        <v>93</v>
      </c>
      <c r="N31" s="18" t="s">
        <v>28</v>
      </c>
      <c r="O31" s="6">
        <v>7446</v>
      </c>
      <c r="P31" s="6">
        <v>0</v>
      </c>
      <c r="Q31" s="6">
        <v>4970</v>
      </c>
      <c r="R31" s="6">
        <v>2009</v>
      </c>
      <c r="S31" s="19" t="s">
        <v>345</v>
      </c>
      <c r="T31" s="18" t="s">
        <v>364</v>
      </c>
      <c r="V31" s="6" t="str">
        <f t="shared" si="0"/>
        <v>('demo', 'martin@comunas.fm', '3034', 'Schulhaus/ZS-Anlage/Verbindungsgang', 'T02','ST02-12','C9',0,'Schulstrasse 9','3034','Hinterkappelen','ch','chf',7446,0,4970,2009,'NW','Ausbau ähnlich wie Schulstr. 4\nSchulküche wird ''13 saniert'),</v>
      </c>
    </row>
    <row r="32" spans="1:22" x14ac:dyDescent="0.25">
      <c r="A32" s="18" t="s">
        <v>4</v>
      </c>
      <c r="B32" s="18" t="s">
        <v>20</v>
      </c>
      <c r="C32" s="6">
        <v>3032</v>
      </c>
      <c r="D32" s="18" t="s">
        <v>365</v>
      </c>
      <c r="E32" s="18" t="s">
        <v>366</v>
      </c>
      <c r="F32" s="18" t="s">
        <v>367</v>
      </c>
      <c r="G32" s="18" t="s">
        <v>368</v>
      </c>
      <c r="H32" s="6">
        <v>2007</v>
      </c>
      <c r="I32" s="18" t="s">
        <v>369</v>
      </c>
      <c r="J32" s="6">
        <v>3032</v>
      </c>
      <c r="K32" s="18" t="s">
        <v>344</v>
      </c>
      <c r="L32" s="18"/>
      <c r="M32" s="18" t="s">
        <v>93</v>
      </c>
      <c r="N32" s="18" t="s">
        <v>28</v>
      </c>
      <c r="O32" s="6">
        <v>1460</v>
      </c>
      <c r="P32" s="6">
        <v>0</v>
      </c>
      <c r="Q32" s="6">
        <v>800</v>
      </c>
      <c r="R32" s="6">
        <v>2009</v>
      </c>
      <c r="S32" s="19" t="s">
        <v>345</v>
      </c>
      <c r="T32" s="18" t="s">
        <v>370</v>
      </c>
      <c r="V32" s="6" t="str">
        <f t="shared" si="0"/>
        <v>('demo', 'martin@comunas.fm', '3032', 'Jugendtreff (Pavillon)', 'T10','ST08-43','C29',2007,'Araweg 9','3032','Hinterkappelen','ch','chf',1460,0,800,2009,'NW','In Wohlen stark kalkhaltiges Wasser'),</v>
      </c>
    </row>
    <row r="33" spans="1:22" x14ac:dyDescent="0.25">
      <c r="A33" s="18" t="s">
        <v>4</v>
      </c>
      <c r="B33" s="18" t="s">
        <v>20</v>
      </c>
      <c r="C33" s="6">
        <v>3032</v>
      </c>
      <c r="D33" s="18" t="s">
        <v>371</v>
      </c>
      <c r="E33" s="18" t="s">
        <v>275</v>
      </c>
      <c r="F33" s="18" t="s">
        <v>284</v>
      </c>
      <c r="G33" s="18" t="s">
        <v>294</v>
      </c>
      <c r="H33" s="6">
        <v>1920</v>
      </c>
      <c r="I33" s="18" t="s">
        <v>372</v>
      </c>
      <c r="J33" s="6">
        <v>3032</v>
      </c>
      <c r="K33" s="18" t="s">
        <v>344</v>
      </c>
      <c r="L33" s="18"/>
      <c r="M33" s="18" t="s">
        <v>93</v>
      </c>
      <c r="N33" s="18" t="s">
        <v>28</v>
      </c>
      <c r="O33" s="6">
        <v>768</v>
      </c>
      <c r="P33" s="6">
        <v>0</v>
      </c>
      <c r="Q33" s="6">
        <v>580</v>
      </c>
      <c r="R33" s="6">
        <v>2009</v>
      </c>
      <c r="S33" s="19" t="s">
        <v>345</v>
      </c>
      <c r="T33" s="18"/>
      <c r="V33" s="6" t="str">
        <f t="shared" si="0"/>
        <v>('demo', 'martin@comunas.fm', '3032', 'Wohnhaus (private Kindertagesstätte)', 'T02','ST01-4','C9',1920,'Hofenstrasse 54','3032','Hinterkappelen','ch','chf',768,0,580,2009,'NW',null),</v>
      </c>
    </row>
    <row r="34" spans="1:22" x14ac:dyDescent="0.25">
      <c r="A34" s="18" t="s">
        <v>4</v>
      </c>
      <c r="B34" s="18" t="s">
        <v>20</v>
      </c>
      <c r="C34" s="6">
        <v>3034</v>
      </c>
      <c r="D34" s="18" t="s">
        <v>373</v>
      </c>
      <c r="E34" s="18" t="s">
        <v>304</v>
      </c>
      <c r="F34" s="18" t="s">
        <v>305</v>
      </c>
      <c r="G34" s="18" t="s">
        <v>294</v>
      </c>
      <c r="H34" s="6">
        <v>1976</v>
      </c>
      <c r="I34" s="18" t="s">
        <v>374</v>
      </c>
      <c r="J34" s="6">
        <v>3034</v>
      </c>
      <c r="K34" s="18" t="s">
        <v>344</v>
      </c>
      <c r="L34" s="18"/>
      <c r="M34" s="18" t="s">
        <v>93</v>
      </c>
      <c r="N34" s="18" t="s">
        <v>28</v>
      </c>
      <c r="O34" s="6">
        <v>19011</v>
      </c>
      <c r="P34" s="6">
        <v>0</v>
      </c>
      <c r="Q34" s="6">
        <v>13947</v>
      </c>
      <c r="R34" s="6">
        <v>2009</v>
      </c>
      <c r="S34" s="19" t="s">
        <v>345</v>
      </c>
      <c r="T34" s="18" t="s">
        <v>375</v>
      </c>
      <c r="V34" s="6" t="str">
        <f t="shared" si="0"/>
        <v>('demo', 'martin@comunas.fm', '3034', 'Primarschule/Doppelturnhalle/KZ/WR', 'T12','ST01-9','C9',1976,'Kappelenring 36/36a','3034','Hinterkappelen','ch','chf',19011,0,13947,2009,'NW','Dachsanierung ''97; 2.4 Mio. Fr. (davon 400T für Brandschutzmassnahmen)\nFassaden: Fugen neu, neu gestrichen\nFenster: Beschläge tw. neu\nIn Vorraum TH finden Gemeindeversammlungen statt (Bühne)\n\nTw. Klassenzimmer unterteilt in Gruppenräume (Spezialräume Logopädie ok)\nTH: neue Böden 2018, Beleuchtung, Audioanlage mangelhaft, *Fenster werden nicht ersetzt'),</v>
      </c>
    </row>
    <row r="35" spans="1:22" x14ac:dyDescent="0.25">
      <c r="A35" s="18" t="s">
        <v>4</v>
      </c>
      <c r="B35" s="18" t="s">
        <v>20</v>
      </c>
      <c r="C35" s="6">
        <v>3033</v>
      </c>
      <c r="D35" s="18" t="s">
        <v>376</v>
      </c>
      <c r="E35" s="18" t="s">
        <v>275</v>
      </c>
      <c r="F35" s="18" t="s">
        <v>284</v>
      </c>
      <c r="G35" s="18" t="s">
        <v>294</v>
      </c>
      <c r="H35" s="6">
        <v>1890</v>
      </c>
      <c r="I35" s="18" t="s">
        <v>377</v>
      </c>
      <c r="J35" s="6">
        <v>3033</v>
      </c>
      <c r="K35" s="18" t="s">
        <v>378</v>
      </c>
      <c r="L35" s="18"/>
      <c r="M35" s="18" t="s">
        <v>93</v>
      </c>
      <c r="N35" s="18" t="s">
        <v>28</v>
      </c>
      <c r="O35" s="6">
        <v>2500</v>
      </c>
      <c r="P35" s="6">
        <v>0</v>
      </c>
      <c r="Q35" s="6">
        <v>1805</v>
      </c>
      <c r="R35" s="6">
        <v>2009</v>
      </c>
      <c r="S35" s="19" t="s">
        <v>345</v>
      </c>
      <c r="T35" s="18" t="s">
        <v>379</v>
      </c>
      <c r="V35" s="6" t="str">
        <f t="shared" si="0"/>
        <v>('demo', 'martin@comunas.fm', '3033', 'Altes Schulhaus/Doppelkindergarten/Klassenzimmer/2 Whg.', 'T02','ST01-4','C9',1890,'Schulgasse 14','3033','Wohlen','ch','chf',2500,0,1805,2009,'NW','Tagesschule, Basisstufe\nDachraum mit Mansardezimmer und 2-Zi-Wg.: B: Kugelgarn, W: Täfer, D: Täfer\nBretterboden in Estrich\nGewölbekeller'),</v>
      </c>
    </row>
    <row r="36" spans="1:22" x14ac:dyDescent="0.25">
      <c r="A36" s="18" t="s">
        <v>4</v>
      </c>
      <c r="B36" s="18" t="s">
        <v>20</v>
      </c>
      <c r="C36" s="6">
        <v>3033</v>
      </c>
      <c r="D36" s="18" t="s">
        <v>380</v>
      </c>
      <c r="E36" s="18" t="s">
        <v>275</v>
      </c>
      <c r="F36" s="18" t="s">
        <v>276</v>
      </c>
      <c r="G36" s="18" t="s">
        <v>294</v>
      </c>
      <c r="H36" s="6">
        <v>1960</v>
      </c>
      <c r="I36" s="18" t="s">
        <v>381</v>
      </c>
      <c r="J36" s="6">
        <v>3033</v>
      </c>
      <c r="K36" s="18" t="s">
        <v>378</v>
      </c>
      <c r="L36" s="18"/>
      <c r="M36" s="18" t="s">
        <v>93</v>
      </c>
      <c r="N36" s="18" t="s">
        <v>28</v>
      </c>
      <c r="O36" s="6">
        <v>10200</v>
      </c>
      <c r="P36" s="6">
        <v>0</v>
      </c>
      <c r="Q36" s="6">
        <v>6768</v>
      </c>
      <c r="R36" s="6">
        <v>2009</v>
      </c>
      <c r="S36" s="19" t="s">
        <v>345</v>
      </c>
      <c r="T36" s="18"/>
      <c r="V36" s="6" t="str">
        <f t="shared" si="0"/>
        <v>('demo', 'martin@comunas.fm', '3033', 'Schulhaus, Pausenhalle, ZS-Anlage', 'T02','ST02-12','C9',1960,'Schulgasse 16','3033','Wohlen','ch','chf',10200,0,6768,2009,'NW',null),</v>
      </c>
    </row>
    <row r="37" spans="1:22" x14ac:dyDescent="0.25">
      <c r="A37" s="18" t="s">
        <v>4</v>
      </c>
      <c r="B37" s="18" t="s">
        <v>20</v>
      </c>
      <c r="C37" s="6">
        <v>3033</v>
      </c>
      <c r="D37" s="18" t="s">
        <v>382</v>
      </c>
      <c r="E37" s="18" t="s">
        <v>304</v>
      </c>
      <c r="F37" s="18" t="s">
        <v>305</v>
      </c>
      <c r="G37" s="18" t="s">
        <v>294</v>
      </c>
      <c r="H37" s="6">
        <v>1991</v>
      </c>
      <c r="I37" s="18" t="s">
        <v>383</v>
      </c>
      <c r="J37" s="6">
        <v>3033</v>
      </c>
      <c r="K37" s="18" t="s">
        <v>378</v>
      </c>
      <c r="L37" s="18"/>
      <c r="M37" s="18" t="s">
        <v>93</v>
      </c>
      <c r="N37" s="18" t="s">
        <v>28</v>
      </c>
      <c r="O37" s="6">
        <v>12800</v>
      </c>
      <c r="P37" s="6">
        <v>0</v>
      </c>
      <c r="Q37" s="6">
        <v>5610</v>
      </c>
      <c r="R37" s="6">
        <v>2009</v>
      </c>
      <c r="S37" s="19" t="s">
        <v>345</v>
      </c>
      <c r="T37" s="18" t="s">
        <v>384</v>
      </c>
      <c r="V37" s="6" t="str">
        <f t="shared" si="0"/>
        <v>('demo', 'martin@comunas.fm', '3033', 'Doppelturnhalle', 'T12','ST01-9','C9',1991,'Schulgasse 18','3033','Wohlen','ch','chf',12800,0,5610,2009,'NW','Kontrolle der heruntergehängten Decke wird empfohlen (Aufhängungen im Hohlraum)'),</v>
      </c>
    </row>
    <row r="38" spans="1:22" x14ac:dyDescent="0.25">
      <c r="A38" s="18" t="s">
        <v>4</v>
      </c>
      <c r="B38" s="18" t="s">
        <v>20</v>
      </c>
      <c r="C38" s="6">
        <v>3033</v>
      </c>
      <c r="D38" s="18" t="s">
        <v>385</v>
      </c>
      <c r="E38" s="18" t="s">
        <v>386</v>
      </c>
      <c r="F38" s="18" t="s">
        <v>387</v>
      </c>
      <c r="G38" s="18" t="s">
        <v>277</v>
      </c>
      <c r="H38" s="6">
        <v>1972</v>
      </c>
      <c r="I38" s="18" t="s">
        <v>388</v>
      </c>
      <c r="J38" s="6">
        <v>3033</v>
      </c>
      <c r="K38" s="18" t="s">
        <v>378</v>
      </c>
      <c r="L38" s="18"/>
      <c r="M38" s="18" t="s">
        <v>93</v>
      </c>
      <c r="N38" s="18" t="s">
        <v>28</v>
      </c>
      <c r="O38" s="6">
        <v>875</v>
      </c>
      <c r="P38" s="6">
        <v>0</v>
      </c>
      <c r="Q38" s="6">
        <v>564</v>
      </c>
      <c r="R38" s="6">
        <v>2009</v>
      </c>
      <c r="S38" s="19" t="s">
        <v>345</v>
      </c>
      <c r="T38" s="18" t="s">
        <v>389</v>
      </c>
      <c r="V38" s="6" t="str">
        <f t="shared" si="0"/>
        <v>('demo', 'martin@comunas.fm', '3033', 'Aufbahrungsgebäude, Abdankungshalle', 'T09','ST03-18','C0',1972,'Hauptstrasse 22','3033','Wohlen','ch','chf',875,0,564,2009,'NW','einzelne Räume wurden stillgelegt'),</v>
      </c>
    </row>
    <row r="39" spans="1:22" x14ac:dyDescent="0.25">
      <c r="A39" s="18" t="s">
        <v>4</v>
      </c>
      <c r="B39" s="18" t="s">
        <v>20</v>
      </c>
      <c r="C39" s="6">
        <v>3033</v>
      </c>
      <c r="D39" s="18" t="s">
        <v>390</v>
      </c>
      <c r="E39" s="18" t="s">
        <v>391</v>
      </c>
      <c r="F39" s="18" t="s">
        <v>392</v>
      </c>
      <c r="G39" s="18" t="s">
        <v>393</v>
      </c>
      <c r="H39" s="6">
        <v>1966</v>
      </c>
      <c r="I39" s="18" t="s">
        <v>394</v>
      </c>
      <c r="J39" s="6">
        <v>3033</v>
      </c>
      <c r="K39" s="18" t="s">
        <v>378</v>
      </c>
      <c r="L39" s="18"/>
      <c r="M39" s="18" t="s">
        <v>93</v>
      </c>
      <c r="N39" s="18" t="s">
        <v>28</v>
      </c>
      <c r="O39" s="6">
        <v>7236</v>
      </c>
      <c r="P39" s="6">
        <v>0</v>
      </c>
      <c r="Q39" s="6">
        <v>6000</v>
      </c>
      <c r="R39" s="6">
        <v>2009</v>
      </c>
      <c r="S39" s="19" t="s">
        <v>345</v>
      </c>
      <c r="T39" s="18" t="s">
        <v>395</v>
      </c>
      <c r="V39" s="6" t="str">
        <f t="shared" si="0"/>
        <v>('demo', 'martin@comunas.fm', '3033', 'Verwaltungsgebäude (Gemeindehaus)', 'T06','ST06-35','C21',1966,'Hauptstrasse 26','3033','Wohlen','ch','chf',7236,0,6000,2009,'NW','früher: Gemeindehaus und Wohnhaus\nGesamtsanierung ''85 (Obergeschosse und Dach, therm. Isol. und Ersatz Fenster)\nErweiterung und Sanierung ''07 (erw. therm. Isol.; Minergie)\nErsatz Fensterbeschläge ''14'),</v>
      </c>
    </row>
    <row r="40" spans="1:22" x14ac:dyDescent="0.25">
      <c r="A40" s="18" t="s">
        <v>4</v>
      </c>
      <c r="B40" s="18" t="s">
        <v>20</v>
      </c>
      <c r="C40" s="6">
        <v>3034</v>
      </c>
      <c r="D40" s="18" t="s">
        <v>396</v>
      </c>
      <c r="E40" s="18" t="s">
        <v>304</v>
      </c>
      <c r="F40" s="18" t="s">
        <v>397</v>
      </c>
      <c r="G40" s="18" t="s">
        <v>277</v>
      </c>
      <c r="H40" s="6">
        <v>2004</v>
      </c>
      <c r="I40" s="18" t="s">
        <v>398</v>
      </c>
      <c r="J40" s="6">
        <v>3034</v>
      </c>
      <c r="K40" s="18" t="s">
        <v>399</v>
      </c>
      <c r="L40" s="18"/>
      <c r="M40" s="18" t="s">
        <v>93</v>
      </c>
      <c r="N40" s="18" t="s">
        <v>28</v>
      </c>
      <c r="O40" s="6">
        <v>809</v>
      </c>
      <c r="P40" s="6">
        <v>0</v>
      </c>
      <c r="Q40" s="6">
        <v>787</v>
      </c>
      <c r="R40" s="6">
        <v>2009</v>
      </c>
      <c r="S40" s="19" t="s">
        <v>345</v>
      </c>
      <c r="T40" s="18" t="s">
        <v>400</v>
      </c>
      <c r="V40" s="6" t="str">
        <f t="shared" si="0"/>
        <v>('demo', 'martin@comunas.fm', '3034', 'Schützenhaus', 'T12','ST10-45','C0',2004,'Schützenweg 50','3034','Murzelen','ch','chf',809,0,787,2009,'NW','Munitionsraum mit Panzertüre'),</v>
      </c>
    </row>
    <row r="41" spans="1:22" x14ac:dyDescent="0.25">
      <c r="A41" s="18" t="s">
        <v>4</v>
      </c>
      <c r="B41" s="18" t="s">
        <v>20</v>
      </c>
      <c r="C41" s="6">
        <v>3043</v>
      </c>
      <c r="D41" s="18" t="s">
        <v>401</v>
      </c>
      <c r="E41" s="18" t="s">
        <v>402</v>
      </c>
      <c r="F41" s="18" t="s">
        <v>403</v>
      </c>
      <c r="G41" s="18" t="s">
        <v>294</v>
      </c>
      <c r="H41" s="6">
        <v>1996</v>
      </c>
      <c r="I41" s="18" t="s">
        <v>404</v>
      </c>
      <c r="J41" s="6">
        <v>3043</v>
      </c>
      <c r="K41" s="18" t="s">
        <v>405</v>
      </c>
      <c r="L41" s="18"/>
      <c r="M41" s="18" t="s">
        <v>93</v>
      </c>
      <c r="N41" s="18" t="s">
        <v>28</v>
      </c>
      <c r="O41" s="6">
        <v>360</v>
      </c>
      <c r="P41" s="6">
        <v>0</v>
      </c>
      <c r="Q41" s="6">
        <v>158</v>
      </c>
      <c r="R41" s="6">
        <v>2009</v>
      </c>
      <c r="S41" s="19" t="s">
        <v>345</v>
      </c>
      <c r="T41" s="18" t="s">
        <v>406</v>
      </c>
      <c r="V41" s="6" t="str">
        <f t="shared" si="0"/>
        <v>('demo', 'martin@comunas.fm', '3043', 'Velounterstand', 'T13','ST01-2','C9',1996,'Schülerweg 13','3043','Uettligen','ch','chf',360,0,158,2009,'NW','*Gläser werden/wurden etappenweise ersetzt'),</v>
      </c>
    </row>
    <row r="42" spans="1:22" x14ac:dyDescent="0.25">
      <c r="A42" s="18" t="s">
        <v>4</v>
      </c>
      <c r="B42" s="18" t="s">
        <v>20</v>
      </c>
      <c r="C42" s="6">
        <v>3043</v>
      </c>
      <c r="D42" s="18" t="s">
        <v>321</v>
      </c>
      <c r="E42" s="18" t="s">
        <v>304</v>
      </c>
      <c r="F42" s="18" t="s">
        <v>305</v>
      </c>
      <c r="G42" s="18" t="s">
        <v>294</v>
      </c>
      <c r="H42" s="6">
        <v>1996</v>
      </c>
      <c r="I42" s="18" t="s">
        <v>407</v>
      </c>
      <c r="J42" s="6">
        <v>3043</v>
      </c>
      <c r="K42" s="18" t="s">
        <v>405</v>
      </c>
      <c r="L42" s="18"/>
      <c r="M42" s="18" t="s">
        <v>93</v>
      </c>
      <c r="N42" s="18" t="s">
        <v>28</v>
      </c>
      <c r="O42" s="6">
        <v>8200</v>
      </c>
      <c r="P42" s="6">
        <v>0</v>
      </c>
      <c r="Q42" s="6">
        <v>3828</v>
      </c>
      <c r="R42" s="6">
        <v>2009</v>
      </c>
      <c r="S42" s="19" t="s">
        <v>345</v>
      </c>
      <c r="T42" s="18" t="s">
        <v>408</v>
      </c>
      <c r="V42" s="6" t="str">
        <f t="shared" si="0"/>
        <v>('demo', 'martin@comunas.fm', '3043', 'Turnhalle', 'T12','ST01-9','C9',1996,'Schülerweg 14','3043','Uettligen','ch','chf',8200,0,3828,2009,'NW','Turnhallenboden wurde ersetzt ''17\nTreppenlift\nGeräteschuppen für Sprungmatten mit Riffelblechen im Aussenbereich an Fassade angebaut\nBei Duschen Wasserschaden (Fugen müssen periodisch ersetzt werden)'),</v>
      </c>
    </row>
    <row r="43" spans="1:22" x14ac:dyDescent="0.25">
      <c r="A43" s="18" t="s">
        <v>4</v>
      </c>
      <c r="B43" s="18" t="s">
        <v>20</v>
      </c>
      <c r="C43" s="6">
        <v>3043</v>
      </c>
      <c r="D43" s="18" t="s">
        <v>409</v>
      </c>
      <c r="E43" s="18" t="s">
        <v>275</v>
      </c>
      <c r="F43" s="18" t="s">
        <v>276</v>
      </c>
      <c r="G43" s="18" t="s">
        <v>294</v>
      </c>
      <c r="H43" s="6">
        <v>1962</v>
      </c>
      <c r="I43" s="18" t="s">
        <v>410</v>
      </c>
      <c r="J43" s="6">
        <v>3043</v>
      </c>
      <c r="K43" s="18" t="s">
        <v>405</v>
      </c>
      <c r="L43" s="18"/>
      <c r="M43" s="18" t="s">
        <v>93</v>
      </c>
      <c r="N43" s="18" t="s">
        <v>28</v>
      </c>
      <c r="O43" s="6">
        <v>5319</v>
      </c>
      <c r="P43" s="6">
        <v>0</v>
      </c>
      <c r="Q43" s="6">
        <v>3670</v>
      </c>
      <c r="R43" s="6">
        <v>2009</v>
      </c>
      <c r="S43" s="19" t="s">
        <v>345</v>
      </c>
      <c r="T43" s="18" t="s">
        <v>411</v>
      </c>
      <c r="V43" s="6" t="str">
        <f t="shared" si="0"/>
        <v>('demo', 'martin@comunas.fm', '3043', 'Primarschulhaus, ged. Pausenhalle, Anbau Nord', 'T02','ST02-12','C9',1962,'Schülerweg 15','3043','Uettligen','ch','chf',5319,0,3670,2009,'NW','In Investitionsplan: Ersatz Holzfenster\nP.. Ludothek wurde nachträglich angebaut mit Duripaneel\nInnere Verdunklungen\nTagesschule im UG\nAnbau ca. ''04\nWassereintritt in Bibliothek (Deckenverkl. und Parkett beschädigt)'),</v>
      </c>
    </row>
    <row r="44" spans="1:22" x14ac:dyDescent="0.25">
      <c r="A44" s="18" t="s">
        <v>4</v>
      </c>
      <c r="B44" s="18" t="s">
        <v>20</v>
      </c>
      <c r="C44" s="6">
        <v>3043</v>
      </c>
      <c r="D44" s="18" t="s">
        <v>412</v>
      </c>
      <c r="E44" s="18" t="s">
        <v>304</v>
      </c>
      <c r="F44" s="18" t="s">
        <v>305</v>
      </c>
      <c r="G44" s="18" t="s">
        <v>294</v>
      </c>
      <c r="H44" s="6">
        <v>1961</v>
      </c>
      <c r="I44" s="18" t="s">
        <v>413</v>
      </c>
      <c r="J44" s="6">
        <v>3043</v>
      </c>
      <c r="K44" s="18" t="s">
        <v>405</v>
      </c>
      <c r="L44" s="18"/>
      <c r="M44" s="18" t="s">
        <v>93</v>
      </c>
      <c r="N44" s="18" t="s">
        <v>28</v>
      </c>
      <c r="O44" s="6">
        <v>4497</v>
      </c>
      <c r="P44" s="6">
        <v>0</v>
      </c>
      <c r="Q44" s="6">
        <v>2820</v>
      </c>
      <c r="R44" s="6">
        <v>2009</v>
      </c>
      <c r="S44" s="19" t="s">
        <v>345</v>
      </c>
      <c r="T44" s="18" t="s">
        <v>414</v>
      </c>
      <c r="V44" s="6" t="str">
        <f t="shared" si="0"/>
        <v>('demo', 'martin@comunas.fm', '3043', 'Turnhalle/Hauswartwhg./Heizzentrale', 'T12','ST01-9','C9',1961,'Schülerweg 16','3043','Uettligen','ch','chf',4497,0,2820,2009,'NW','Lüftung für Holzsschnitzel (wegen Gärung)\nTore Geräteraum TH ok\nRadiatoren in TH o. Thermostaten\nHW-Wohnung:\n B: Linol, Parkett in WZ, Teppich UG\n W: Putz, gestr.\n D: Putz, gestr., Täfer in Kü, Pavatex, gestr.\n Heizverteilung: Radiatoren m. Thermostaten\n Balkon: Untersicht Holz i.O., Bodenablauf vermoost, Stütze verputzt (Putzschäden), Risse in Fass. über Balkon\n Fenster (''00): IV, Küche Metall, Einbauschränke, Vorhangbretter, Simse'),</v>
      </c>
    </row>
    <row r="45" spans="1:22" x14ac:dyDescent="0.25">
      <c r="A45" s="18" t="s">
        <v>4</v>
      </c>
      <c r="B45" s="18" t="s">
        <v>20</v>
      </c>
      <c r="C45" s="6">
        <v>3043</v>
      </c>
      <c r="D45" s="18" t="s">
        <v>415</v>
      </c>
      <c r="E45" s="18" t="s">
        <v>275</v>
      </c>
      <c r="F45" s="18" t="s">
        <v>276</v>
      </c>
      <c r="G45" s="18" t="s">
        <v>294</v>
      </c>
      <c r="H45" s="6">
        <v>1961</v>
      </c>
      <c r="I45" s="18" t="s">
        <v>416</v>
      </c>
      <c r="J45" s="6">
        <v>3043</v>
      </c>
      <c r="K45" s="18" t="s">
        <v>405</v>
      </c>
      <c r="L45" s="18"/>
      <c r="M45" s="18" t="s">
        <v>93</v>
      </c>
      <c r="N45" s="18" t="s">
        <v>28</v>
      </c>
      <c r="O45" s="6">
        <v>17300</v>
      </c>
      <c r="P45" s="6">
        <v>0</v>
      </c>
      <c r="Q45" s="6">
        <v>9648</v>
      </c>
      <c r="R45" s="6">
        <v>2009</v>
      </c>
      <c r="S45" s="19" t="s">
        <v>345</v>
      </c>
      <c r="T45" s="18" t="s">
        <v>417</v>
      </c>
      <c r="V45" s="6" t="str">
        <f t="shared" si="0"/>
        <v>('demo', 'martin@comunas.fm', '3043', 'Oberstufenschulhaus/Aula', 'T02','ST02-12','C9',1961,'Schülerweg 18','3043','Uettligen','ch','chf',17300,0,9648,2009,'NW','Gebäudehülle wie Schülerweg 15\nAnbau ''91 Erweiterungen\nAufzug im Anbau\nKüche bei Mittagstisch im UG, bei Mittagstisch nur GSP\nim UG neu elektrische Storen, zusätzlich innere Verdunkelungen\nLehrerzimmer; neuer Boden (Parkett), Deckenbeleuchtung bei Fenster'),</v>
      </c>
    </row>
    <row r="46" spans="1:22" x14ac:dyDescent="0.25">
      <c r="A46" s="18" t="s">
        <v>4</v>
      </c>
      <c r="B46" s="18" t="s">
        <v>20</v>
      </c>
      <c r="C46" s="6">
        <v>3043</v>
      </c>
      <c r="D46" s="18" t="s">
        <v>401</v>
      </c>
      <c r="E46" s="18" t="s">
        <v>402</v>
      </c>
      <c r="F46" s="18" t="s">
        <v>403</v>
      </c>
      <c r="G46" s="18" t="s">
        <v>294</v>
      </c>
      <c r="H46" s="6">
        <v>1994</v>
      </c>
      <c r="I46" s="18" t="s">
        <v>418</v>
      </c>
      <c r="J46" s="6">
        <v>3043</v>
      </c>
      <c r="K46" s="18" t="s">
        <v>405</v>
      </c>
      <c r="L46" s="18"/>
      <c r="M46" s="18" t="s">
        <v>93</v>
      </c>
      <c r="N46" s="18" t="s">
        <v>28</v>
      </c>
      <c r="O46" s="6">
        <v>110</v>
      </c>
      <c r="P46" s="6">
        <v>0</v>
      </c>
      <c r="Q46" s="6">
        <v>102</v>
      </c>
      <c r="R46" s="6">
        <v>2009</v>
      </c>
      <c r="S46" s="19" t="s">
        <v>345</v>
      </c>
      <c r="T46" s="18"/>
      <c r="V46" s="6" t="str">
        <f t="shared" si="0"/>
        <v>('demo', 'martin@comunas.fm', '3043', 'Velounterstand', 'T13','ST01-2','C9',1994,'Alpenblickweg 10','3043','Uettligen','ch','chf',110,0,102,2009,'NW',null),</v>
      </c>
    </row>
    <row r="47" spans="1:22" x14ac:dyDescent="0.25">
      <c r="A47" s="18" t="s">
        <v>4</v>
      </c>
      <c r="B47" s="18" t="s">
        <v>20</v>
      </c>
      <c r="C47" s="6">
        <v>7304</v>
      </c>
      <c r="D47" s="18" t="s">
        <v>419</v>
      </c>
      <c r="E47" s="18" t="s">
        <v>391</v>
      </c>
      <c r="F47" s="18" t="s">
        <v>420</v>
      </c>
      <c r="G47" s="18" t="s">
        <v>421</v>
      </c>
      <c r="H47" s="6">
        <v>1580</v>
      </c>
      <c r="I47" s="18"/>
      <c r="J47" s="6">
        <v>7304</v>
      </c>
      <c r="K47" s="18" t="s">
        <v>422</v>
      </c>
      <c r="L47" s="18"/>
      <c r="M47" s="18" t="s">
        <v>93</v>
      </c>
      <c r="N47" s="18" t="s">
        <v>28</v>
      </c>
      <c r="O47" s="6">
        <v>5266</v>
      </c>
      <c r="P47" s="6">
        <v>553</v>
      </c>
      <c r="Q47" s="6">
        <v>3775600</v>
      </c>
      <c r="R47" s="6">
        <v>2006</v>
      </c>
      <c r="S47" s="19" t="s">
        <v>252</v>
      </c>
      <c r="T47" s="18"/>
      <c r="V47" s="6" t="str">
        <f t="shared" si="0"/>
        <v>('demo', 'martin@comunas.fm', '7304', 'Rathaus', 'T06','ST07-40','C16',1580,null,'7304','Maienfeld','ch','chf',5266,553,3775600,2006,'N',null),</v>
      </c>
    </row>
    <row r="48" spans="1:22" x14ac:dyDescent="0.25">
      <c r="A48" s="18" t="s">
        <v>4</v>
      </c>
      <c r="B48" s="18" t="s">
        <v>20</v>
      </c>
      <c r="C48" s="6">
        <v>7304</v>
      </c>
      <c r="D48" s="18" t="s">
        <v>423</v>
      </c>
      <c r="E48" s="18" t="s">
        <v>304</v>
      </c>
      <c r="F48" s="18" t="s">
        <v>305</v>
      </c>
      <c r="G48" s="18" t="s">
        <v>277</v>
      </c>
      <c r="H48" s="6">
        <v>1939</v>
      </c>
      <c r="I48" s="18"/>
      <c r="J48" s="6">
        <v>7304</v>
      </c>
      <c r="K48" s="18" t="s">
        <v>422</v>
      </c>
      <c r="L48" s="18"/>
      <c r="M48" s="18" t="s">
        <v>93</v>
      </c>
      <c r="N48" s="18" t="s">
        <v>28</v>
      </c>
      <c r="O48" s="6">
        <v>7409</v>
      </c>
      <c r="P48" s="6">
        <v>0</v>
      </c>
      <c r="Q48" s="6">
        <v>2489400</v>
      </c>
      <c r="R48" s="6">
        <v>2009</v>
      </c>
      <c r="S48" s="19" t="s">
        <v>252</v>
      </c>
      <c r="T48" s="18"/>
      <c r="V48" s="6" t="str">
        <f t="shared" si="0"/>
        <v>('demo', 'martin@comunas.fm', '7304', 'Alte Turnhalle', 'T12','ST01-9','C0',1939,null,'7304','Maienfeld','ch','chf',7409,0,2489400,2009,'N',null),</v>
      </c>
    </row>
    <row r="49" spans="1:22" x14ac:dyDescent="0.25">
      <c r="A49" s="18" t="s">
        <v>4</v>
      </c>
      <c r="B49" s="18" t="s">
        <v>20</v>
      </c>
      <c r="C49" s="6">
        <v>8253</v>
      </c>
      <c r="D49" s="18" t="s">
        <v>424</v>
      </c>
      <c r="E49" s="18" t="s">
        <v>275</v>
      </c>
      <c r="F49" s="18" t="s">
        <v>284</v>
      </c>
      <c r="G49" s="18" t="s">
        <v>285</v>
      </c>
      <c r="H49" s="6">
        <v>1979</v>
      </c>
      <c r="I49" s="18" t="s">
        <v>425</v>
      </c>
      <c r="J49" s="6">
        <v>8253</v>
      </c>
      <c r="K49" s="18" t="s">
        <v>279</v>
      </c>
      <c r="L49" s="18"/>
      <c r="M49" s="18" t="s">
        <v>93</v>
      </c>
      <c r="N49" s="18" t="s">
        <v>28</v>
      </c>
      <c r="O49" s="6">
        <v>1049</v>
      </c>
      <c r="P49" s="6">
        <v>0</v>
      </c>
      <c r="Q49" s="6">
        <v>670</v>
      </c>
      <c r="R49" s="6">
        <v>2006</v>
      </c>
      <c r="S49" s="19" t="s">
        <v>252</v>
      </c>
      <c r="T49" s="18"/>
      <c r="V49" s="6" t="str">
        <f t="shared" si="0"/>
        <v>('demo', 'martin@comunas.fm', '8253', 'Kindergarten Basadingen', 'T02','ST01-4','C8',1979,'Schulstr. 38','8253','Diessenhofen','ch','chf',1049,0,670,2006,'N',null),</v>
      </c>
    </row>
    <row r="50" spans="1:22" x14ac:dyDescent="0.25">
      <c r="A50" s="18" t="s">
        <v>4</v>
      </c>
      <c r="B50" s="18" t="s">
        <v>20</v>
      </c>
      <c r="C50" s="6">
        <v>5620</v>
      </c>
      <c r="D50" s="18" t="s">
        <v>426</v>
      </c>
      <c r="E50" s="18" t="s">
        <v>391</v>
      </c>
      <c r="F50" s="18" t="s">
        <v>392</v>
      </c>
      <c r="G50" s="18" t="s">
        <v>427</v>
      </c>
      <c r="H50" s="6">
        <v>2010</v>
      </c>
      <c r="I50" s="18" t="s">
        <v>428</v>
      </c>
      <c r="J50" s="6">
        <v>5620</v>
      </c>
      <c r="K50" s="18" t="s">
        <v>316</v>
      </c>
      <c r="L50" s="18"/>
      <c r="M50" s="18" t="s">
        <v>93</v>
      </c>
      <c r="N50" s="18" t="s">
        <v>28</v>
      </c>
      <c r="O50" s="6">
        <v>21622</v>
      </c>
      <c r="P50" s="6">
        <v>0</v>
      </c>
      <c r="Q50" s="6">
        <v>6886</v>
      </c>
      <c r="R50" s="6">
        <v>2010</v>
      </c>
      <c r="S50" s="19" t="s">
        <v>252</v>
      </c>
      <c r="T50" s="18" t="s">
        <v>429</v>
      </c>
      <c r="V50" s="6" t="str">
        <f t="shared" si="0"/>
        <v>('demo', 'martin@comunas.fm', '5620', 'Sporthalle', 'T06','ST06-35','C33',2010,'Badstrasse 5','5620','Bremgarten','ch','chf',21622,0,6886,2010,'N','Hauswartbüro vorhanden, Dachraum konnte nicht besichtigt werden'),</v>
      </c>
    </row>
    <row r="51" spans="1:22" x14ac:dyDescent="0.25">
      <c r="A51" s="18" t="s">
        <v>4</v>
      </c>
      <c r="B51" s="18" t="s">
        <v>20</v>
      </c>
      <c r="C51" s="6">
        <v>5626</v>
      </c>
      <c r="D51" s="18" t="s">
        <v>430</v>
      </c>
      <c r="E51" s="18" t="s">
        <v>275</v>
      </c>
      <c r="F51" s="18" t="s">
        <v>284</v>
      </c>
      <c r="G51" s="18" t="s">
        <v>294</v>
      </c>
      <c r="H51" s="6">
        <v>1969</v>
      </c>
      <c r="I51" s="18" t="s">
        <v>431</v>
      </c>
      <c r="J51" s="6">
        <v>5626</v>
      </c>
      <c r="K51" s="18" t="s">
        <v>432</v>
      </c>
      <c r="L51" s="18"/>
      <c r="M51" s="18" t="s">
        <v>93</v>
      </c>
      <c r="N51" s="18" t="s">
        <v>28</v>
      </c>
      <c r="O51" s="6">
        <v>7672</v>
      </c>
      <c r="P51" s="6">
        <v>0</v>
      </c>
      <c r="Q51" s="6">
        <v>5074</v>
      </c>
      <c r="R51" s="6">
        <v>2002</v>
      </c>
      <c r="S51" s="19" t="s">
        <v>252</v>
      </c>
      <c r="T51" s="18" t="s">
        <v>433</v>
      </c>
      <c r="V51" s="6" t="str">
        <f t="shared" si="0"/>
        <v>('demo', 'martin@comunas.fm', '5626', 'Schulanlage Staffeln', 'T02','ST01-4','C9',1969,'Schulhausstrasse 6','5626','Hermetschwil','ch','chf',7672,0,5074,2002,'N','-Glasvordach, Türe Gebäuderückseite: Einfachverglasung, Schiebetüre aus Holz - Materialraum, Glastüre, Lagerraum, Geräteraum - Glasfenster werden mit der Zeit blind, Werkraum'),</v>
      </c>
    </row>
    <row r="52" spans="1:22" x14ac:dyDescent="0.25">
      <c r="A52" s="18" t="s">
        <v>4</v>
      </c>
      <c r="B52" s="18" t="s">
        <v>20</v>
      </c>
      <c r="C52" s="6">
        <v>9223</v>
      </c>
      <c r="D52" s="18" t="s">
        <v>434</v>
      </c>
      <c r="E52" s="18" t="s">
        <v>275</v>
      </c>
      <c r="F52" s="18" t="s">
        <v>276</v>
      </c>
      <c r="G52" s="18" t="s">
        <v>294</v>
      </c>
      <c r="H52" s="6">
        <v>1917</v>
      </c>
      <c r="I52" s="18" t="s">
        <v>435</v>
      </c>
      <c r="J52" s="6">
        <v>9223</v>
      </c>
      <c r="K52" s="18" t="s">
        <v>436</v>
      </c>
      <c r="L52" s="18"/>
      <c r="M52" s="18" t="s">
        <v>93</v>
      </c>
      <c r="N52" s="18" t="s">
        <v>28</v>
      </c>
      <c r="O52" s="6">
        <v>1766</v>
      </c>
      <c r="P52" s="6">
        <v>0</v>
      </c>
      <c r="Q52" s="6">
        <v>1078</v>
      </c>
      <c r="R52" s="6">
        <v>2011</v>
      </c>
      <c r="S52" s="19" t="s">
        <v>252</v>
      </c>
      <c r="T52" s="18"/>
      <c r="V52" s="6" t="str">
        <f t="shared" si="0"/>
        <v>('demo', 'martin@comunas.fm', '9223', 'Primarschulanlage Halden; Schulhaus, Wohnungen', 'T02','ST02-12','C9',1917,'Schulstrasse 10','9223','Halden','ch','chf',1766,0,1078,2011,'N',null),</v>
      </c>
    </row>
    <row r="53" spans="1:22" x14ac:dyDescent="0.25">
      <c r="A53" s="18" t="s">
        <v>4</v>
      </c>
      <c r="B53" s="18" t="s">
        <v>20</v>
      </c>
      <c r="C53" s="6">
        <v>9220</v>
      </c>
      <c r="D53" s="18" t="s">
        <v>437</v>
      </c>
      <c r="E53" s="18" t="s">
        <v>275</v>
      </c>
      <c r="F53" s="18" t="s">
        <v>276</v>
      </c>
      <c r="G53" s="18" t="s">
        <v>294</v>
      </c>
      <c r="H53" s="6">
        <v>1899</v>
      </c>
      <c r="I53" s="18" t="s">
        <v>438</v>
      </c>
      <c r="J53" s="6">
        <v>9220</v>
      </c>
      <c r="K53" s="18" t="s">
        <v>439</v>
      </c>
      <c r="L53" s="18"/>
      <c r="M53" s="18" t="s">
        <v>93</v>
      </c>
      <c r="N53" s="18" t="s">
        <v>28</v>
      </c>
      <c r="O53" s="6">
        <v>4079</v>
      </c>
      <c r="P53" s="6">
        <v>0</v>
      </c>
      <c r="Q53" s="6">
        <v>2924</v>
      </c>
      <c r="R53" s="6">
        <v>2006</v>
      </c>
      <c r="S53" s="19" t="s">
        <v>252</v>
      </c>
      <c r="T53" s="18" t="s">
        <v>440</v>
      </c>
      <c r="V53" s="6" t="str">
        <f t="shared" si="0"/>
        <v>('demo', 'martin@comunas.fm', '9220', 'Schulhaus (Altbau)', 'T02','ST02-12','C9',1899,'Hoffnungsgut','9220','Bischofszell','ch','chf',4079,0,2924,2006,'N','Feuchteschäden Boden/Wände UG mit Rostflecken. Es gab in der Vergangenheit geologische Probleme, ein geologischer Bericht ist verfügbar. Der Boden im Keller hebt sich. Einige Geländer h&lt;90 cm. DasGebäude wurde vor wenigen Jahren komplett saniert/umgebaut.'),</v>
      </c>
    </row>
    <row r="54" spans="1:22" x14ac:dyDescent="0.25">
      <c r="A54" s="18" t="s">
        <v>4</v>
      </c>
      <c r="B54" s="18" t="s">
        <v>20</v>
      </c>
      <c r="C54" s="6">
        <v>9220</v>
      </c>
      <c r="D54" s="18" t="s">
        <v>441</v>
      </c>
      <c r="E54" s="18" t="s">
        <v>275</v>
      </c>
      <c r="F54" s="18" t="s">
        <v>276</v>
      </c>
      <c r="G54" s="18" t="s">
        <v>294</v>
      </c>
      <c r="H54" s="6">
        <v>1963</v>
      </c>
      <c r="I54" s="18" t="s">
        <v>438</v>
      </c>
      <c r="J54" s="6">
        <v>9220</v>
      </c>
      <c r="K54" s="18" t="s">
        <v>439</v>
      </c>
      <c r="L54" s="18"/>
      <c r="M54" s="18" t="s">
        <v>93</v>
      </c>
      <c r="N54" s="18" t="s">
        <v>28</v>
      </c>
      <c r="O54" s="6">
        <v>12106</v>
      </c>
      <c r="P54" s="6">
        <v>0</v>
      </c>
      <c r="Q54" s="6">
        <v>6560</v>
      </c>
      <c r="R54" s="6">
        <v>2006</v>
      </c>
      <c r="S54" s="19" t="s">
        <v>252</v>
      </c>
      <c r="T54" s="18" t="s">
        <v>442</v>
      </c>
      <c r="V54" s="6" t="str">
        <f t="shared" si="0"/>
        <v>('demo', 'martin@comunas.fm', '9220', 'Schulhaus (Neubau)', 'T02','ST02-12','C9',1963,'Hoffnungsgut','9220','Bischofszell','ch','chf',12106,0,6560,2006,'N','Gebäude wurde vor wenigen Jahren komplett saniert/umgebaut'),</v>
      </c>
    </row>
    <row r="55" spans="1:22" x14ac:dyDescent="0.25">
      <c r="A55" s="18" t="s">
        <v>4</v>
      </c>
      <c r="B55" s="18" t="s">
        <v>20</v>
      </c>
      <c r="C55" s="6">
        <v>9220</v>
      </c>
      <c r="D55" s="18" t="s">
        <v>443</v>
      </c>
      <c r="E55" s="18" t="s">
        <v>304</v>
      </c>
      <c r="F55" s="18" t="s">
        <v>305</v>
      </c>
      <c r="G55" s="18" t="s">
        <v>427</v>
      </c>
      <c r="H55" s="6">
        <v>1963</v>
      </c>
      <c r="I55" s="18" t="s">
        <v>438</v>
      </c>
      <c r="J55" s="6">
        <v>9220</v>
      </c>
      <c r="K55" s="18" t="s">
        <v>439</v>
      </c>
      <c r="L55" s="18"/>
      <c r="M55" s="18" t="s">
        <v>93</v>
      </c>
      <c r="N55" s="18" t="s">
        <v>28</v>
      </c>
      <c r="O55" s="6">
        <v>7282</v>
      </c>
      <c r="P55" s="6">
        <v>0</v>
      </c>
      <c r="Q55" s="6">
        <v>3363</v>
      </c>
      <c r="R55" s="6">
        <v>2006</v>
      </c>
      <c r="S55" s="19" t="s">
        <v>252</v>
      </c>
      <c r="T55" s="18"/>
      <c r="V55" s="6" t="str">
        <f t="shared" si="0"/>
        <v>('demo', 'martin@comunas.fm', '9220', 'Turnhallen, Wohnung', 'T12','ST01-9','C33',1963,'Hoffnungsgut','9220','Bischofszell','ch','chf',7282,0,3363,2006,'N',null),</v>
      </c>
    </row>
    <row r="56" spans="1:22" x14ac:dyDescent="0.25">
      <c r="A56" s="18" t="s">
        <v>4</v>
      </c>
      <c r="B56" s="18" t="s">
        <v>20</v>
      </c>
      <c r="C56" s="6">
        <v>9220</v>
      </c>
      <c r="D56" s="18" t="s">
        <v>444</v>
      </c>
      <c r="E56" s="18" t="s">
        <v>402</v>
      </c>
      <c r="F56" s="18" t="s">
        <v>403</v>
      </c>
      <c r="G56" s="18" t="s">
        <v>445</v>
      </c>
      <c r="H56" s="6">
        <v>1963</v>
      </c>
      <c r="I56" s="18" t="s">
        <v>438</v>
      </c>
      <c r="J56" s="6">
        <v>9220</v>
      </c>
      <c r="K56" s="18" t="s">
        <v>439</v>
      </c>
      <c r="L56" s="18"/>
      <c r="M56" s="18" t="s">
        <v>93</v>
      </c>
      <c r="N56" s="18" t="s">
        <v>28</v>
      </c>
      <c r="O56" s="6">
        <v>838</v>
      </c>
      <c r="P56" s="6">
        <v>0</v>
      </c>
      <c r="Q56" s="6">
        <v>324</v>
      </c>
      <c r="R56" s="6">
        <v>2006</v>
      </c>
      <c r="S56" s="19" t="s">
        <v>252</v>
      </c>
      <c r="T56" s="18"/>
      <c r="V56" s="6" t="str">
        <f t="shared" si="0"/>
        <v>('demo', 'martin@comunas.fm', '9220', 'Garagen, Abstellgebäude', 'T13','ST01-2','C35',1963,'Hoffnungsgut','9220','Bischofszell','ch','chf',838,0,324,2006,'N',null),</v>
      </c>
    </row>
    <row r="57" spans="1:22" x14ac:dyDescent="0.25">
      <c r="A57" s="18" t="s">
        <v>4</v>
      </c>
      <c r="B57" s="18" t="s">
        <v>20</v>
      </c>
      <c r="C57" s="6">
        <v>9220</v>
      </c>
      <c r="D57" s="18" t="s">
        <v>446</v>
      </c>
      <c r="E57" s="18" t="s">
        <v>275</v>
      </c>
      <c r="F57" s="18" t="s">
        <v>284</v>
      </c>
      <c r="G57" s="18" t="s">
        <v>285</v>
      </c>
      <c r="H57" s="6">
        <v>2002</v>
      </c>
      <c r="I57" s="18" t="s">
        <v>447</v>
      </c>
      <c r="J57" s="6">
        <v>9220</v>
      </c>
      <c r="K57" s="18" t="s">
        <v>448</v>
      </c>
      <c r="L57" s="18"/>
      <c r="M57" s="18" t="s">
        <v>93</v>
      </c>
      <c r="N57" s="18" t="s">
        <v>28</v>
      </c>
      <c r="O57" s="6">
        <v>772</v>
      </c>
      <c r="P57" s="6">
        <v>0</v>
      </c>
      <c r="Q57" s="6">
        <v>447</v>
      </c>
      <c r="R57" s="6">
        <v>2011</v>
      </c>
      <c r="S57" s="19" t="s">
        <v>252</v>
      </c>
      <c r="T57" s="18"/>
      <c r="V57" s="6" t="str">
        <f t="shared" si="0"/>
        <v>('demo', 'martin@comunas.fm', '9220', 'Kindergartenpavillon, Gartenhaus', 'T02','ST01-4','C8',2002,'Hoffnungsgut/(Thurblick)','9220','Bischoffszell','ch','chf',772,0,447,2011,'N',null),</v>
      </c>
    </row>
    <row r="58" spans="1:22" x14ac:dyDescent="0.25">
      <c r="A58" s="18" t="s">
        <v>4</v>
      </c>
      <c r="B58" s="18" t="s">
        <v>20</v>
      </c>
      <c r="C58" s="6">
        <v>9220</v>
      </c>
      <c r="D58" s="18" t="s">
        <v>449</v>
      </c>
      <c r="E58" s="18" t="s">
        <v>275</v>
      </c>
      <c r="F58" s="18" t="s">
        <v>276</v>
      </c>
      <c r="G58" s="18" t="s">
        <v>294</v>
      </c>
      <c r="H58" s="6">
        <v>1889</v>
      </c>
      <c r="I58" s="18" t="s">
        <v>450</v>
      </c>
      <c r="J58" s="6">
        <v>9220</v>
      </c>
      <c r="K58" s="18" t="s">
        <v>439</v>
      </c>
      <c r="L58" s="18"/>
      <c r="M58" s="18" t="s">
        <v>93</v>
      </c>
      <c r="N58" s="18" t="s">
        <v>28</v>
      </c>
      <c r="O58" s="6">
        <v>7446</v>
      </c>
      <c r="P58" s="6">
        <v>0</v>
      </c>
      <c r="Q58" s="6">
        <v>5193</v>
      </c>
      <c r="R58" s="6">
        <v>2006</v>
      </c>
      <c r="S58" s="19" t="s">
        <v>252</v>
      </c>
      <c r="T58" s="18" t="s">
        <v>451</v>
      </c>
      <c r="V58" s="6" t="str">
        <f t="shared" si="0"/>
        <v>('demo', 'martin@comunas.fm', '9220', 'Schulhaus, Velounterstand', 'T02','ST02-12','C9',1889,'Obertor 4','9220','Bischofszell','ch','chf',7446,0,5193,2006,'N','Abklärung Asbest bei Spritzputzdecken und Geläderhöhen'),</v>
      </c>
    </row>
    <row r="59" spans="1:22" x14ac:dyDescent="0.25">
      <c r="A59" s="18" t="s">
        <v>4</v>
      </c>
      <c r="B59" s="18" t="s">
        <v>20</v>
      </c>
      <c r="C59" s="6">
        <v>9220</v>
      </c>
      <c r="D59" s="18" t="s">
        <v>452</v>
      </c>
      <c r="E59" s="18" t="s">
        <v>275</v>
      </c>
      <c r="F59" s="18" t="s">
        <v>284</v>
      </c>
      <c r="G59" s="18" t="s">
        <v>285</v>
      </c>
      <c r="H59" s="6">
        <v>1899</v>
      </c>
      <c r="I59" s="18" t="s">
        <v>453</v>
      </c>
      <c r="J59" s="6">
        <v>9220</v>
      </c>
      <c r="K59" s="18" t="s">
        <v>439</v>
      </c>
      <c r="L59" s="18"/>
      <c r="M59" s="18" t="s">
        <v>93</v>
      </c>
      <c r="N59" s="18" t="s">
        <v>28</v>
      </c>
      <c r="O59" s="6">
        <v>2229</v>
      </c>
      <c r="P59" s="6">
        <v>0</v>
      </c>
      <c r="Q59" s="6">
        <v>1580</v>
      </c>
      <c r="R59" s="6">
        <v>2006</v>
      </c>
      <c r="S59" s="19" t="s">
        <v>252</v>
      </c>
      <c r="T59" s="18"/>
      <c r="V59" s="6" t="str">
        <f t="shared" si="0"/>
        <v>('demo', 'martin@comunas.fm', '9220', 'Kindergarten Bitzi, Gerätehaus', 'T02','ST01-4','C8',1899,'Turnerweg 4','9220','Bischofszell','ch','chf',2229,0,1580,2006,'N',null),</v>
      </c>
    </row>
    <row r="60" spans="1:22" x14ac:dyDescent="0.25">
      <c r="A60" s="18" t="s">
        <v>4</v>
      </c>
      <c r="B60" s="18" t="s">
        <v>20</v>
      </c>
      <c r="C60" s="6">
        <v>9220</v>
      </c>
      <c r="D60" s="18" t="s">
        <v>454</v>
      </c>
      <c r="E60" s="18" t="s">
        <v>275</v>
      </c>
      <c r="F60" s="18" t="s">
        <v>276</v>
      </c>
      <c r="G60" s="18" t="s">
        <v>294</v>
      </c>
      <c r="H60" s="6">
        <v>1910</v>
      </c>
      <c r="I60" s="18" t="s">
        <v>455</v>
      </c>
      <c r="J60" s="6">
        <v>9220</v>
      </c>
      <c r="K60" s="18" t="s">
        <v>439</v>
      </c>
      <c r="L60" s="18"/>
      <c r="M60" s="18" t="s">
        <v>93</v>
      </c>
      <c r="N60" s="18" t="s">
        <v>28</v>
      </c>
      <c r="O60" s="6">
        <v>6488</v>
      </c>
      <c r="P60" s="6">
        <v>0</v>
      </c>
      <c r="Q60" s="6">
        <v>3520</v>
      </c>
      <c r="R60" s="6">
        <v>2006</v>
      </c>
      <c r="S60" s="19" t="s">
        <v>252</v>
      </c>
      <c r="T60" s="18"/>
      <c r="V60" s="6" t="str">
        <f t="shared" si="0"/>
        <v>('demo', 'martin@comunas.fm', '9220', 'Schulhaus Altbau', 'T02','ST02-12','C9',1910,'Sandbänkli 4','9220','Bischofszell','ch','chf',6488,0,3520,2006,'N',null),</v>
      </c>
    </row>
    <row r="61" spans="1:22" x14ac:dyDescent="0.25">
      <c r="A61" s="18" t="s">
        <v>4</v>
      </c>
      <c r="B61" s="18" t="s">
        <v>20</v>
      </c>
      <c r="C61" s="6">
        <v>9220</v>
      </c>
      <c r="D61" s="18" t="s">
        <v>456</v>
      </c>
      <c r="E61" s="18" t="s">
        <v>275</v>
      </c>
      <c r="F61" s="18" t="s">
        <v>276</v>
      </c>
      <c r="G61" s="18" t="s">
        <v>368</v>
      </c>
      <c r="H61" s="6">
        <v>1905</v>
      </c>
      <c r="I61" s="18" t="s">
        <v>455</v>
      </c>
      <c r="J61" s="6">
        <v>9220</v>
      </c>
      <c r="K61" s="18" t="s">
        <v>439</v>
      </c>
      <c r="L61" s="18"/>
      <c r="M61" s="18" t="s">
        <v>93</v>
      </c>
      <c r="N61" s="18" t="s">
        <v>28</v>
      </c>
      <c r="O61" s="6">
        <v>2242</v>
      </c>
      <c r="P61" s="6">
        <v>0</v>
      </c>
      <c r="Q61" s="6">
        <v>1121</v>
      </c>
      <c r="R61" s="6">
        <v>2011</v>
      </c>
      <c r="S61" s="19" t="s">
        <v>252</v>
      </c>
      <c r="T61" s="18"/>
      <c r="V61" s="6" t="str">
        <f t="shared" si="0"/>
        <v>('demo', 'martin@comunas.fm', '9220', 'Aula', 'T02','ST02-12','C29',1905,'Sandbänkli 4','9220','Bischofszell','ch','chf',2242,0,1121,2011,'N',null),</v>
      </c>
    </row>
    <row r="62" spans="1:22" x14ac:dyDescent="0.25">
      <c r="A62" s="18" t="s">
        <v>4</v>
      </c>
      <c r="B62" s="18" t="s">
        <v>20</v>
      </c>
      <c r="C62" s="6">
        <v>9220</v>
      </c>
      <c r="D62" s="18" t="s">
        <v>401</v>
      </c>
      <c r="E62" s="18" t="s">
        <v>275</v>
      </c>
      <c r="F62" s="18" t="s">
        <v>276</v>
      </c>
      <c r="G62" s="18" t="s">
        <v>294</v>
      </c>
      <c r="H62" s="6">
        <v>2005</v>
      </c>
      <c r="I62" s="18" t="s">
        <v>457</v>
      </c>
      <c r="J62" s="6">
        <v>9220</v>
      </c>
      <c r="K62" s="18" t="s">
        <v>439</v>
      </c>
      <c r="L62" s="18"/>
      <c r="M62" s="18" t="s">
        <v>93</v>
      </c>
      <c r="N62" s="18" t="s">
        <v>28</v>
      </c>
      <c r="O62" s="6">
        <v>744</v>
      </c>
      <c r="P62" s="6">
        <v>0</v>
      </c>
      <c r="Q62" s="6">
        <v>127</v>
      </c>
      <c r="R62" s="6">
        <v>2011</v>
      </c>
      <c r="S62" s="19" t="s">
        <v>252</v>
      </c>
      <c r="T62" s="18"/>
      <c r="V62" s="6" t="str">
        <f t="shared" si="0"/>
        <v>('demo', 'martin@comunas.fm', '9220', 'Velounterstand', 'T02','ST02-12','C9',2005,'Sandbänkli','9220','Bischofszell','ch','chf',744,0,127,2011,'N',null),</v>
      </c>
    </row>
    <row r="63" spans="1:22" x14ac:dyDescent="0.25">
      <c r="A63" s="18" t="s">
        <v>4</v>
      </c>
      <c r="B63" s="18" t="s">
        <v>20</v>
      </c>
      <c r="C63" s="6">
        <v>8589</v>
      </c>
      <c r="D63" s="18" t="s">
        <v>458</v>
      </c>
      <c r="E63" s="18" t="s">
        <v>275</v>
      </c>
      <c r="F63" s="18" t="s">
        <v>276</v>
      </c>
      <c r="G63" s="18" t="s">
        <v>294</v>
      </c>
      <c r="H63" s="6">
        <v>1996</v>
      </c>
      <c r="I63" s="18" t="s">
        <v>459</v>
      </c>
      <c r="J63" s="6">
        <v>8589</v>
      </c>
      <c r="K63" s="18" t="s">
        <v>460</v>
      </c>
      <c r="L63" s="18"/>
      <c r="M63" s="18" t="s">
        <v>93</v>
      </c>
      <c r="N63" s="18" t="s">
        <v>28</v>
      </c>
      <c r="O63" s="6">
        <v>20263</v>
      </c>
      <c r="P63" s="6">
        <v>0</v>
      </c>
      <c r="Q63" s="6">
        <v>9695</v>
      </c>
      <c r="R63" s="6">
        <v>2007</v>
      </c>
      <c r="S63" s="19" t="s">
        <v>252</v>
      </c>
      <c r="T63" s="18" t="s">
        <v>461</v>
      </c>
      <c r="V63" s="6" t="str">
        <f t="shared" si="0"/>
        <v>('demo', 'martin@comunas.fm', '8589', 'Schulhaus, Garage, Gerätehaus, Containerhaus, Gargengerättehaus', 'T02','ST02-12','C9',1996,'Bruggfeld/Rofenstrasse 20','8589','Sitterdorf','ch','chf',20263,0,9695,2007,'N','Dazugehörige Umgebungsgebäude: Garagengebäude aus Betonsteinen und Pultdach aus Welleternit. Containerraum aus Holz.\nHW-Wohnung: Risse in der Aussenwand, durch mehrere Wände verlaufend. Anstrich bei der Treppe der HW-Wohnung blättert ab.\nAula: Absenkung des Bodens, Innenbeschattung defekt.\nAbstand zwischen Handlauf und Traverse ist zu gross (Sicherheitsrisiko).'),</v>
      </c>
    </row>
    <row r="64" spans="1:22" x14ac:dyDescent="0.25">
      <c r="A64" s="18" t="s">
        <v>4</v>
      </c>
      <c r="B64" s="18" t="s">
        <v>20</v>
      </c>
      <c r="C64" s="6">
        <v>9220</v>
      </c>
      <c r="D64" s="18" t="s">
        <v>462</v>
      </c>
      <c r="E64" s="18" t="s">
        <v>275</v>
      </c>
      <c r="F64" s="18" t="s">
        <v>276</v>
      </c>
      <c r="G64" s="18" t="s">
        <v>277</v>
      </c>
      <c r="H64" s="6">
        <v>1905</v>
      </c>
      <c r="I64" s="18" t="s">
        <v>457</v>
      </c>
      <c r="J64" s="6">
        <v>9220</v>
      </c>
      <c r="K64" s="18" t="s">
        <v>439</v>
      </c>
      <c r="L64" s="18"/>
      <c r="M64" s="18" t="s">
        <v>93</v>
      </c>
      <c r="N64" s="18" t="s">
        <v>28</v>
      </c>
      <c r="O64" s="6">
        <v>341</v>
      </c>
      <c r="P64" s="6">
        <v>0</v>
      </c>
      <c r="Q64" s="6">
        <v>171</v>
      </c>
      <c r="R64" s="6">
        <v>2011</v>
      </c>
      <c r="S64" s="19" t="s">
        <v>252</v>
      </c>
      <c r="T64" s="18"/>
      <c r="V64" s="6" t="str">
        <f t="shared" si="0"/>
        <v>('demo', 'martin@comunas.fm', '9220', 'Garage', 'T02','ST02-12','C0',1905,'Sandbänkli','9220','Bischofszell','ch','chf',341,0,171,2011,'N',null),</v>
      </c>
    </row>
    <row r="65" spans="1:22" x14ac:dyDescent="0.25">
      <c r="A65" s="18" t="s">
        <v>4</v>
      </c>
      <c r="B65" s="18" t="s">
        <v>20</v>
      </c>
      <c r="C65" s="6">
        <v>9220</v>
      </c>
      <c r="D65" s="18" t="s">
        <v>463</v>
      </c>
      <c r="E65" s="18" t="s">
        <v>275</v>
      </c>
      <c r="F65" s="18" t="s">
        <v>276</v>
      </c>
      <c r="G65" s="18" t="s">
        <v>294</v>
      </c>
      <c r="H65" s="6">
        <v>2002</v>
      </c>
      <c r="I65" s="18" t="s">
        <v>464</v>
      </c>
      <c r="J65" s="6">
        <v>9220</v>
      </c>
      <c r="K65" s="18" t="s">
        <v>439</v>
      </c>
      <c r="L65" s="18"/>
      <c r="M65" s="18" t="s">
        <v>93</v>
      </c>
      <c r="N65" s="18" t="s">
        <v>28</v>
      </c>
      <c r="O65" s="6">
        <v>11476</v>
      </c>
      <c r="P65" s="6">
        <v>0</v>
      </c>
      <c r="Q65" s="6">
        <v>6557</v>
      </c>
      <c r="R65" s="6">
        <v>2006</v>
      </c>
      <c r="S65" s="19" t="s">
        <v>252</v>
      </c>
      <c r="T65" s="18" t="s">
        <v>465</v>
      </c>
      <c r="V65" s="6" t="str">
        <f t="shared" si="0"/>
        <v>('demo', 'martin@comunas.fm', '9220', 'Schulhaus Neubau, Pausenunterstand', 'T02','ST02-12','C9',2002,'Sandbäkli 4','9220','Bischofszell','ch','chf',11476,0,6557,2006,'N','Der Pausenunterstand besteht aus Rohbeton und hat Holzeinbau mit Verglasungen.'),</v>
      </c>
    </row>
    <row r="66" spans="1:22" x14ac:dyDescent="0.25">
      <c r="A66" s="18" t="s">
        <v>4</v>
      </c>
      <c r="B66" s="18" t="s">
        <v>20</v>
      </c>
      <c r="C66" s="6">
        <v>8588</v>
      </c>
      <c r="D66" s="18" t="s">
        <v>466</v>
      </c>
      <c r="E66" s="18" t="s">
        <v>275</v>
      </c>
      <c r="F66" s="18" t="s">
        <v>276</v>
      </c>
      <c r="G66" s="18" t="s">
        <v>294</v>
      </c>
      <c r="H66" s="6">
        <v>1887</v>
      </c>
      <c r="I66" s="18" t="s">
        <v>467</v>
      </c>
      <c r="J66" s="6">
        <v>8588</v>
      </c>
      <c r="K66" s="18" t="s">
        <v>468</v>
      </c>
      <c r="L66" s="18"/>
      <c r="M66" s="18" t="s">
        <v>93</v>
      </c>
      <c r="N66" s="18" t="s">
        <v>28</v>
      </c>
      <c r="O66" s="6">
        <v>3609</v>
      </c>
      <c r="P66" s="6">
        <v>0</v>
      </c>
      <c r="Q66" s="6">
        <v>1877</v>
      </c>
      <c r="R66" s="6">
        <v>2011</v>
      </c>
      <c r="S66" s="19" t="s">
        <v>252</v>
      </c>
      <c r="T66" s="18" t="s">
        <v>469</v>
      </c>
      <c r="V66" s="6" t="str">
        <f t="shared" si="0"/>
        <v>('demo', 'martin@comunas.fm', '8588', 'Primarschulanlage Schulhaus alt', 'T02','ST02-12','C9',1887,'Kirchstrasse','8588','Zihlschlacht','ch','chf',3609,0,1877,2011,'N','Aufsteigende Feuchtigkeit im Keller'),</v>
      </c>
    </row>
    <row r="67" spans="1:22" x14ac:dyDescent="0.25">
      <c r="A67" s="18" t="s">
        <v>4</v>
      </c>
      <c r="B67" s="18" t="s">
        <v>20</v>
      </c>
      <c r="C67" s="6">
        <v>8589</v>
      </c>
      <c r="D67" s="18" t="s">
        <v>470</v>
      </c>
      <c r="E67" s="18" t="s">
        <v>275</v>
      </c>
      <c r="F67" s="18" t="s">
        <v>276</v>
      </c>
      <c r="G67" s="18" t="s">
        <v>294</v>
      </c>
      <c r="H67" s="6">
        <v>1912</v>
      </c>
      <c r="I67" s="18" t="s">
        <v>471</v>
      </c>
      <c r="J67" s="6">
        <v>8589</v>
      </c>
      <c r="K67" s="18" t="s">
        <v>460</v>
      </c>
      <c r="L67" s="18"/>
      <c r="M67" s="18" t="s">
        <v>93</v>
      </c>
      <c r="N67" s="18" t="s">
        <v>28</v>
      </c>
      <c r="O67" s="6">
        <v>3742</v>
      </c>
      <c r="P67" s="6">
        <v>0</v>
      </c>
      <c r="Q67" s="6">
        <v>1990</v>
      </c>
      <c r="R67" s="6">
        <v>2008</v>
      </c>
      <c r="S67" s="19" t="s">
        <v>252</v>
      </c>
      <c r="T67" s="18"/>
      <c r="V67" s="6" t="str">
        <f t="shared" si="0"/>
        <v>('demo', 'martin@comunas.fm', '8589', 'Primarschulanlage Schulhaus', 'T02','ST02-12','C9',1912,'St. Gallerstrasse 4','8589','Sitterdorf','ch','chf',3742,0,1990,2008,'N',null),</v>
      </c>
    </row>
    <row r="68" spans="1:22" x14ac:dyDescent="0.25">
      <c r="A68" s="18" t="s">
        <v>4</v>
      </c>
      <c r="B68" s="18" t="s">
        <v>20</v>
      </c>
      <c r="C68" s="6">
        <v>8589</v>
      </c>
      <c r="D68" s="18" t="s">
        <v>472</v>
      </c>
      <c r="E68" s="18" t="s">
        <v>275</v>
      </c>
      <c r="F68" s="18" t="s">
        <v>284</v>
      </c>
      <c r="G68" s="18" t="s">
        <v>285</v>
      </c>
      <c r="H68" s="6">
        <v>1898</v>
      </c>
      <c r="I68" s="18" t="s">
        <v>473</v>
      </c>
      <c r="J68" s="6">
        <v>8589</v>
      </c>
      <c r="K68" s="18" t="s">
        <v>460</v>
      </c>
      <c r="L68" s="18"/>
      <c r="M68" s="18" t="s">
        <v>93</v>
      </c>
      <c r="N68" s="18" t="s">
        <v>28</v>
      </c>
      <c r="O68" s="6">
        <v>1824</v>
      </c>
      <c r="P68" s="6">
        <v>0</v>
      </c>
      <c r="Q68" s="6">
        <v>1058</v>
      </c>
      <c r="R68" s="6">
        <v>2007</v>
      </c>
      <c r="S68" s="19" t="s">
        <v>252</v>
      </c>
      <c r="T68" s="18"/>
      <c r="V68" s="6" t="str">
        <f t="shared" si="0"/>
        <v>('demo', 'martin@comunas.fm', '8589', 'Kindergarten', 'T02','ST01-4','C8',1898,'St. Gallerstrasse 6','8589','Sitterdorf','ch','chf',1824,0,1058,2007,'N',null),</v>
      </c>
    </row>
    <row r="69" spans="1:22" x14ac:dyDescent="0.25">
      <c r="A69" s="18" t="s">
        <v>4</v>
      </c>
      <c r="B69" s="18" t="s">
        <v>20</v>
      </c>
      <c r="C69" s="6">
        <v>1111</v>
      </c>
      <c r="D69" s="18" t="s">
        <v>419</v>
      </c>
      <c r="E69" s="18" t="s">
        <v>391</v>
      </c>
      <c r="F69" s="18" t="s">
        <v>420</v>
      </c>
      <c r="G69" s="18" t="s">
        <v>393</v>
      </c>
      <c r="H69" s="6">
        <v>1913</v>
      </c>
      <c r="I69" s="18" t="s">
        <v>474</v>
      </c>
      <c r="J69" s="6">
        <v>1111</v>
      </c>
      <c r="K69" s="18" t="s">
        <v>475</v>
      </c>
      <c r="L69" s="18"/>
      <c r="M69" s="18" t="s">
        <v>93</v>
      </c>
      <c r="N69" s="18" t="s">
        <v>28</v>
      </c>
      <c r="O69" s="6">
        <v>8051</v>
      </c>
      <c r="P69" s="6">
        <v>0</v>
      </c>
      <c r="Q69" s="6">
        <v>5235</v>
      </c>
      <c r="R69" s="6">
        <v>1995</v>
      </c>
      <c r="S69" s="19" t="s">
        <v>252</v>
      </c>
      <c r="T69" s="18" t="s">
        <v>476</v>
      </c>
      <c r="V69" s="6" t="str">
        <f t="shared" ref="V69:V132" si="1">"('"&amp;A69&amp;"', '"&amp;B69&amp;"', '"&amp;C69&amp;"', '"&amp;D69&amp;"', "&amp;IF(ISBLANK(E69),"null","'"&amp;E69&amp;"'")&amp;","&amp;IF(ISBLANK(F69),"null","'"&amp;F69&amp;"'")&amp;","&amp;IF(ISBLANK(G69),"null","'"&amp;G69&amp;"'")&amp;","&amp;IF(ISBLANK(H69),"null",H69)&amp;","&amp;IF(ISBLANK(I69),"null","'"&amp;I69&amp;"'")&amp;","&amp;IF(ISBLANK(J69),"null","'"&amp;J69&amp;"'")&amp;","&amp;IF(ISBLANK(K69),"null","'"&amp;K69&amp;"'")&amp;","&amp;IF(ISBLANK(M69),"null","'"&amp;M69&amp;"'")&amp;","&amp;IF(ISBLANK(N69),"null","'"&amp;N69&amp;"'")&amp;","&amp;IF(ISBLANK(O69),"null",O69)&amp;","&amp;IF(ISBLANK(P69),"null",P69)&amp;","&amp;IF(ISBLANK(Q69),"null",Q69)&amp;","&amp;IF(ISBLANK(R69),"null",R69)&amp;","&amp;IF(ISBLANK(S69),"null","'"&amp;S69&amp;"'")&amp;","&amp;IF(ISBLANK(T69),"null","'"&amp;T69&amp;"'")&amp;"),"</f>
        <v>('demo', 'martin@comunas.fm', '1111', 'Rathaus', 'T06','ST07-40','C21',1913,'Rathausplatz 1','1111','Musterstadt','ch','chf',8051,0,5235,1995,'N','Klinkerboden und Decke haben Risse - Stadtratssaal: Holz-Metallfenster 2004 - Holztüren mit Türrahmen, Holztreppen im OG, Finanzabteilung: schlechte Isolation da Zugerscheinungen im Winter und im Sommer zu heiss, Abstellkammer, Materialraum, Glasbausteine, Teeküche'),</v>
      </c>
    </row>
    <row r="70" spans="1:22" x14ac:dyDescent="0.25">
      <c r="A70" s="18" t="s">
        <v>4</v>
      </c>
      <c r="B70" s="18" t="s">
        <v>20</v>
      </c>
      <c r="C70" s="6">
        <v>9225</v>
      </c>
      <c r="D70" s="18" t="s">
        <v>477</v>
      </c>
      <c r="E70" s="18" t="s">
        <v>275</v>
      </c>
      <c r="F70" s="18" t="s">
        <v>276</v>
      </c>
      <c r="G70" s="18" t="s">
        <v>427</v>
      </c>
      <c r="H70" s="6">
        <v>1968</v>
      </c>
      <c r="I70" s="18" t="s">
        <v>478</v>
      </c>
      <c r="J70" s="6">
        <v>9225</v>
      </c>
      <c r="K70" s="18" t="s">
        <v>479</v>
      </c>
      <c r="L70" s="18"/>
      <c r="M70" s="18" t="s">
        <v>93</v>
      </c>
      <c r="N70" s="18" t="s">
        <v>28</v>
      </c>
      <c r="O70" s="6">
        <v>6425</v>
      </c>
      <c r="P70" s="6">
        <v>0</v>
      </c>
      <c r="Q70" s="6">
        <v>3219</v>
      </c>
      <c r="R70" s="6">
        <v>2007</v>
      </c>
      <c r="S70" s="19" t="s">
        <v>252</v>
      </c>
      <c r="T70" s="18" t="s">
        <v>480</v>
      </c>
      <c r="V70" s="6" t="str">
        <f t="shared" si="1"/>
        <v>('demo', 'martin@comunas.fm', '9225', 'Primarschulanlage Schulhaus, Turnhalle', 'T02','ST02-12','C33',1968,'Hoferberg','9225','Gotthaus','ch','chf',6425,0,3219,2007,'N','neue Beleuchtung 2012'),</v>
      </c>
    </row>
    <row r="71" spans="1:22" x14ac:dyDescent="0.25">
      <c r="A71" s="18" t="s">
        <v>4</v>
      </c>
      <c r="B71" s="18" t="s">
        <v>20</v>
      </c>
      <c r="C71" s="6">
        <v>9225</v>
      </c>
      <c r="D71" s="18" t="s">
        <v>481</v>
      </c>
      <c r="E71" s="18" t="s">
        <v>275</v>
      </c>
      <c r="F71" s="18" t="s">
        <v>276</v>
      </c>
      <c r="G71" s="18" t="s">
        <v>294</v>
      </c>
      <c r="H71" s="6">
        <v>1914</v>
      </c>
      <c r="I71" s="18" t="s">
        <v>478</v>
      </c>
      <c r="J71" s="6">
        <v>9225</v>
      </c>
      <c r="K71" s="18" t="s">
        <v>479</v>
      </c>
      <c r="L71" s="18"/>
      <c r="M71" s="18" t="s">
        <v>93</v>
      </c>
      <c r="N71" s="18" t="s">
        <v>28</v>
      </c>
      <c r="O71" s="6">
        <v>2719</v>
      </c>
      <c r="P71" s="6">
        <v>0</v>
      </c>
      <c r="Q71" s="6">
        <v>1597</v>
      </c>
      <c r="R71" s="6">
        <v>2007</v>
      </c>
      <c r="S71" s="19" t="s">
        <v>252</v>
      </c>
      <c r="T71" s="18" t="s">
        <v>482</v>
      </c>
      <c r="V71" s="6" t="str">
        <f t="shared" si="1"/>
        <v>('demo', 'martin@comunas.fm', '9225', 'Primarschulanlage Schulhaus, Wohnungen', 'T02','ST02-12','C9',1914,'Hoferberg','9225','Gotthaus','ch','chf',2719,0,1597,2007,'N','Die Garagen bestehen aus Mauerwerk und einem Betonboden. Das Flachdach ist bepflanzt aber vermoost.'),</v>
      </c>
    </row>
    <row r="72" spans="1:22" x14ac:dyDescent="0.25">
      <c r="A72" s="18" t="s">
        <v>4</v>
      </c>
      <c r="B72" s="18" t="s">
        <v>20</v>
      </c>
      <c r="C72" s="6">
        <v>9220</v>
      </c>
      <c r="D72" s="18" t="s">
        <v>483</v>
      </c>
      <c r="E72" s="18" t="s">
        <v>275</v>
      </c>
      <c r="F72" s="18" t="s">
        <v>276</v>
      </c>
      <c r="G72" s="18" t="s">
        <v>294</v>
      </c>
      <c r="H72" s="6">
        <v>1963</v>
      </c>
      <c r="I72" s="18" t="s">
        <v>484</v>
      </c>
      <c r="J72" s="6">
        <v>9220</v>
      </c>
      <c r="K72" s="18" t="s">
        <v>484</v>
      </c>
      <c r="L72" s="18"/>
      <c r="M72" s="18" t="s">
        <v>93</v>
      </c>
      <c r="N72" s="18" t="s">
        <v>28</v>
      </c>
      <c r="O72" s="6">
        <v>596</v>
      </c>
      <c r="P72" s="6">
        <v>0</v>
      </c>
      <c r="Q72" s="6">
        <v>310</v>
      </c>
      <c r="R72" s="6">
        <v>2007</v>
      </c>
      <c r="S72" s="19" t="s">
        <v>252</v>
      </c>
      <c r="T72" s="18"/>
      <c r="V72" s="6" t="str">
        <f t="shared" si="1"/>
        <v>('demo', 'martin@comunas.fm', '9220', 'Primarschulanlage Schulpavillon', 'T02','ST02-12','C9',1963,'Blidegg','9220','Blidegg','ch','chf',596,0,310,2007,'N',null),</v>
      </c>
    </row>
    <row r="73" spans="1:22" x14ac:dyDescent="0.25">
      <c r="A73" s="18" t="s">
        <v>4</v>
      </c>
      <c r="B73" s="18" t="s">
        <v>20</v>
      </c>
      <c r="C73" s="6">
        <v>9220</v>
      </c>
      <c r="D73" s="18" t="s">
        <v>485</v>
      </c>
      <c r="E73" s="18" t="s">
        <v>275</v>
      </c>
      <c r="F73" s="18" t="s">
        <v>276</v>
      </c>
      <c r="G73" s="18" t="s">
        <v>294</v>
      </c>
      <c r="H73" s="6">
        <v>1880</v>
      </c>
      <c r="I73" s="18" t="s">
        <v>486</v>
      </c>
      <c r="J73" s="6">
        <v>9220</v>
      </c>
      <c r="K73" s="18" t="s">
        <v>484</v>
      </c>
      <c r="L73" s="18"/>
      <c r="M73" s="18" t="s">
        <v>93</v>
      </c>
      <c r="N73" s="18" t="s">
        <v>28</v>
      </c>
      <c r="O73" s="6">
        <v>1241</v>
      </c>
      <c r="P73" s="6">
        <v>0</v>
      </c>
      <c r="Q73" s="6">
        <v>857</v>
      </c>
      <c r="R73" s="6">
        <v>2007</v>
      </c>
      <c r="S73" s="19" t="s">
        <v>252</v>
      </c>
      <c r="T73" s="18" t="s">
        <v>487</v>
      </c>
      <c r="V73" s="6" t="str">
        <f t="shared" si="1"/>
        <v>('demo', 'martin@comunas.fm', '9220', 'Primarschulanlage Schulhaus, Velounterstand', 'T02','ST02-12','C9',1880,'Blidegg 4','9220','Blidegg','ch','chf',1241,0,857,2007,'N','Der Velounterstand besteht aus einem Metallgerüst und einem Eternitwellendach.'),</v>
      </c>
    </row>
    <row r="74" spans="1:22" x14ac:dyDescent="0.25">
      <c r="A74" s="18" t="s">
        <v>4</v>
      </c>
      <c r="B74" s="18" t="s">
        <v>20</v>
      </c>
      <c r="C74" s="6">
        <v>9220</v>
      </c>
      <c r="D74" s="18" t="s">
        <v>488</v>
      </c>
      <c r="E74" s="18" t="s">
        <v>275</v>
      </c>
      <c r="F74" s="18" t="s">
        <v>284</v>
      </c>
      <c r="G74" s="18" t="s">
        <v>285</v>
      </c>
      <c r="H74" s="6">
        <v>1954</v>
      </c>
      <c r="I74" s="18" t="s">
        <v>489</v>
      </c>
      <c r="J74" s="6">
        <v>9220</v>
      </c>
      <c r="K74" s="18" t="s">
        <v>439</v>
      </c>
      <c r="L74" s="18"/>
      <c r="M74" s="18" t="s">
        <v>93</v>
      </c>
      <c r="N74" s="18" t="s">
        <v>28</v>
      </c>
      <c r="O74" s="6">
        <v>1195</v>
      </c>
      <c r="P74" s="6">
        <v>0</v>
      </c>
      <c r="Q74" s="6">
        <v>1050</v>
      </c>
      <c r="R74" s="6">
        <v>2008</v>
      </c>
      <c r="S74" s="19" t="s">
        <v>252</v>
      </c>
      <c r="T74" s="18" t="s">
        <v>490</v>
      </c>
      <c r="V74" s="6" t="str">
        <f t="shared" si="1"/>
        <v>('demo', 'martin@comunas.fm', '9220', 'Kindergarten, Spielhaus und Anbau', 'T02','ST01-4','C8',1954,'Ibergstrasse','9220','Bischofszell','ch','chf',1195,0,1050,2008,'N','Das Sielhaus der Liegenschaft ist aus Holz und hat ein Kiesdach. Der Boden ist aus Rohbeton und hat eine Beleuchtung. Es sind keine Mängel sichtbar'),</v>
      </c>
    </row>
    <row r="75" spans="1:22" x14ac:dyDescent="0.25">
      <c r="A75" s="18" t="s">
        <v>4</v>
      </c>
      <c r="B75" s="18" t="s">
        <v>20</v>
      </c>
      <c r="C75" s="6">
        <v>8589</v>
      </c>
      <c r="D75" s="18" t="s">
        <v>491</v>
      </c>
      <c r="E75" s="18" t="s">
        <v>275</v>
      </c>
      <c r="F75" s="18" t="s">
        <v>276</v>
      </c>
      <c r="G75" s="18" t="s">
        <v>427</v>
      </c>
      <c r="H75" s="6">
        <v>1992</v>
      </c>
      <c r="I75" s="18" t="s">
        <v>492</v>
      </c>
      <c r="J75" s="6">
        <v>8589</v>
      </c>
      <c r="K75" s="18" t="s">
        <v>460</v>
      </c>
      <c r="L75" s="18"/>
      <c r="M75" s="18" t="s">
        <v>93</v>
      </c>
      <c r="N75" s="18" t="s">
        <v>28</v>
      </c>
      <c r="O75" s="6">
        <v>13247</v>
      </c>
      <c r="P75" s="6">
        <v>0</v>
      </c>
      <c r="Q75" s="6">
        <v>5138</v>
      </c>
      <c r="R75" s="6">
        <v>2011</v>
      </c>
      <c r="S75" s="19" t="s">
        <v>252</v>
      </c>
      <c r="T75" s="18" t="s">
        <v>493</v>
      </c>
      <c r="V75" s="6" t="str">
        <f t="shared" si="1"/>
        <v>('demo', 'martin@comunas.fm', '8589', 'Primarschulanlage Mehrzweckgebäude', 'T02','ST02-12','C33',1992,'St. Gallerstrasse','8589','Sitterdorf','ch','chf',13247,0,5138,2011,'N','Dia Aula beinhaltet eine Stereoanlage. Die Sprossenwand in der Turnhalle ist nicht versetzt'),</v>
      </c>
    </row>
    <row r="76" spans="1:22" x14ac:dyDescent="0.25">
      <c r="A76" s="18" t="s">
        <v>4</v>
      </c>
      <c r="B76" s="18" t="s">
        <v>20</v>
      </c>
      <c r="C76" s="6">
        <v>5620</v>
      </c>
      <c r="D76" s="18" t="s">
        <v>494</v>
      </c>
      <c r="E76" s="18" t="s">
        <v>288</v>
      </c>
      <c r="F76" s="18" t="s">
        <v>289</v>
      </c>
      <c r="G76" s="18" t="s">
        <v>290</v>
      </c>
      <c r="H76" s="6">
        <v>1974</v>
      </c>
      <c r="I76" s="18" t="s">
        <v>495</v>
      </c>
      <c r="J76" s="6">
        <v>5620</v>
      </c>
      <c r="K76" s="18" t="s">
        <v>316</v>
      </c>
      <c r="L76" s="18"/>
      <c r="M76" s="18" t="s">
        <v>93</v>
      </c>
      <c r="N76" s="18" t="s">
        <v>28</v>
      </c>
      <c r="O76" s="6">
        <v>1132</v>
      </c>
      <c r="P76" s="6">
        <v>0</v>
      </c>
      <c r="Q76" s="6">
        <v>775</v>
      </c>
      <c r="R76" s="6">
        <v>2005</v>
      </c>
      <c r="S76" s="19" t="s">
        <v>252</v>
      </c>
      <c r="T76" s="18" t="s">
        <v>496</v>
      </c>
      <c r="V76" s="6" t="str">
        <f t="shared" si="1"/>
        <v>('demo', 'martin@comunas.fm', '5620', 'Dienstgebäude', 'T01','ST02-11','C7',1974,'Badstrasse 1','5620','Bremgarten','ch','chf',1132,0,775,2005,'N','-Dusche im Materialraum wird nicht mehr gebraucht  - UG: Materialraum'),</v>
      </c>
    </row>
    <row r="77" spans="1:22" x14ac:dyDescent="0.25">
      <c r="A77" s="18" t="s">
        <v>4</v>
      </c>
      <c r="B77" s="18" t="s">
        <v>20</v>
      </c>
      <c r="C77" s="6">
        <v>9470</v>
      </c>
      <c r="D77" s="18" t="s">
        <v>497</v>
      </c>
      <c r="E77" s="18" t="s">
        <v>275</v>
      </c>
      <c r="F77" s="18" t="s">
        <v>284</v>
      </c>
      <c r="G77" s="18" t="s">
        <v>285</v>
      </c>
      <c r="H77" s="6">
        <v>1969</v>
      </c>
      <c r="I77" s="18" t="s">
        <v>340</v>
      </c>
      <c r="J77" s="6">
        <v>9470</v>
      </c>
      <c r="K77" s="18" t="s">
        <v>323</v>
      </c>
      <c r="L77" s="18"/>
      <c r="M77" s="18" t="s">
        <v>93</v>
      </c>
      <c r="N77" s="18" t="s">
        <v>28</v>
      </c>
      <c r="O77" s="6">
        <v>2052</v>
      </c>
      <c r="P77" s="6">
        <v>0</v>
      </c>
      <c r="Q77" s="6">
        <v>882</v>
      </c>
      <c r="R77" s="6">
        <v>2004</v>
      </c>
      <c r="S77" s="19" t="s">
        <v>252</v>
      </c>
      <c r="T77" s="18"/>
      <c r="V77" s="6" t="str">
        <f t="shared" si="1"/>
        <v>('demo', 'martin@comunas.fm', '9470', 'Pavillon Hilfsschule', 'T02','ST01-4','C8',1969,'Volksgartenstrasse 12','9470','Buchs SG','ch','chf',2052,0,882,2004,'N',null),</v>
      </c>
    </row>
    <row r="78" spans="1:22" x14ac:dyDescent="0.25">
      <c r="A78" s="18" t="s">
        <v>4</v>
      </c>
      <c r="B78" s="18" t="s">
        <v>20</v>
      </c>
      <c r="C78" s="6">
        <v>8588</v>
      </c>
      <c r="D78" s="18" t="s">
        <v>498</v>
      </c>
      <c r="E78" s="18" t="s">
        <v>275</v>
      </c>
      <c r="F78" s="18" t="s">
        <v>276</v>
      </c>
      <c r="G78" s="18" t="s">
        <v>294</v>
      </c>
      <c r="H78" s="6">
        <v>1956</v>
      </c>
      <c r="I78" s="18" t="s">
        <v>467</v>
      </c>
      <c r="J78" s="6">
        <v>8588</v>
      </c>
      <c r="K78" s="18" t="s">
        <v>468</v>
      </c>
      <c r="L78" s="18"/>
      <c r="M78" s="18" t="s">
        <v>93</v>
      </c>
      <c r="N78" s="18" t="s">
        <v>28</v>
      </c>
      <c r="O78" s="6">
        <v>3462</v>
      </c>
      <c r="P78" s="6">
        <v>0</v>
      </c>
      <c r="Q78" s="6">
        <v>2043</v>
      </c>
      <c r="R78" s="6">
        <v>2011</v>
      </c>
      <c r="S78" s="19" t="s">
        <v>252</v>
      </c>
      <c r="T78" s="18"/>
      <c r="V78" s="6" t="str">
        <f t="shared" si="1"/>
        <v>('demo', 'martin@comunas.fm', '8588', 'Primarschulanlage Schulhaus Mittelbau', 'T02','ST02-12','C9',1956,'Kirchstrasse','8588','Zihlschlacht','ch','chf',3462,0,2043,2011,'N',null),</v>
      </c>
    </row>
    <row r="79" spans="1:22" x14ac:dyDescent="0.25">
      <c r="A79" s="18" t="s">
        <v>4</v>
      </c>
      <c r="B79" s="18" t="s">
        <v>20</v>
      </c>
      <c r="C79" s="6">
        <v>5620</v>
      </c>
      <c r="D79" s="18" t="s">
        <v>499</v>
      </c>
      <c r="E79" s="18" t="s">
        <v>275</v>
      </c>
      <c r="F79" s="18" t="s">
        <v>284</v>
      </c>
      <c r="G79" s="18" t="s">
        <v>294</v>
      </c>
      <c r="H79" s="6">
        <v>1972</v>
      </c>
      <c r="I79" s="18" t="s">
        <v>500</v>
      </c>
      <c r="J79" s="6">
        <v>5620</v>
      </c>
      <c r="K79" s="18" t="s">
        <v>316</v>
      </c>
      <c r="L79" s="18"/>
      <c r="M79" s="18" t="s">
        <v>93</v>
      </c>
      <c r="N79" s="18" t="s">
        <v>28</v>
      </c>
      <c r="O79" s="6">
        <v>1615</v>
      </c>
      <c r="P79" s="6">
        <v>0</v>
      </c>
      <c r="Q79" s="6">
        <v>763</v>
      </c>
      <c r="R79" s="6">
        <v>1994</v>
      </c>
      <c r="S79" s="19" t="s">
        <v>252</v>
      </c>
      <c r="T79" s="18"/>
      <c r="V79" s="6" t="str">
        <f t="shared" si="1"/>
        <v>('demo', 'martin@comunas.fm', '5620', 'Kindergarten Kapuzinerhügel', 'T02','ST01-4','C9',1972,'Kapuzinerhügel 5','5620','Bremgarten','ch','chf',1615,0,763,1994,'N',null),</v>
      </c>
    </row>
    <row r="80" spans="1:22" x14ac:dyDescent="0.25">
      <c r="A80" s="18" t="s">
        <v>4</v>
      </c>
      <c r="B80" s="18" t="s">
        <v>20</v>
      </c>
      <c r="C80" s="6">
        <v>5620</v>
      </c>
      <c r="D80" s="18" t="s">
        <v>501</v>
      </c>
      <c r="E80" s="18" t="s">
        <v>304</v>
      </c>
      <c r="F80" s="18" t="s">
        <v>305</v>
      </c>
      <c r="G80" s="18" t="s">
        <v>427</v>
      </c>
      <c r="H80" s="6">
        <v>1938</v>
      </c>
      <c r="I80" s="18" t="s">
        <v>502</v>
      </c>
      <c r="J80" s="6">
        <v>5620</v>
      </c>
      <c r="K80" s="18" t="s">
        <v>316</v>
      </c>
      <c r="L80" s="18"/>
      <c r="M80" s="18" t="s">
        <v>93</v>
      </c>
      <c r="N80" s="18" t="s">
        <v>28</v>
      </c>
      <c r="O80" s="6">
        <v>4816</v>
      </c>
      <c r="P80" s="6">
        <v>0</v>
      </c>
      <c r="Q80" s="6">
        <v>2302</v>
      </c>
      <c r="R80" s="6">
        <v>2000</v>
      </c>
      <c r="S80" s="19" t="s">
        <v>252</v>
      </c>
      <c r="T80" s="18" t="s">
        <v>503</v>
      </c>
      <c r="V80" s="6" t="str">
        <f t="shared" si="1"/>
        <v>('demo', 'martin@comunas.fm', '5620', 'Reussbrücke-Saal, Zwischenbau', 'T12','ST01-9','C33',1938,'Wohlerstrasse','5620','Bremgarten','ch','chf',4816,0,2302,2000,'N','Umbau/Sanierung ''99\nDachraum gem. Hauswart i.O.'),</v>
      </c>
    </row>
    <row r="81" spans="1:22" x14ac:dyDescent="0.25">
      <c r="A81" s="18" t="s">
        <v>4</v>
      </c>
      <c r="B81" s="18" t="s">
        <v>20</v>
      </c>
      <c r="C81" s="6">
        <v>5620</v>
      </c>
      <c r="D81" s="18" t="s">
        <v>504</v>
      </c>
      <c r="E81" s="18" t="s">
        <v>505</v>
      </c>
      <c r="F81" s="18" t="s">
        <v>506</v>
      </c>
      <c r="G81" s="18" t="s">
        <v>507</v>
      </c>
      <c r="H81" s="6">
        <v>1983</v>
      </c>
      <c r="I81" s="18" t="s">
        <v>508</v>
      </c>
      <c r="J81" s="6">
        <v>5620</v>
      </c>
      <c r="K81" s="18" t="s">
        <v>316</v>
      </c>
      <c r="L81" s="18"/>
      <c r="M81" s="18" t="s">
        <v>93</v>
      </c>
      <c r="N81" s="18" t="s">
        <v>28</v>
      </c>
      <c r="O81" s="6">
        <v>5039</v>
      </c>
      <c r="P81" s="6">
        <v>0</v>
      </c>
      <c r="Q81" s="6">
        <v>2959</v>
      </c>
      <c r="R81" s="6">
        <v>2007</v>
      </c>
      <c r="S81" s="19" t="s">
        <v>252</v>
      </c>
      <c r="T81" s="18"/>
      <c r="V81" s="6" t="str">
        <f t="shared" si="1"/>
        <v>('demo', 'martin@comunas.fm', '5620', 'Feuerwehrlokal, SR und Wg.', 'T14','ST07-37','C37',1983,'Kreuzmattstrasse 8','5620','Bremgarten','ch','chf',5039,0,2959,2007,'N',null),</v>
      </c>
    </row>
    <row r="82" spans="1:22" x14ac:dyDescent="0.25">
      <c r="A82" s="18" t="s">
        <v>4</v>
      </c>
      <c r="B82" s="18" t="s">
        <v>20</v>
      </c>
      <c r="C82" s="6">
        <v>5620</v>
      </c>
      <c r="D82" s="18" t="s">
        <v>509</v>
      </c>
      <c r="E82" s="18" t="s">
        <v>366</v>
      </c>
      <c r="F82" s="18" t="s">
        <v>510</v>
      </c>
      <c r="G82" s="18" t="s">
        <v>368</v>
      </c>
      <c r="H82" s="6">
        <v>1934</v>
      </c>
      <c r="I82" s="18" t="s">
        <v>502</v>
      </c>
      <c r="J82" s="6">
        <v>5620</v>
      </c>
      <c r="K82" s="18" t="s">
        <v>316</v>
      </c>
      <c r="L82" s="18"/>
      <c r="M82" s="18" t="s">
        <v>93</v>
      </c>
      <c r="N82" s="18" t="s">
        <v>28</v>
      </c>
      <c r="O82" s="6">
        <v>8672</v>
      </c>
      <c r="P82" s="6">
        <v>0</v>
      </c>
      <c r="Q82" s="6">
        <v>3584</v>
      </c>
      <c r="R82" s="6">
        <v>1997</v>
      </c>
      <c r="S82" s="19" t="s">
        <v>252</v>
      </c>
      <c r="T82" s="18" t="s">
        <v>511</v>
      </c>
      <c r="V82" s="6" t="str">
        <f t="shared" si="1"/>
        <v>('demo', 'martin@comunas.fm', '5620', 'Casino', 'T10','ST11-47','C29',1934,'Wohlerstrasse','5620','Bremgarten','ch','chf',8672,0,3584,1997,'N','energetisch und akustisch mangelhaft\nWindfang konzeptionell ungenügend'),</v>
      </c>
    </row>
    <row r="83" spans="1:22" x14ac:dyDescent="0.25">
      <c r="A83" s="18" t="s">
        <v>4</v>
      </c>
      <c r="B83" s="18" t="s">
        <v>20</v>
      </c>
      <c r="C83" s="6">
        <v>5620</v>
      </c>
      <c r="D83" s="18" t="s">
        <v>512</v>
      </c>
      <c r="E83" s="18" t="s">
        <v>275</v>
      </c>
      <c r="F83" s="18" t="s">
        <v>276</v>
      </c>
      <c r="G83" s="18" t="s">
        <v>294</v>
      </c>
      <c r="H83" s="6">
        <v>1895</v>
      </c>
      <c r="I83" s="18" t="s">
        <v>513</v>
      </c>
      <c r="J83" s="6">
        <v>5620</v>
      </c>
      <c r="K83" s="18" t="s">
        <v>316</v>
      </c>
      <c r="L83" s="18"/>
      <c r="M83" s="18" t="s">
        <v>93</v>
      </c>
      <c r="N83" s="18" t="s">
        <v>28</v>
      </c>
      <c r="O83" s="6">
        <v>17099</v>
      </c>
      <c r="P83" s="6">
        <v>0</v>
      </c>
      <c r="Q83" s="6">
        <v>9834</v>
      </c>
      <c r="R83" s="6">
        <v>1991</v>
      </c>
      <c r="S83" s="19" t="s">
        <v>252</v>
      </c>
      <c r="T83" s="18" t="s">
        <v>514</v>
      </c>
      <c r="V83" s="6" t="str">
        <f t="shared" si="1"/>
        <v>('demo', 'martin@comunas.fm', '5620', 'Stadtschulhaus', 'T02','ST02-12','C9',1895,'Obertorplatz','5620','Bremgarten','ch','chf',17099,0,9834,1991,'N','Brüstung/Geländerhöhe: 89cm\nFlachdach: Versicherungsfall (Folie spröde)'),</v>
      </c>
    </row>
    <row r="84" spans="1:22" x14ac:dyDescent="0.25">
      <c r="A84" s="18" t="s">
        <v>4</v>
      </c>
      <c r="B84" s="18" t="s">
        <v>20</v>
      </c>
      <c r="C84" s="6">
        <v>5620</v>
      </c>
      <c r="D84" s="18" t="s">
        <v>515</v>
      </c>
      <c r="E84" s="18" t="s">
        <v>275</v>
      </c>
      <c r="F84" s="18" t="s">
        <v>276</v>
      </c>
      <c r="G84" s="18" t="s">
        <v>294</v>
      </c>
      <c r="H84" s="6">
        <v>1962</v>
      </c>
      <c r="I84" s="18" t="s">
        <v>516</v>
      </c>
      <c r="J84" s="6">
        <v>5620</v>
      </c>
      <c r="K84" s="18" t="s">
        <v>316</v>
      </c>
      <c r="L84" s="18"/>
      <c r="M84" s="18" t="s">
        <v>93</v>
      </c>
      <c r="N84" s="18" t="s">
        <v>28</v>
      </c>
      <c r="O84" s="6">
        <v>10727</v>
      </c>
      <c r="P84" s="6">
        <v>0</v>
      </c>
      <c r="Q84" s="6">
        <v>6279</v>
      </c>
      <c r="R84" s="6">
        <v>1996</v>
      </c>
      <c r="S84" s="19" t="s">
        <v>252</v>
      </c>
      <c r="T84" s="18" t="s">
        <v>517</v>
      </c>
      <c r="V84" s="6" t="str">
        <f t="shared" si="1"/>
        <v>('demo', 'martin@comunas.fm', '5620', 'Promendenschulhaus', 'T02','ST02-12','C9',1962,'Promenade','5620','Bremgarten','ch','chf',10727,0,6279,1996,'N','Brüstungshöhe Treppenhaus, auch in Anbau mangelhaft. Doku "Gefährdungen" von ''05 vorhanden.\nLüftung Schulküche: Zuluft wird nicht mehr gebraucht seit Umbau.\nFenster Anbau z.T. 3-fach-Verglasung.'),</v>
      </c>
    </row>
    <row r="85" spans="1:22" x14ac:dyDescent="0.25">
      <c r="A85" s="18" t="s">
        <v>4</v>
      </c>
      <c r="B85" s="18" t="s">
        <v>20</v>
      </c>
      <c r="C85" s="6">
        <v>5620</v>
      </c>
      <c r="D85" s="18" t="s">
        <v>518</v>
      </c>
      <c r="E85" s="18" t="s">
        <v>275</v>
      </c>
      <c r="F85" s="18" t="s">
        <v>276</v>
      </c>
      <c r="G85" s="18" t="s">
        <v>294</v>
      </c>
      <c r="H85" s="6">
        <v>1971</v>
      </c>
      <c r="I85" s="18" t="s">
        <v>519</v>
      </c>
      <c r="J85" s="6">
        <v>5620</v>
      </c>
      <c r="K85" s="18" t="s">
        <v>316</v>
      </c>
      <c r="L85" s="18"/>
      <c r="M85" s="18" t="s">
        <v>93</v>
      </c>
      <c r="N85" s="18" t="s">
        <v>28</v>
      </c>
      <c r="O85" s="6">
        <v>3929</v>
      </c>
      <c r="P85" s="6">
        <v>0</v>
      </c>
      <c r="Q85" s="6">
        <v>2585</v>
      </c>
      <c r="R85" s="6">
        <v>2001</v>
      </c>
      <c r="S85" s="19" t="s">
        <v>252</v>
      </c>
      <c r="T85" s="18"/>
      <c r="V85" s="6" t="str">
        <f t="shared" si="1"/>
        <v>('demo', 'martin@comunas.fm', '5620', 'Gartenschulhaus', 'T02','ST02-12','C9',1971,'Gartenstrasse','5620','Bremgarten','ch','chf',3929,0,2585,2001,'N',null),</v>
      </c>
    </row>
    <row r="86" spans="1:22" x14ac:dyDescent="0.25">
      <c r="A86" s="18" t="s">
        <v>4</v>
      </c>
      <c r="B86" s="18" t="s">
        <v>20</v>
      </c>
      <c r="C86" s="6">
        <v>5620</v>
      </c>
      <c r="D86" s="18" t="s">
        <v>520</v>
      </c>
      <c r="E86" s="18" t="s">
        <v>304</v>
      </c>
      <c r="F86" s="18" t="s">
        <v>305</v>
      </c>
      <c r="G86" s="18" t="s">
        <v>294</v>
      </c>
      <c r="H86" s="6">
        <v>1962</v>
      </c>
      <c r="I86" s="18" t="s">
        <v>521</v>
      </c>
      <c r="J86" s="6">
        <v>5620</v>
      </c>
      <c r="K86" s="18" t="s">
        <v>316</v>
      </c>
      <c r="L86" s="18"/>
      <c r="M86" s="18" t="s">
        <v>93</v>
      </c>
      <c r="N86" s="18" t="s">
        <v>28</v>
      </c>
      <c r="O86" s="6">
        <v>7866</v>
      </c>
      <c r="P86" s="6">
        <v>0</v>
      </c>
      <c r="Q86" s="6">
        <v>3961</v>
      </c>
      <c r="R86" s="6">
        <v>2007</v>
      </c>
      <c r="S86" s="19" t="s">
        <v>252</v>
      </c>
      <c r="T86" s="18" t="s">
        <v>522</v>
      </c>
      <c r="V86" s="6" t="str">
        <f t="shared" si="1"/>
        <v>('demo', 'martin@comunas.fm', '5620', 'Turnhalle Bärenmatt', 'T12','ST01-9','C9',1962,'Sportstrasse','5620','Bremgarten','ch','chf',7866,0,3961,2007,'N','Geräteraum: Tor nicht sicherheitskonform (geht nach aussen auf).'),</v>
      </c>
    </row>
    <row r="87" spans="1:22" x14ac:dyDescent="0.25">
      <c r="A87" s="18" t="s">
        <v>4</v>
      </c>
      <c r="B87" s="18" t="s">
        <v>20</v>
      </c>
      <c r="C87" s="6">
        <v>8556</v>
      </c>
      <c r="D87" s="18" t="s">
        <v>523</v>
      </c>
      <c r="E87" s="18" t="s">
        <v>275</v>
      </c>
      <c r="F87" s="18" t="s">
        <v>284</v>
      </c>
      <c r="G87" s="18" t="s">
        <v>294</v>
      </c>
      <c r="H87" s="6">
        <v>1938</v>
      </c>
      <c r="I87" s="18" t="s">
        <v>524</v>
      </c>
      <c r="J87" s="6">
        <v>8556</v>
      </c>
      <c r="K87" s="18" t="s">
        <v>525</v>
      </c>
      <c r="L87" s="18"/>
      <c r="M87" s="18" t="s">
        <v>93</v>
      </c>
      <c r="N87" s="18" t="s">
        <v>28</v>
      </c>
      <c r="O87" s="6">
        <v>1487</v>
      </c>
      <c r="P87" s="6">
        <v>0</v>
      </c>
      <c r="Q87" s="6">
        <v>1187000</v>
      </c>
      <c r="R87" s="6">
        <v>2005</v>
      </c>
      <c r="S87" s="19" t="s">
        <v>252</v>
      </c>
      <c r="T87" s="18" t="s">
        <v>526</v>
      </c>
      <c r="V87" s="6" t="str">
        <f t="shared" si="1"/>
        <v>('demo', 'martin@comunas.fm', '8556', 'Kindergarten Haldengüetli', 'T02','ST01-4','C9',1938,'Bernrainstr. 26','8556','Wigoltingen','ch','chf',1487,0,1187000,2005,'N','Hauswart: Hr. Gubler\nNiedrige Raumhöhen in Kindergartenräumen'),</v>
      </c>
    </row>
    <row r="88" spans="1:22" x14ac:dyDescent="0.25">
      <c r="A88" s="18" t="s">
        <v>4</v>
      </c>
      <c r="B88" s="18" t="s">
        <v>20</v>
      </c>
      <c r="C88" s="6">
        <v>8355</v>
      </c>
      <c r="D88" s="18" t="s">
        <v>527</v>
      </c>
      <c r="E88" s="18" t="s">
        <v>275</v>
      </c>
      <c r="F88" s="18" t="s">
        <v>284</v>
      </c>
      <c r="G88" s="18" t="s">
        <v>294</v>
      </c>
      <c r="H88" s="6">
        <v>1973</v>
      </c>
      <c r="I88" s="18" t="s">
        <v>528</v>
      </c>
      <c r="J88" s="6">
        <v>8355</v>
      </c>
      <c r="K88" s="18" t="s">
        <v>529</v>
      </c>
      <c r="L88" s="18"/>
      <c r="M88" s="18" t="s">
        <v>93</v>
      </c>
      <c r="N88" s="18" t="s">
        <v>28</v>
      </c>
      <c r="O88" s="6">
        <v>2957</v>
      </c>
      <c r="P88" s="6">
        <v>0</v>
      </c>
      <c r="Q88" s="6">
        <v>1556</v>
      </c>
      <c r="R88" s="6">
        <v>2011</v>
      </c>
      <c r="S88" s="19" t="s">
        <v>252</v>
      </c>
      <c r="T88" s="18"/>
      <c r="V88" s="6" t="str">
        <f t="shared" si="1"/>
        <v>('demo', 'martin@comunas.fm', '8355', 'Kindergarten Käsernstrasse', 'T02','ST01-4','C9',1973,'Käsernstrasse 1','8355','Aadorf','ch','chf',2957,0,1556,2011,'N',null),</v>
      </c>
    </row>
    <row r="89" spans="1:22" x14ac:dyDescent="0.25">
      <c r="A89" s="18" t="s">
        <v>4</v>
      </c>
      <c r="B89" s="18" t="s">
        <v>20</v>
      </c>
      <c r="C89" s="6">
        <v>8355</v>
      </c>
      <c r="D89" s="18" t="s">
        <v>530</v>
      </c>
      <c r="E89" s="18" t="s">
        <v>275</v>
      </c>
      <c r="F89" s="18" t="s">
        <v>284</v>
      </c>
      <c r="G89" s="18" t="s">
        <v>285</v>
      </c>
      <c r="H89" s="6">
        <v>1899</v>
      </c>
      <c r="I89" s="18" t="s">
        <v>363</v>
      </c>
      <c r="J89" s="6">
        <v>8355</v>
      </c>
      <c r="K89" s="18" t="s">
        <v>529</v>
      </c>
      <c r="L89" s="18"/>
      <c r="M89" s="18" t="s">
        <v>93</v>
      </c>
      <c r="N89" s="18" t="s">
        <v>28</v>
      </c>
      <c r="O89" s="6">
        <v>3170</v>
      </c>
      <c r="P89" s="6">
        <v>0</v>
      </c>
      <c r="Q89" s="6">
        <v>1708</v>
      </c>
      <c r="R89" s="6">
        <v>2011</v>
      </c>
      <c r="S89" s="19" t="s">
        <v>252</v>
      </c>
      <c r="T89" s="18"/>
      <c r="V89" s="6" t="str">
        <f t="shared" si="1"/>
        <v>('demo', 'martin@comunas.fm', '8355', 'Altes Schulhaus Kindergarten', 'T02','ST01-4','C8',1899,'Schulstrasse 9','8355','Aadorf','ch','chf',3170,0,1708,2011,'N',null),</v>
      </c>
    </row>
    <row r="90" spans="1:22" x14ac:dyDescent="0.25">
      <c r="A90" s="18" t="s">
        <v>4</v>
      </c>
      <c r="B90" s="18" t="s">
        <v>20</v>
      </c>
      <c r="C90" s="6">
        <v>3049</v>
      </c>
      <c r="D90" s="18" t="s">
        <v>531</v>
      </c>
      <c r="E90" s="18" t="s">
        <v>275</v>
      </c>
      <c r="F90" s="18" t="s">
        <v>276</v>
      </c>
      <c r="G90" s="18" t="s">
        <v>294</v>
      </c>
      <c r="H90" s="6">
        <v>1939</v>
      </c>
      <c r="I90" s="18" t="s">
        <v>532</v>
      </c>
      <c r="J90" s="6">
        <v>3049</v>
      </c>
      <c r="K90" s="18" t="s">
        <v>533</v>
      </c>
      <c r="L90" s="18"/>
      <c r="M90" s="18" t="s">
        <v>93</v>
      </c>
      <c r="N90" s="18" t="s">
        <v>28</v>
      </c>
      <c r="O90" s="6">
        <v>9300</v>
      </c>
      <c r="P90" s="6">
        <v>0</v>
      </c>
      <c r="Q90" s="6">
        <v>6292</v>
      </c>
      <c r="R90" s="6">
        <v>2009</v>
      </c>
      <c r="S90" s="19" t="s">
        <v>345</v>
      </c>
      <c r="T90" s="18" t="s">
        <v>534</v>
      </c>
      <c r="V90" s="6" t="str">
        <f t="shared" si="1"/>
        <v>('demo', 'martin@comunas.fm', '3049', 'Schulhaus/Hausw.whg./Turnhalle/ZS', 'T02','ST02-12','C9',1939,'Staatsstrasse 76','3049','Säriswil','ch','chf',9300,0,6292,2009,'NW','Dachsanierung inkl. Wärmedämmung ist im Investitionsplan; Ziegel sind nicht mehr erhältlich\nGeländererhöhungen ''11\nGeländer im Altbauteil: Höhen mögl.w. zu niedrig (Überprüfen)\nHauswartwohnung im DG\nIm Gebäudeversicherungswert sind das Schulhaus sowie die Turnhalle enthalten. Die beiden Liegenschaften unterscheiden sich bezüglich des Gebäudetyps sowie des Gebäudealters. Diesem Umstand wird mit gemittelten Werten bei den entsprechenden Bauteilen Rechung getragen.'),</v>
      </c>
    </row>
    <row r="91" spans="1:22" x14ac:dyDescent="0.25">
      <c r="A91" s="18" t="s">
        <v>4</v>
      </c>
      <c r="B91" s="18" t="s">
        <v>20</v>
      </c>
      <c r="C91" s="6">
        <v>3043</v>
      </c>
      <c r="D91" s="18" t="s">
        <v>535</v>
      </c>
      <c r="E91" s="18" t="s">
        <v>366</v>
      </c>
      <c r="F91" s="18" t="s">
        <v>536</v>
      </c>
      <c r="G91" s="18" t="s">
        <v>368</v>
      </c>
      <c r="H91" s="6">
        <v>1900</v>
      </c>
      <c r="I91" s="18" t="s">
        <v>537</v>
      </c>
      <c r="J91" s="6">
        <v>3043</v>
      </c>
      <c r="K91" s="18" t="s">
        <v>405</v>
      </c>
      <c r="L91" s="18"/>
      <c r="M91" s="18" t="s">
        <v>93</v>
      </c>
      <c r="N91" s="18" t="s">
        <v>28</v>
      </c>
      <c r="O91" s="6">
        <v>5500</v>
      </c>
      <c r="P91" s="6">
        <v>0</v>
      </c>
      <c r="Q91" s="6">
        <v>4404</v>
      </c>
      <c r="R91" s="6">
        <v>2009</v>
      </c>
      <c r="S91" s="19" t="s">
        <v>345</v>
      </c>
      <c r="T91" s="18" t="s">
        <v>538</v>
      </c>
      <c r="V91" s="6" t="str">
        <f t="shared" si="1"/>
        <v>('demo', 'martin@comunas.fm', '3043', 'Kulturelles Zentrum Reberhaus', 'T10','ST06-36','C29',1900,'Lindenstrasse 4','3043','Uettligen','ch','chf',5500,0,4404,2009,'NW','Umnutzung Bauernhaus in Kulturzentrum 1987\nTreppen und Niveaulift\nKüche im Schrank zu Stuben und Saal (m. GSP, Kaffeemasch. u. mob. Backofen)'),</v>
      </c>
    </row>
    <row r="92" spans="1:22" x14ac:dyDescent="0.25">
      <c r="A92" s="18" t="s">
        <v>4</v>
      </c>
      <c r="B92" s="18" t="s">
        <v>20</v>
      </c>
      <c r="C92" s="6">
        <v>3043</v>
      </c>
      <c r="D92" s="18" t="s">
        <v>539</v>
      </c>
      <c r="E92" s="18" t="s">
        <v>505</v>
      </c>
      <c r="F92" s="18" t="s">
        <v>506</v>
      </c>
      <c r="G92" s="18" t="s">
        <v>277</v>
      </c>
      <c r="H92" s="6">
        <v>1999</v>
      </c>
      <c r="I92" s="18" t="s">
        <v>540</v>
      </c>
      <c r="J92" s="6">
        <v>3043</v>
      </c>
      <c r="K92" s="18" t="s">
        <v>405</v>
      </c>
      <c r="L92" s="18"/>
      <c r="M92" s="18" t="s">
        <v>93</v>
      </c>
      <c r="N92" s="18" t="s">
        <v>28</v>
      </c>
      <c r="O92" s="6">
        <v>1600</v>
      </c>
      <c r="P92" s="6">
        <v>0</v>
      </c>
      <c r="Q92" s="6">
        <v>613</v>
      </c>
      <c r="R92" s="6">
        <v>2009</v>
      </c>
      <c r="S92" s="19" t="s">
        <v>345</v>
      </c>
      <c r="T92" s="18" t="s">
        <v>541</v>
      </c>
      <c r="V92" s="6" t="str">
        <f t="shared" si="1"/>
        <v>('demo', 'martin@comunas.fm', '3043', 'Feuerwehrmagazin/Schulungsraum', 'T14','ST07-37','C0',1999,'Ahornweg 7','3043','Uettligen','ch','chf',1600,0,613,2009,'NW','Fluchttreppe in Stahl\nKein UG'),</v>
      </c>
    </row>
    <row r="93" spans="1:22" x14ac:dyDescent="0.25">
      <c r="A93" s="18" t="s">
        <v>4</v>
      </c>
      <c r="B93" s="18" t="s">
        <v>20</v>
      </c>
      <c r="C93" s="6">
        <v>9470</v>
      </c>
      <c r="D93" s="18" t="s">
        <v>542</v>
      </c>
      <c r="E93" s="18" t="s">
        <v>288</v>
      </c>
      <c r="F93" s="18" t="s">
        <v>543</v>
      </c>
      <c r="G93" s="18" t="s">
        <v>294</v>
      </c>
      <c r="H93" s="6">
        <v>1930</v>
      </c>
      <c r="I93" s="18" t="s">
        <v>544</v>
      </c>
      <c r="J93" s="6">
        <v>9470</v>
      </c>
      <c r="K93" s="18" t="s">
        <v>323</v>
      </c>
      <c r="L93" s="18"/>
      <c r="M93" s="18" t="s">
        <v>93</v>
      </c>
      <c r="N93" s="18" t="s">
        <v>28</v>
      </c>
      <c r="O93" s="6">
        <v>2231</v>
      </c>
      <c r="P93" s="6">
        <v>0</v>
      </c>
      <c r="Q93" s="6">
        <v>1441</v>
      </c>
      <c r="R93" s="6">
        <v>2007</v>
      </c>
      <c r="S93" s="19" t="s">
        <v>252</v>
      </c>
      <c r="T93" s="18" t="s">
        <v>545</v>
      </c>
      <c r="V93" s="6" t="str">
        <f t="shared" si="1"/>
        <v>('demo', 'martin@comunas.fm', '9470', 'Wohnhaus (Musikschule)', 'T01','ST05-26','C9',1930,'Schulhausstrasse 4','9470','Buchs SG','ch','chf',2231,0,1441,2007,'N','Holztreppen, Geländer zu niedrig'),</v>
      </c>
    </row>
    <row r="94" spans="1:22" x14ac:dyDescent="0.25">
      <c r="A94" s="18" t="s">
        <v>4</v>
      </c>
      <c r="B94" s="18" t="s">
        <v>20</v>
      </c>
      <c r="C94" s="6">
        <v>9470</v>
      </c>
      <c r="D94" s="18" t="s">
        <v>546</v>
      </c>
      <c r="E94" s="18" t="s">
        <v>275</v>
      </c>
      <c r="F94" s="18" t="s">
        <v>276</v>
      </c>
      <c r="G94" s="18" t="s">
        <v>294</v>
      </c>
      <c r="H94" s="6">
        <v>1919</v>
      </c>
      <c r="I94" s="18" t="s">
        <v>547</v>
      </c>
      <c r="J94" s="6">
        <v>9470</v>
      </c>
      <c r="K94" s="18" t="s">
        <v>323</v>
      </c>
      <c r="L94" s="18"/>
      <c r="M94" s="18" t="s">
        <v>93</v>
      </c>
      <c r="N94" s="18" t="s">
        <v>28</v>
      </c>
      <c r="O94" s="6">
        <v>6964</v>
      </c>
      <c r="P94" s="6">
        <v>0</v>
      </c>
      <c r="Q94" s="6">
        <v>4039</v>
      </c>
      <c r="R94" s="6">
        <v>2011</v>
      </c>
      <c r="S94" s="19" t="s">
        <v>252</v>
      </c>
      <c r="T94" s="18" t="s">
        <v>548</v>
      </c>
      <c r="V94" s="6" t="str">
        <f t="shared" si="1"/>
        <v>('demo', 'martin@comunas.fm', '9470', 'Schulhaus Grof', 'T02','ST02-12','C9',1919,'Schulhausstrasse 10','9470','Buchs SG','ch','chf',6964,0,4039,2011,'N','Die Höhe der Geländer ist in Ordnung, Fassade renoviert ca. 2000 - SL-Büro seit 2005, Neubauteil mit Pressspanplatten, Holztreppen verkleidet mit Pavarec, EDV Zimmer im DG mit Stahltüren, Erdverlegte Öltänke (stillgelegt) unter Pausenplatz'),</v>
      </c>
    </row>
    <row r="95" spans="1:22" x14ac:dyDescent="0.25">
      <c r="A95" s="18" t="s">
        <v>4</v>
      </c>
      <c r="B95" s="18" t="s">
        <v>20</v>
      </c>
      <c r="C95" s="6">
        <v>9470</v>
      </c>
      <c r="D95" s="18" t="s">
        <v>549</v>
      </c>
      <c r="E95" s="18" t="s">
        <v>275</v>
      </c>
      <c r="F95" s="18" t="s">
        <v>276</v>
      </c>
      <c r="G95" s="18" t="s">
        <v>294</v>
      </c>
      <c r="H95" s="6">
        <v>1961</v>
      </c>
      <c r="I95" s="18" t="s">
        <v>550</v>
      </c>
      <c r="J95" s="6">
        <v>9470</v>
      </c>
      <c r="K95" s="18" t="s">
        <v>323</v>
      </c>
      <c r="L95" s="18"/>
      <c r="M95" s="18" t="s">
        <v>93</v>
      </c>
      <c r="N95" s="18" t="s">
        <v>28</v>
      </c>
      <c r="O95" s="6">
        <v>12416</v>
      </c>
      <c r="P95" s="6">
        <v>0</v>
      </c>
      <c r="Q95" s="6">
        <v>7698</v>
      </c>
      <c r="R95" s="6">
        <v>2011</v>
      </c>
      <c r="S95" s="19" t="s">
        <v>252</v>
      </c>
      <c r="T95" s="18" t="s">
        <v>551</v>
      </c>
      <c r="V95" s="6" t="str">
        <f t="shared" si="1"/>
        <v>('demo', 'martin@comunas.fm', '9470', 'OZ Grof Neubau', 'T02','ST02-12','C9',1961,'Schulhausstrasse 30','9470','Buchs SG','ch','chf',12416,0,7698,2011,'N','Glas-Metallvordach auf dem Pausenplatz - Geländer nachträglich auf richtige Höhe angepasst, Fassade: Feuchtigkeit von aussen Bereich Decke UG, Ursache Rostflecken an Untersicht SO-Ecke sollte unbedingt abgeklärt werden (allenfalls Rost von Armierungseisen: Tragsicherheit!), Notausgang Singsaal: vermutlich mangelhaft'),</v>
      </c>
    </row>
    <row r="96" spans="1:22" x14ac:dyDescent="0.25">
      <c r="A96" s="18" t="s">
        <v>4</v>
      </c>
      <c r="B96" s="18" t="s">
        <v>20</v>
      </c>
      <c r="C96" s="6">
        <v>9470</v>
      </c>
      <c r="D96" s="18" t="s">
        <v>552</v>
      </c>
      <c r="E96" s="18" t="s">
        <v>275</v>
      </c>
      <c r="F96" s="18" t="s">
        <v>276</v>
      </c>
      <c r="G96" s="18" t="s">
        <v>294</v>
      </c>
      <c r="H96" s="6">
        <v>1919</v>
      </c>
      <c r="I96" s="18" t="s">
        <v>553</v>
      </c>
      <c r="J96" s="6">
        <v>9470</v>
      </c>
      <c r="K96" s="18" t="s">
        <v>323</v>
      </c>
      <c r="L96" s="18"/>
      <c r="M96" s="18" t="s">
        <v>93</v>
      </c>
      <c r="N96" s="18" t="s">
        <v>28</v>
      </c>
      <c r="O96" s="6">
        <v>5497</v>
      </c>
      <c r="P96" s="6">
        <v>0</v>
      </c>
      <c r="Q96" s="6">
        <v>3463</v>
      </c>
      <c r="R96" s="6">
        <v>2009</v>
      </c>
      <c r="S96" s="19" t="s">
        <v>252</v>
      </c>
      <c r="T96" s="18" t="s">
        <v>554</v>
      </c>
      <c r="V96" s="6" t="str">
        <f t="shared" si="1"/>
        <v>('demo', 'martin@comunas.fm', '9470', 'OZ Grof Altbau', 'T02','ST02-12','C9',1919,'Schulhausstrasse 27','9470','Buchs SG','ch','chf',5497,0,3463,2009,'N','Holzfenster haben keine Verdichtungswippen (''78) , Geländehöhe wurde aufgedoppelt,  Dachgeschoss: ehemalige Wohnung, jetzt Umnutzung für Musikunterricht'),</v>
      </c>
    </row>
    <row r="97" spans="1:22" x14ac:dyDescent="0.25">
      <c r="A97" s="18" t="s">
        <v>4</v>
      </c>
      <c r="B97" s="18" t="s">
        <v>20</v>
      </c>
      <c r="C97" s="6">
        <v>9470</v>
      </c>
      <c r="D97" s="18" t="s">
        <v>555</v>
      </c>
      <c r="E97" s="18" t="s">
        <v>304</v>
      </c>
      <c r="F97" s="18" t="s">
        <v>305</v>
      </c>
      <c r="G97" s="18" t="s">
        <v>294</v>
      </c>
      <c r="H97" s="6">
        <v>1919</v>
      </c>
      <c r="I97" s="18" t="s">
        <v>556</v>
      </c>
      <c r="J97" s="6">
        <v>9470</v>
      </c>
      <c r="K97" s="18" t="s">
        <v>323</v>
      </c>
      <c r="L97" s="18"/>
      <c r="M97" s="18" t="s">
        <v>93</v>
      </c>
      <c r="N97" s="18" t="s">
        <v>28</v>
      </c>
      <c r="O97" s="6">
        <v>4419</v>
      </c>
      <c r="P97" s="6">
        <v>0</v>
      </c>
      <c r="Q97" s="6">
        <v>2143</v>
      </c>
      <c r="R97" s="6">
        <v>2012</v>
      </c>
      <c r="S97" s="19" t="s">
        <v>252</v>
      </c>
      <c r="T97" s="18" t="s">
        <v>557</v>
      </c>
      <c r="V97" s="6" t="str">
        <f t="shared" si="1"/>
        <v>('demo', 'martin@comunas.fm', '9470', 'Turnhalle Buchserbach', 'T12','ST01-9','C9',1919,'Turnhallenstrasse','9470','Buchs SG','ch','chf',4419,0,2143,2012,'N','grösserer Aussengeräteraum angebaut'),</v>
      </c>
    </row>
    <row r="98" spans="1:22" x14ac:dyDescent="0.25">
      <c r="A98" s="18" t="s">
        <v>4</v>
      </c>
      <c r="B98" s="18" t="s">
        <v>20</v>
      </c>
      <c r="C98" s="6">
        <v>9470</v>
      </c>
      <c r="D98" s="18" t="s">
        <v>558</v>
      </c>
      <c r="E98" s="18" t="s">
        <v>275</v>
      </c>
      <c r="F98" s="18" t="s">
        <v>276</v>
      </c>
      <c r="G98" s="18" t="s">
        <v>294</v>
      </c>
      <c r="H98" s="6">
        <v>1981</v>
      </c>
      <c r="I98" s="18" t="s">
        <v>559</v>
      </c>
      <c r="J98" s="6">
        <v>9470</v>
      </c>
      <c r="K98" s="18" t="s">
        <v>323</v>
      </c>
      <c r="L98" s="18"/>
      <c r="M98" s="18" t="s">
        <v>93</v>
      </c>
      <c r="N98" s="18" t="s">
        <v>28</v>
      </c>
      <c r="O98" s="6">
        <v>3807</v>
      </c>
      <c r="P98" s="6">
        <v>0</v>
      </c>
      <c r="Q98" s="6">
        <v>2094</v>
      </c>
      <c r="R98" s="6">
        <v>2012</v>
      </c>
      <c r="S98" s="19" t="s">
        <v>252</v>
      </c>
      <c r="T98" s="18" t="s">
        <v>560</v>
      </c>
      <c r="V98" s="6" t="str">
        <f t="shared" si="1"/>
        <v>('demo', 'martin@comunas.fm', '9470', 'Klassenzimmer Buchserbach', 'T02','ST02-12','C9',1981,'Turnhallenstrasse 2','9470','Buchs SG','ch','chf',3807,0,2094,2012,'N','Decke: Spritzputz, Asbestabklärung notwendig, Absturzsicherung im Treppenhaus über gesamte Raumhöhe'),</v>
      </c>
    </row>
    <row r="99" spans="1:22" x14ac:dyDescent="0.25">
      <c r="A99" s="18" t="s">
        <v>4</v>
      </c>
      <c r="B99" s="18" t="s">
        <v>20</v>
      </c>
      <c r="C99" s="6">
        <v>9470</v>
      </c>
      <c r="D99" s="18" t="s">
        <v>561</v>
      </c>
      <c r="E99" s="18" t="s">
        <v>275</v>
      </c>
      <c r="F99" s="18" t="s">
        <v>562</v>
      </c>
      <c r="G99" s="18" t="s">
        <v>294</v>
      </c>
      <c r="H99" s="6">
        <v>1919</v>
      </c>
      <c r="I99" s="18" t="s">
        <v>563</v>
      </c>
      <c r="J99" s="6">
        <v>9470</v>
      </c>
      <c r="K99" s="18" t="s">
        <v>323</v>
      </c>
      <c r="L99" s="18"/>
      <c r="M99" s="18" t="s">
        <v>93</v>
      </c>
      <c r="N99" s="18" t="s">
        <v>28</v>
      </c>
      <c r="O99" s="6">
        <v>3268</v>
      </c>
      <c r="P99" s="6">
        <v>0</v>
      </c>
      <c r="Q99" s="6">
        <v>1879</v>
      </c>
      <c r="R99" s="6">
        <v>2012</v>
      </c>
      <c r="S99" s="19" t="s">
        <v>252</v>
      </c>
      <c r="T99" s="18" t="s">
        <v>564</v>
      </c>
      <c r="V99" s="6" t="str">
        <f t="shared" si="1"/>
        <v>('demo', 'martin@comunas.fm', '9470', 'Altes Gewerbeschulhaus Buchserbach', 'T02','ST03-16','C9',1919,'Turnhallenstrasse 4','9470','Buchs SG','ch','chf',3268,0,1879,2012,'N','Im EDV-Raum DG: Klimagerät'),</v>
      </c>
    </row>
    <row r="100" spans="1:22" x14ac:dyDescent="0.25">
      <c r="A100" s="18" t="s">
        <v>4</v>
      </c>
      <c r="B100" s="18" t="s">
        <v>20</v>
      </c>
      <c r="C100" s="6">
        <v>9470</v>
      </c>
      <c r="D100" s="18" t="s">
        <v>565</v>
      </c>
      <c r="E100" s="18" t="s">
        <v>275</v>
      </c>
      <c r="F100" s="18" t="s">
        <v>284</v>
      </c>
      <c r="G100" s="18" t="s">
        <v>294</v>
      </c>
      <c r="H100" s="6">
        <v>1919</v>
      </c>
      <c r="I100" s="18" t="s">
        <v>566</v>
      </c>
      <c r="J100" s="6">
        <v>9470</v>
      </c>
      <c r="K100" s="18" t="s">
        <v>323</v>
      </c>
      <c r="L100" s="18"/>
      <c r="M100" s="18" t="s">
        <v>93</v>
      </c>
      <c r="N100" s="18" t="s">
        <v>28</v>
      </c>
      <c r="O100" s="6">
        <v>932</v>
      </c>
      <c r="P100" s="6">
        <v>0</v>
      </c>
      <c r="Q100" s="6">
        <v>524</v>
      </c>
      <c r="R100" s="6">
        <v>2004</v>
      </c>
      <c r="S100" s="19" t="s">
        <v>252</v>
      </c>
      <c r="T100" s="18"/>
      <c r="V100" s="6" t="str">
        <f t="shared" si="1"/>
        <v>('demo', 'martin@comunas.fm', '9470', 'Kindergarten Altendorf', 'T02','ST01-4','C9',1919,'Kreuzgasse 14','9470','Buchs SG','ch','chf',932,0,524,2004,'N',null),</v>
      </c>
    </row>
    <row r="101" spans="1:22" x14ac:dyDescent="0.25">
      <c r="A101" s="18" t="s">
        <v>4</v>
      </c>
      <c r="B101" s="18" t="s">
        <v>20</v>
      </c>
      <c r="C101" s="6">
        <v>9470</v>
      </c>
      <c r="D101" s="18" t="s">
        <v>567</v>
      </c>
      <c r="E101" s="18" t="s">
        <v>275</v>
      </c>
      <c r="F101" s="18" t="s">
        <v>276</v>
      </c>
      <c r="G101" s="18" t="s">
        <v>294</v>
      </c>
      <c r="H101" s="6">
        <v>1971</v>
      </c>
      <c r="I101" s="18" t="s">
        <v>568</v>
      </c>
      <c r="J101" s="6">
        <v>9470</v>
      </c>
      <c r="K101" s="18" t="s">
        <v>323</v>
      </c>
      <c r="L101" s="18"/>
      <c r="M101" s="18" t="s">
        <v>93</v>
      </c>
      <c r="N101" s="18" t="s">
        <v>28</v>
      </c>
      <c r="O101" s="6">
        <v>7395</v>
      </c>
      <c r="P101" s="6">
        <v>0</v>
      </c>
      <c r="Q101" s="6">
        <v>6632</v>
      </c>
      <c r="R101" s="6">
        <v>2009</v>
      </c>
      <c r="S101" s="19" t="s">
        <v>252</v>
      </c>
      <c r="T101" s="18" t="s">
        <v>569</v>
      </c>
      <c r="V101" s="6" t="str">
        <f t="shared" si="1"/>
        <v>('demo', 'martin@comunas.fm', '9470', 'Schulhaus (Neubau) Räfis', 'T02','ST02-12','C9',1971,'Churerstrasse 117','9470','Buchs SG','ch','chf',7395,0,6632,2009,'N','Die offene Fuge (s. Innenausbau Oberflächen) sollte mit eingem geeigneten Fugenmaterial gefüllt werden. Computerraum, Rauchabzugssteuerung, begehbare Wandschränke, Adresse gem. Geoportal.ch: Churerstrasse 117, nicht 119, wie bei GV-Ausweis angegeben. Baujahr gem. Ang. Liegenschaftenverwalter 1971, jedoch eher 1998'),</v>
      </c>
    </row>
    <row r="102" spans="1:22" x14ac:dyDescent="0.25">
      <c r="A102" s="18" t="s">
        <v>4</v>
      </c>
      <c r="B102" s="18" t="s">
        <v>20</v>
      </c>
      <c r="C102" s="6">
        <v>5620</v>
      </c>
      <c r="D102" s="18" t="s">
        <v>570</v>
      </c>
      <c r="E102" s="18" t="s">
        <v>288</v>
      </c>
      <c r="F102" s="18" t="s">
        <v>289</v>
      </c>
      <c r="G102" s="18" t="s">
        <v>290</v>
      </c>
      <c r="H102" s="6">
        <v>0</v>
      </c>
      <c r="I102" s="18" t="s">
        <v>571</v>
      </c>
      <c r="J102" s="6">
        <v>5620</v>
      </c>
      <c r="K102" s="18" t="s">
        <v>316</v>
      </c>
      <c r="L102" s="18"/>
      <c r="M102" s="18" t="s">
        <v>93</v>
      </c>
      <c r="N102" s="18" t="s">
        <v>28</v>
      </c>
      <c r="O102" s="6">
        <v>2839</v>
      </c>
      <c r="P102" s="6">
        <v>0</v>
      </c>
      <c r="Q102" s="6">
        <v>2209</v>
      </c>
      <c r="R102" s="6">
        <v>2004</v>
      </c>
      <c r="S102" s="19" t="s">
        <v>252</v>
      </c>
      <c r="T102" s="18"/>
      <c r="V102" s="6" t="str">
        <f t="shared" si="1"/>
        <v>('demo', 'martin@comunas.fm', '5620', 'Schwarzschloss', 'T01','ST02-11','C7',0,'Pfarrgasse 1','5620','Bremgarten','ch','chf',2839,0,2209,2004,'N',null),</v>
      </c>
    </row>
    <row r="103" spans="1:22" x14ac:dyDescent="0.25">
      <c r="A103" s="18" t="s">
        <v>4</v>
      </c>
      <c r="B103" s="18" t="s">
        <v>20</v>
      </c>
      <c r="C103" s="6">
        <v>9213</v>
      </c>
      <c r="D103" s="18" t="s">
        <v>572</v>
      </c>
      <c r="E103" s="18" t="s">
        <v>275</v>
      </c>
      <c r="F103" s="18" t="s">
        <v>276</v>
      </c>
      <c r="G103" s="18" t="s">
        <v>294</v>
      </c>
      <c r="H103" s="6">
        <v>1959</v>
      </c>
      <c r="I103" s="18" t="s">
        <v>573</v>
      </c>
      <c r="J103" s="6">
        <v>9213</v>
      </c>
      <c r="K103" s="18" t="s">
        <v>574</v>
      </c>
      <c r="L103" s="18"/>
      <c r="M103" s="18" t="s">
        <v>93</v>
      </c>
      <c r="N103" s="18" t="s">
        <v>28</v>
      </c>
      <c r="O103" s="6">
        <v>16841</v>
      </c>
      <c r="P103" s="6">
        <v>0</v>
      </c>
      <c r="Q103" s="6">
        <v>7796</v>
      </c>
      <c r="R103" s="6">
        <v>2006</v>
      </c>
      <c r="S103" s="19" t="s">
        <v>252</v>
      </c>
      <c r="T103" s="18" t="s">
        <v>575</v>
      </c>
      <c r="V103" s="6" t="str">
        <f t="shared" si="1"/>
        <v>('demo', 'martin@comunas.fm', '9213', 'Primarschulanlage: Schulhaus, Garage, Velounterstand', 'T02','ST02-12','C9',1959,'Hauptstrasse','9213','Hauptwil','ch','chf',16841,0,7796,2006,'N','Sicherheitsrisiko Geländer abklären und allenfalls beheben. Grosse Unterscheide im Zustand zw. Neubau und Altbau vorhanden.'),</v>
      </c>
    </row>
    <row r="104" spans="1:22" x14ac:dyDescent="0.25">
      <c r="A104" s="18" t="s">
        <v>4</v>
      </c>
      <c r="B104" s="18" t="s">
        <v>20</v>
      </c>
      <c r="C104" s="6">
        <v>9216</v>
      </c>
      <c r="D104" s="18" t="s">
        <v>470</v>
      </c>
      <c r="E104" s="18" t="s">
        <v>275</v>
      </c>
      <c r="F104" s="18" t="s">
        <v>276</v>
      </c>
      <c r="G104" s="18" t="s">
        <v>294</v>
      </c>
      <c r="H104" s="6">
        <v>1901</v>
      </c>
      <c r="I104" s="18" t="s">
        <v>360</v>
      </c>
      <c r="J104" s="6">
        <v>9216</v>
      </c>
      <c r="K104" s="18" t="s">
        <v>576</v>
      </c>
      <c r="L104" s="18"/>
      <c r="M104" s="18" t="s">
        <v>93</v>
      </c>
      <c r="N104" s="18" t="s">
        <v>28</v>
      </c>
      <c r="O104" s="6">
        <v>2515</v>
      </c>
      <c r="P104" s="6">
        <v>0</v>
      </c>
      <c r="Q104" s="6">
        <v>1532</v>
      </c>
      <c r="R104" s="6">
        <v>2008</v>
      </c>
      <c r="S104" s="19" t="s">
        <v>252</v>
      </c>
      <c r="T104" s="18"/>
      <c r="V104" s="6" t="str">
        <f t="shared" si="1"/>
        <v>('demo', 'martin@comunas.fm', '9216', 'Primarschulanlage Schulhaus', 'T02','ST02-12','C9',1901,'Schulstrasse 7','9216','Hohentannen','ch','chf',2515,0,1532,2008,'N',null),</v>
      </c>
    </row>
    <row r="105" spans="1:22" x14ac:dyDescent="0.25">
      <c r="A105" s="18" t="s">
        <v>4</v>
      </c>
      <c r="B105" s="18" t="s">
        <v>20</v>
      </c>
      <c r="C105" s="6">
        <v>9220</v>
      </c>
      <c r="D105" s="18" t="s">
        <v>577</v>
      </c>
      <c r="E105" s="18" t="s">
        <v>275</v>
      </c>
      <c r="F105" s="18" t="s">
        <v>276</v>
      </c>
      <c r="G105" s="18" t="s">
        <v>294</v>
      </c>
      <c r="H105" s="6">
        <v>1972</v>
      </c>
      <c r="I105" s="18" t="s">
        <v>489</v>
      </c>
      <c r="J105" s="6">
        <v>9220</v>
      </c>
      <c r="K105" s="18" t="s">
        <v>439</v>
      </c>
      <c r="L105" s="18"/>
      <c r="M105" s="18" t="s">
        <v>93</v>
      </c>
      <c r="N105" s="18" t="s">
        <v>28</v>
      </c>
      <c r="O105" s="6">
        <v>3520</v>
      </c>
      <c r="P105" s="6">
        <v>3520</v>
      </c>
      <c r="Q105" s="6">
        <v>1802</v>
      </c>
      <c r="R105" s="6">
        <v>2006</v>
      </c>
      <c r="S105" s="19" t="s">
        <v>252</v>
      </c>
      <c r="T105" s="18" t="s">
        <v>578</v>
      </c>
      <c r="V105" s="6" t="str">
        <f t="shared" si="1"/>
        <v>('demo', 'martin@comunas.fm', '9220', 'Schulpavillon', 'T02','ST02-12','C9',1972,'Ibergstrasse','9220','Bischofszell','ch','chf',3520,3520,1802,2006,'N','Der Dachraum konnte nicht besichtigt werden.'),</v>
      </c>
    </row>
    <row r="106" spans="1:22" x14ac:dyDescent="0.25">
      <c r="A106" s="18" t="s">
        <v>4</v>
      </c>
      <c r="B106" s="18" t="s">
        <v>20</v>
      </c>
      <c r="C106" s="6">
        <v>9470</v>
      </c>
      <c r="D106" s="18" t="s">
        <v>579</v>
      </c>
      <c r="E106" s="18" t="s">
        <v>275</v>
      </c>
      <c r="F106" s="18" t="s">
        <v>276</v>
      </c>
      <c r="G106" s="18" t="s">
        <v>294</v>
      </c>
      <c r="H106" s="6">
        <v>1919</v>
      </c>
      <c r="I106" s="18" t="s">
        <v>580</v>
      </c>
      <c r="J106" s="6">
        <v>9470</v>
      </c>
      <c r="K106" s="18" t="s">
        <v>323</v>
      </c>
      <c r="L106" s="18"/>
      <c r="M106" s="18" t="s">
        <v>93</v>
      </c>
      <c r="N106" s="18" t="s">
        <v>28</v>
      </c>
      <c r="O106" s="6">
        <v>4127</v>
      </c>
      <c r="P106" s="6">
        <v>0</v>
      </c>
      <c r="Q106" s="6">
        <v>2883</v>
      </c>
      <c r="R106" s="6">
        <v>2009</v>
      </c>
      <c r="S106" s="19" t="s">
        <v>252</v>
      </c>
      <c r="T106" s="18" t="s">
        <v>581</v>
      </c>
      <c r="V106" s="6" t="str">
        <f t="shared" si="1"/>
        <v>('demo', 'martin@comunas.fm', '9470', 'Schulhaus (Altbau) Räfis', 'T02','ST02-12','C9',1919,'Churerstrasse 119','9470','Buchs SG','ch','chf',4127,0,2883,2009,'N','Glockenturm weitgehend im Originalzustand mit Uhrwerk vorhanden, Geländer ev. zu tief, Verbindungsleitungen'),</v>
      </c>
    </row>
    <row r="107" spans="1:22" x14ac:dyDescent="0.25">
      <c r="A107" s="18" t="s">
        <v>4</v>
      </c>
      <c r="B107" s="18" t="s">
        <v>20</v>
      </c>
      <c r="C107" s="6">
        <v>9470</v>
      </c>
      <c r="D107" s="18" t="s">
        <v>582</v>
      </c>
      <c r="E107" s="18" t="s">
        <v>402</v>
      </c>
      <c r="F107" s="18" t="s">
        <v>403</v>
      </c>
      <c r="G107" s="18" t="s">
        <v>507</v>
      </c>
      <c r="H107" s="6">
        <v>1919</v>
      </c>
      <c r="I107" s="18" t="s">
        <v>580</v>
      </c>
      <c r="J107" s="6">
        <v>9470</v>
      </c>
      <c r="K107" s="18" t="s">
        <v>323</v>
      </c>
      <c r="L107" s="18"/>
      <c r="M107" s="18" t="s">
        <v>93</v>
      </c>
      <c r="N107" s="18" t="s">
        <v>28</v>
      </c>
      <c r="O107" s="6">
        <v>291</v>
      </c>
      <c r="P107" s="6">
        <v>0</v>
      </c>
      <c r="Q107" s="6">
        <v>121</v>
      </c>
      <c r="R107" s="6">
        <v>2009</v>
      </c>
      <c r="S107" s="19" t="s">
        <v>252</v>
      </c>
      <c r="T107" s="18" t="s">
        <v>583</v>
      </c>
      <c r="V107" s="6" t="str">
        <f t="shared" si="1"/>
        <v>('demo', 'martin@comunas.fm', '9470', 'Magazin', 'T13','ST01-2','C37',1919,'Churerstrasse 119','9470','Buchs SG','ch','chf',291,0,121,2009,'N','Adresse müsste gem. Geoportal.ch sein: Stationsstrasse, nicht Churerstrasse 119, wie bei GV-Ausweis angegeben. Baujahr gem. Ang. Liegenschaftenverwalter: 1919, vermutlich 1987'),</v>
      </c>
    </row>
    <row r="108" spans="1:22" x14ac:dyDescent="0.25">
      <c r="A108" s="18" t="s">
        <v>4</v>
      </c>
      <c r="B108" s="18" t="s">
        <v>20</v>
      </c>
      <c r="C108" s="6">
        <v>9470</v>
      </c>
      <c r="D108" s="18" t="s">
        <v>321</v>
      </c>
      <c r="E108" s="18" t="s">
        <v>304</v>
      </c>
      <c r="F108" s="18" t="s">
        <v>305</v>
      </c>
      <c r="G108" s="18" t="s">
        <v>294</v>
      </c>
      <c r="H108" s="6">
        <v>1951</v>
      </c>
      <c r="I108" s="18" t="s">
        <v>580</v>
      </c>
      <c r="J108" s="6">
        <v>9470</v>
      </c>
      <c r="K108" s="18" t="s">
        <v>323</v>
      </c>
      <c r="L108" s="18"/>
      <c r="M108" s="18" t="s">
        <v>93</v>
      </c>
      <c r="N108" s="18" t="s">
        <v>28</v>
      </c>
      <c r="O108" s="6">
        <v>1699</v>
      </c>
      <c r="P108" s="6">
        <v>0</v>
      </c>
      <c r="Q108" s="6">
        <v>883</v>
      </c>
      <c r="R108" s="6">
        <v>2009</v>
      </c>
      <c r="S108" s="19" t="s">
        <v>252</v>
      </c>
      <c r="T108" s="18"/>
      <c r="V108" s="6" t="str">
        <f t="shared" si="1"/>
        <v>('demo', 'martin@comunas.fm', '9470', 'Turnhalle', 'T12','ST01-9','C9',1951,'Churerstrasse 119','9470','Buchs SG','ch','chf',1699,0,883,2009,'N',null),</v>
      </c>
    </row>
    <row r="109" spans="1:22" x14ac:dyDescent="0.25">
      <c r="A109" s="18" t="s">
        <v>4</v>
      </c>
      <c r="B109" s="18" t="s">
        <v>20</v>
      </c>
      <c r="C109" s="6">
        <v>9470</v>
      </c>
      <c r="D109" s="18" t="s">
        <v>584</v>
      </c>
      <c r="E109" s="18" t="s">
        <v>275</v>
      </c>
      <c r="F109" s="18" t="s">
        <v>284</v>
      </c>
      <c r="G109" s="18" t="s">
        <v>294</v>
      </c>
      <c r="H109" s="6">
        <v>1953</v>
      </c>
      <c r="I109" s="18" t="s">
        <v>585</v>
      </c>
      <c r="J109" s="6">
        <v>9470</v>
      </c>
      <c r="K109" s="18" t="s">
        <v>323</v>
      </c>
      <c r="L109" s="18"/>
      <c r="M109" s="18" t="s">
        <v>93</v>
      </c>
      <c r="N109" s="18" t="s">
        <v>28</v>
      </c>
      <c r="O109" s="6">
        <v>1444</v>
      </c>
      <c r="P109" s="6">
        <v>0</v>
      </c>
      <c r="Q109" s="6">
        <v>803</v>
      </c>
      <c r="R109" s="6">
        <v>2007</v>
      </c>
      <c r="S109" s="19" t="s">
        <v>252</v>
      </c>
      <c r="T109" s="18" t="s">
        <v>586</v>
      </c>
      <c r="V109" s="6" t="str">
        <f t="shared" si="1"/>
        <v>('demo', 'martin@comunas.fm', '9470', 'Kindergarten Kappeli mit Wohnung und Garage', 'T02','ST01-4','C9',1953,'Volksgartenstrasse 1','9470','Buchs SG','ch','chf',1444,0,803,2007,'N','Aussenwand Bad: KS-Wand mit Verfärbung, Waschmaschine, Malraum, Geländerhöhe des Balkons ev. zu niedrig, Geräteraum'),</v>
      </c>
    </row>
    <row r="110" spans="1:22" x14ac:dyDescent="0.25">
      <c r="A110" s="18" t="s">
        <v>4</v>
      </c>
      <c r="B110" s="18" t="s">
        <v>20</v>
      </c>
      <c r="C110" s="6">
        <v>9470</v>
      </c>
      <c r="D110" s="18" t="s">
        <v>587</v>
      </c>
      <c r="E110" s="18" t="s">
        <v>275</v>
      </c>
      <c r="F110" s="18" t="s">
        <v>276</v>
      </c>
      <c r="G110" s="18" t="s">
        <v>294</v>
      </c>
      <c r="H110" s="6">
        <v>1964</v>
      </c>
      <c r="I110" s="18" t="s">
        <v>322</v>
      </c>
      <c r="J110" s="6">
        <v>9470</v>
      </c>
      <c r="K110" s="18" t="s">
        <v>323</v>
      </c>
      <c r="L110" s="18"/>
      <c r="M110" s="18" t="s">
        <v>93</v>
      </c>
      <c r="N110" s="18" t="s">
        <v>28</v>
      </c>
      <c r="O110" s="6">
        <v>8296</v>
      </c>
      <c r="P110" s="6">
        <v>0</v>
      </c>
      <c r="Q110" s="6">
        <v>5468</v>
      </c>
      <c r="R110" s="6">
        <v>2003</v>
      </c>
      <c r="S110" s="19" t="s">
        <v>252</v>
      </c>
      <c r="T110" s="18" t="s">
        <v>588</v>
      </c>
      <c r="V110" s="6" t="str">
        <f t="shared" si="1"/>
        <v>('demo', 'martin@comunas.fm', '9470', 'Schulhaus Hanfland', 'T02','ST02-12','C9',1964,'Hanflandstr. 5','9470','Buchs SG','ch','chf',8296,0,5468,2003,'N','Das oberste Geschoss ist ein Holzbau (es wurde aufgestockt), Ausbau neuwertig, Geländerhöhe muss überprüft werden, Bibliothek, Materialraum, Malkeller, Werkraum'),</v>
      </c>
    </row>
    <row r="111" spans="1:22" x14ac:dyDescent="0.25">
      <c r="A111" s="18" t="s">
        <v>4</v>
      </c>
      <c r="B111" s="18" t="s">
        <v>20</v>
      </c>
      <c r="C111" s="6">
        <v>5620</v>
      </c>
      <c r="D111" s="18" t="s">
        <v>589</v>
      </c>
      <c r="E111" s="18" t="s">
        <v>288</v>
      </c>
      <c r="F111" s="18" t="s">
        <v>289</v>
      </c>
      <c r="G111" s="18" t="s">
        <v>290</v>
      </c>
      <c r="H111" s="6">
        <v>1966</v>
      </c>
      <c r="I111" s="18" t="s">
        <v>590</v>
      </c>
      <c r="J111" s="6">
        <v>5620</v>
      </c>
      <c r="K111" s="18" t="s">
        <v>316</v>
      </c>
      <c r="L111" s="18"/>
      <c r="M111" s="18" t="s">
        <v>93</v>
      </c>
      <c r="N111" s="18" t="s">
        <v>28</v>
      </c>
      <c r="O111" s="6">
        <v>12994</v>
      </c>
      <c r="P111" s="6">
        <v>0</v>
      </c>
      <c r="Q111" s="6">
        <v>9280</v>
      </c>
      <c r="R111" s="6">
        <v>1996</v>
      </c>
      <c r="S111" s="19" t="s">
        <v>252</v>
      </c>
      <c r="T111" s="18" t="s">
        <v>591</v>
      </c>
      <c r="V111" s="6" t="str">
        <f t="shared" si="1"/>
        <v>('demo', 'martin@comunas.fm', '5620', 'MFH', 'T01','ST02-11','C7',1966,'Promenadenstrasse 13','5620','Bremgarten','ch','chf',12994,0,9280,1996,'N','EG: Waschküchen, UG: Kellerräume, Notstromaggregat, Entsalzungsanlage, 2 Veloräume\nWasserschaden im Keller (Mai 2013)'),</v>
      </c>
    </row>
    <row r="112" spans="1:22" x14ac:dyDescent="0.25">
      <c r="A112" s="18" t="s">
        <v>4</v>
      </c>
      <c r="B112" s="18" t="s">
        <v>20</v>
      </c>
      <c r="C112" s="6">
        <v>5620</v>
      </c>
      <c r="D112" s="18" t="s">
        <v>592</v>
      </c>
      <c r="E112" s="18" t="s">
        <v>275</v>
      </c>
      <c r="F112" s="18" t="s">
        <v>284</v>
      </c>
      <c r="G112" s="18" t="s">
        <v>285</v>
      </c>
      <c r="H112" s="6">
        <v>1967</v>
      </c>
      <c r="I112" s="18" t="s">
        <v>593</v>
      </c>
      <c r="J112" s="6">
        <v>5620</v>
      </c>
      <c r="K112" s="18" t="s">
        <v>316</v>
      </c>
      <c r="L112" s="18"/>
      <c r="M112" s="18" t="s">
        <v>93</v>
      </c>
      <c r="N112" s="18" t="s">
        <v>28</v>
      </c>
      <c r="O112" s="6">
        <v>1763</v>
      </c>
      <c r="P112" s="6">
        <v>0</v>
      </c>
      <c r="Q112" s="6">
        <v>1228</v>
      </c>
      <c r="R112" s="6">
        <v>2006</v>
      </c>
      <c r="S112" s="19" t="s">
        <v>252</v>
      </c>
      <c r="T112" s="18" t="s">
        <v>594</v>
      </c>
      <c r="V112" s="6" t="str">
        <f t="shared" si="1"/>
        <v>('demo', 'martin@comunas.fm', '5620', 'Kindergarten Fuchsächer', 'T02','ST01-4','C8',1967,'Promenadenstrasse 15','5620','Bremgarten','ch','chf',1763,0,1228,2006,'N','Materialraum, Vordach aus Metall-Glas, nicht unterkellert'),</v>
      </c>
    </row>
    <row r="113" spans="1:22" x14ac:dyDescent="0.25">
      <c r="A113" s="18" t="s">
        <v>4</v>
      </c>
      <c r="B113" s="18" t="s">
        <v>20</v>
      </c>
      <c r="C113" s="6">
        <v>5620</v>
      </c>
      <c r="D113" s="18" t="s">
        <v>595</v>
      </c>
      <c r="E113" s="18" t="s">
        <v>288</v>
      </c>
      <c r="F113" s="18" t="s">
        <v>289</v>
      </c>
      <c r="G113" s="18" t="s">
        <v>290</v>
      </c>
      <c r="H113" s="6">
        <v>1966</v>
      </c>
      <c r="I113" s="18" t="s">
        <v>596</v>
      </c>
      <c r="J113" s="6">
        <v>5620</v>
      </c>
      <c r="K113" s="18" t="s">
        <v>316</v>
      </c>
      <c r="L113" s="18"/>
      <c r="M113" s="18" t="s">
        <v>93</v>
      </c>
      <c r="N113" s="18" t="s">
        <v>28</v>
      </c>
      <c r="O113" s="6">
        <v>10035</v>
      </c>
      <c r="P113" s="6">
        <v>0</v>
      </c>
      <c r="Q113" s="6">
        <v>6848</v>
      </c>
      <c r="R113" s="6">
        <v>1996</v>
      </c>
      <c r="S113" s="19" t="s">
        <v>252</v>
      </c>
      <c r="T113" s="18" t="s">
        <v>597</v>
      </c>
      <c r="V113" s="6" t="str">
        <f t="shared" si="1"/>
        <v>('demo', 'martin@comunas.fm', '5620', 'Gewerbe und Garage', 'T01','ST02-11','C7',1966,'Zugerstrasse 16/18/20','5620','Bremgarten','ch','chf',10035,0,6848,1996,'N','Wohnung an der Zugerstrasse 16: Anstrich an Decke im Schlafzimmer und Stube blättert tw. ab, Umbau im 1995 - Risse wegen Erdbeben 2012, EG: Metall-Windfang - UG: WM, Tumbler, Wasseraufbereitungsanlage, Fenster mit Einfachverglasung, Veloraum - Wohnung an der Zugerstrasse 18: Küche 1995, Kühlschrank, GS, Abstellraum auf dem Balkon, Böden UG: Überzug gestrichen'),</v>
      </c>
    </row>
    <row r="114" spans="1:22" x14ac:dyDescent="0.25">
      <c r="A114" s="18" t="s">
        <v>4</v>
      </c>
      <c r="B114" s="18" t="s">
        <v>20</v>
      </c>
      <c r="C114" s="6">
        <v>5620</v>
      </c>
      <c r="D114" s="18" t="s">
        <v>598</v>
      </c>
      <c r="E114" s="18" t="s">
        <v>288</v>
      </c>
      <c r="F114" s="18" t="s">
        <v>543</v>
      </c>
      <c r="G114" s="18" t="s">
        <v>599</v>
      </c>
      <c r="H114" s="6">
        <v>1723</v>
      </c>
      <c r="I114" s="18" t="s">
        <v>600</v>
      </c>
      <c r="J114" s="6">
        <v>5620</v>
      </c>
      <c r="K114" s="18" t="s">
        <v>316</v>
      </c>
      <c r="L114" s="18"/>
      <c r="M114" s="18" t="s">
        <v>93</v>
      </c>
      <c r="N114" s="18" t="s">
        <v>28</v>
      </c>
      <c r="O114" s="6">
        <v>1957</v>
      </c>
      <c r="P114" s="6">
        <v>0</v>
      </c>
      <c r="Q114" s="6">
        <v>1625</v>
      </c>
      <c r="R114" s="6">
        <v>2010</v>
      </c>
      <c r="S114" s="19" t="s">
        <v>252</v>
      </c>
      <c r="T114" s="18" t="s">
        <v>601</v>
      </c>
      <c r="V114" s="6" t="str">
        <f t="shared" si="1"/>
        <v>('demo', 'martin@comunas.fm', '5620', 'Oberer Zoll ganzes Haus', 'T01','ST05-26','C6',1723,'Obertorplatz 3','5620','Bremgarten','ch','chf',1957,0,1625,2010,'N','Nutzung als Praxis im EG, im OG Verwaltung, Umbau im 2005 - Archiv Stadtmusik - Materialraum - Wohnung im OG konnte nicht besichtigt werden\nDas Gebäude wurde im Jahr 1979 saniert.'),</v>
      </c>
    </row>
    <row r="115" spans="1:22" x14ac:dyDescent="0.25">
      <c r="A115" s="18" t="s">
        <v>4</v>
      </c>
      <c r="B115" s="18" t="s">
        <v>20</v>
      </c>
      <c r="C115" s="6">
        <v>5620</v>
      </c>
      <c r="D115" s="18" t="s">
        <v>602</v>
      </c>
      <c r="E115" s="18" t="s">
        <v>366</v>
      </c>
      <c r="F115" s="18" t="s">
        <v>510</v>
      </c>
      <c r="G115" s="18" t="s">
        <v>368</v>
      </c>
      <c r="H115" s="6">
        <v>1641</v>
      </c>
      <c r="I115" s="18" t="s">
        <v>603</v>
      </c>
      <c r="J115" s="6">
        <v>5620</v>
      </c>
      <c r="K115" s="18" t="s">
        <v>316</v>
      </c>
      <c r="L115" s="18"/>
      <c r="M115" s="18" t="s">
        <v>93</v>
      </c>
      <c r="N115" s="18" t="s">
        <v>28</v>
      </c>
      <c r="O115" s="6">
        <v>3215</v>
      </c>
      <c r="P115" s="6">
        <v>0</v>
      </c>
      <c r="Q115" s="6">
        <v>2148</v>
      </c>
      <c r="R115" s="6">
        <v>2010</v>
      </c>
      <c r="S115" s="19" t="s">
        <v>252</v>
      </c>
      <c r="T115" s="18" t="s">
        <v>604</v>
      </c>
      <c r="V115" s="6" t="str">
        <f t="shared" si="1"/>
        <v>('demo', 'martin@comunas.fm', '5620', 'Zeughaus', 'T10','ST11-47','C29',1641,'Schellenhausplatz','5620','Bremgarten','ch','chf',3215,0,2148,2010,'N','-grosse Sanierung im 1979 - Teppich im OG wird ersetzt - Holztreppe im Estrich: Gelände ist mit Plexiglas gesichert - Vorhänge als Innenbeschattung - Zugang Bibliothek: Holzfassade - Treppenaufgang: Fenster tw. IV (''08) \n-Berechnungen müssen erst ab 2015 gemacht werden, nicht unterkelllert'),</v>
      </c>
    </row>
    <row r="116" spans="1:22" x14ac:dyDescent="0.25">
      <c r="A116" s="18" t="s">
        <v>4</v>
      </c>
      <c r="B116" s="18" t="s">
        <v>20</v>
      </c>
      <c r="C116" s="6">
        <v>5620</v>
      </c>
      <c r="D116" s="18" t="s">
        <v>605</v>
      </c>
      <c r="E116" s="18" t="s">
        <v>366</v>
      </c>
      <c r="F116" s="18" t="s">
        <v>536</v>
      </c>
      <c r="G116" s="18" t="s">
        <v>368</v>
      </c>
      <c r="H116" s="6">
        <v>1659</v>
      </c>
      <c r="I116" s="18" t="s">
        <v>603</v>
      </c>
      <c r="J116" s="6">
        <v>5620</v>
      </c>
      <c r="K116" s="18" t="s">
        <v>316</v>
      </c>
      <c r="L116" s="18"/>
      <c r="M116" s="18" t="s">
        <v>93</v>
      </c>
      <c r="N116" s="18" t="s">
        <v>28</v>
      </c>
      <c r="O116" s="6">
        <v>5672</v>
      </c>
      <c r="P116" s="6">
        <v>0</v>
      </c>
      <c r="Q116" s="6">
        <v>4189</v>
      </c>
      <c r="R116" s="6">
        <v>2007</v>
      </c>
      <c r="S116" s="19" t="s">
        <v>252</v>
      </c>
      <c r="T116" s="18" t="s">
        <v>606</v>
      </c>
      <c r="V116" s="6" t="str">
        <f t="shared" si="1"/>
        <v>('demo', 'martin@comunas.fm', '5620', 'Schellenhaus', 'T10','ST06-36','C29',1659,'Schellenhausplatz','5620','Bremgarten','ch','chf',5672,0,4189,2007,'N','Wohnung: wird jetzt für die Leitung als Büro genutzt - UG: Küche, Holzbalkendecke, Wärmelüfter, Bürgerkeller mit Holzplatten - Sanierung im 2006 - Lagerraum, Fluchtweg - Materialaufzug, Brandschutzdecken im Estrich'),</v>
      </c>
    </row>
    <row r="117" spans="1:22" x14ac:dyDescent="0.25">
      <c r="A117" s="18" t="s">
        <v>4</v>
      </c>
      <c r="B117" s="18" t="s">
        <v>20</v>
      </c>
      <c r="C117" s="6">
        <v>3034</v>
      </c>
      <c r="D117" s="18" t="s">
        <v>607</v>
      </c>
      <c r="E117" s="18" t="s">
        <v>288</v>
      </c>
      <c r="F117" s="18" t="s">
        <v>289</v>
      </c>
      <c r="G117" s="18" t="s">
        <v>290</v>
      </c>
      <c r="H117" s="6">
        <v>1955</v>
      </c>
      <c r="I117" s="18" t="s">
        <v>608</v>
      </c>
      <c r="J117" s="6">
        <v>3034</v>
      </c>
      <c r="K117" s="18" t="s">
        <v>399</v>
      </c>
      <c r="L117" s="18"/>
      <c r="M117" s="18" t="s">
        <v>93</v>
      </c>
      <c r="N117" s="18" t="s">
        <v>28</v>
      </c>
      <c r="O117" s="6">
        <v>1375</v>
      </c>
      <c r="P117" s="6">
        <v>0</v>
      </c>
      <c r="Q117" s="6">
        <v>1162</v>
      </c>
      <c r="R117" s="6">
        <v>2009</v>
      </c>
      <c r="S117" s="19" t="s">
        <v>345</v>
      </c>
      <c r="T117" s="18" t="s">
        <v>609</v>
      </c>
      <c r="V117" s="6" t="str">
        <f t="shared" si="1"/>
        <v>('demo', 'martin@comunas.fm', '3034', 'Wohnhaus (3 Whg.)', 'T01','ST02-11','C7',1955,'Murzelenstrasse 80','3034','Murzelen','ch','chf',1375,0,1162,2009,'NW','Urspr. Lehrerhaus\nAusgebauter Dachraum, isol.\nDecke gegen UG wurde isoliert ca. 2000'),</v>
      </c>
    </row>
    <row r="118" spans="1:22" x14ac:dyDescent="0.25">
      <c r="A118" s="18" t="s">
        <v>4</v>
      </c>
      <c r="B118" s="18" t="s">
        <v>20</v>
      </c>
      <c r="C118" s="6">
        <v>3034</v>
      </c>
      <c r="D118" s="18" t="s">
        <v>610</v>
      </c>
      <c r="E118" s="18" t="s">
        <v>402</v>
      </c>
      <c r="F118" s="18" t="s">
        <v>403</v>
      </c>
      <c r="G118" s="18" t="s">
        <v>277</v>
      </c>
      <c r="H118" s="6">
        <v>1978</v>
      </c>
      <c r="I118" s="18" t="s">
        <v>611</v>
      </c>
      <c r="J118" s="6">
        <v>3034</v>
      </c>
      <c r="K118" s="18" t="s">
        <v>399</v>
      </c>
      <c r="L118" s="18"/>
      <c r="M118" s="18" t="s">
        <v>93</v>
      </c>
      <c r="N118" s="18" t="s">
        <v>28</v>
      </c>
      <c r="O118" s="6">
        <v>360</v>
      </c>
      <c r="P118" s="6">
        <v>0</v>
      </c>
      <c r="Q118" s="6">
        <v>152</v>
      </c>
      <c r="R118" s="6">
        <v>2009</v>
      </c>
      <c r="S118" s="19" t="s">
        <v>345</v>
      </c>
      <c r="T118" s="18"/>
      <c r="V118" s="6" t="str">
        <f t="shared" si="1"/>
        <v>('demo', 'martin@comunas.fm', '3034', 'Garagen/Aussengeräteraum Schule', 'T13','ST01-2','C0',1978,'Murzelenstrasse 82A','3034','Murzelen','ch','chf',360,0,152,2009,'NW',null),</v>
      </c>
    </row>
    <row r="119" spans="1:22" x14ac:dyDescent="0.25">
      <c r="A119" s="18" t="s">
        <v>4</v>
      </c>
      <c r="B119" s="18" t="s">
        <v>20</v>
      </c>
      <c r="C119" s="6">
        <v>3043</v>
      </c>
      <c r="D119" s="18" t="s">
        <v>612</v>
      </c>
      <c r="E119" s="18" t="s">
        <v>505</v>
      </c>
      <c r="F119" s="18" t="s">
        <v>613</v>
      </c>
      <c r="G119" s="18" t="s">
        <v>277</v>
      </c>
      <c r="H119" s="6">
        <v>1996</v>
      </c>
      <c r="I119" s="18" t="s">
        <v>614</v>
      </c>
      <c r="J119" s="6">
        <v>3043</v>
      </c>
      <c r="K119" s="18" t="s">
        <v>405</v>
      </c>
      <c r="L119" s="18"/>
      <c r="M119" s="18" t="s">
        <v>93</v>
      </c>
      <c r="N119" s="18" t="s">
        <v>28</v>
      </c>
      <c r="O119" s="6">
        <v>7300</v>
      </c>
      <c r="P119" s="6">
        <v>0</v>
      </c>
      <c r="Q119" s="6">
        <v>3102</v>
      </c>
      <c r="R119" s="6">
        <v>2009</v>
      </c>
      <c r="S119" s="19" t="s">
        <v>345</v>
      </c>
      <c r="T119" s="18" t="s">
        <v>615</v>
      </c>
      <c r="V119" s="6" t="str">
        <f t="shared" si="1"/>
        <v>('demo', 'martin@comunas.fm', '3043', 'ZS-Lager/BSA/Einstellhalle/Rasenspielfeld', 'T14','ST03-19','C0',1996,'Schülerweg 11','3043','Uettligen','ch','chf',7300,0,3102,2009,'NW','4 Wartungen pro Jahr durch ZS (2 gr. u. 2 kl.)\n\nUNG: XXX bei Hartbeton (s. Foto) auf Parkplätzen'),</v>
      </c>
    </row>
    <row r="120" spans="1:22" x14ac:dyDescent="0.25">
      <c r="A120" s="18" t="s">
        <v>4</v>
      </c>
      <c r="B120" s="18" t="s">
        <v>20</v>
      </c>
      <c r="C120" s="6">
        <v>3043</v>
      </c>
      <c r="D120" s="18" t="s">
        <v>616</v>
      </c>
      <c r="E120" s="18" t="s">
        <v>275</v>
      </c>
      <c r="F120" s="18" t="s">
        <v>284</v>
      </c>
      <c r="G120" s="18" t="s">
        <v>294</v>
      </c>
      <c r="H120" s="6">
        <v>1987</v>
      </c>
      <c r="I120" s="18" t="s">
        <v>617</v>
      </c>
      <c r="J120" s="6">
        <v>3043</v>
      </c>
      <c r="K120" s="18" t="s">
        <v>405</v>
      </c>
      <c r="L120" s="18"/>
      <c r="M120" s="18" t="s">
        <v>93</v>
      </c>
      <c r="N120" s="18" t="s">
        <v>28</v>
      </c>
      <c r="O120" s="6">
        <v>3000</v>
      </c>
      <c r="P120" s="6">
        <v>0</v>
      </c>
      <c r="Q120" s="6">
        <v>1898</v>
      </c>
      <c r="R120" s="6">
        <v>2009</v>
      </c>
      <c r="S120" s="19" t="s">
        <v>345</v>
      </c>
      <c r="T120" s="18" t="s">
        <v>618</v>
      </c>
      <c r="V120" s="6" t="str">
        <f t="shared" si="1"/>
        <v>('demo', 'martin@comunas.fm', '3043', 'Doppelkindergarten/Musikschule/Jugendtr.', 'T02','ST01-4','C9',1987,'Schülerweg 12','3043','Uettligen','ch','chf',3000,0,1898,2009,'NW','Küche im Jugendtreff für Begehung nicht zugängig; gem. Hauswart ist Küche in schlechtem Zustand\nEhem. Heizraum ist neu Schlagzeugraum; neue Fenster, Teppich, Beleuchtung, Wände, Decken (Akustikpl.)\nLehrerzimmer im UG mit Küche\nEntfeuchtungsanlage Schlagzeugraum ist neu\nJugendraum: neu: nur Unterlagsboden (Parkett wurde ersetzt)'),</v>
      </c>
    </row>
    <row r="121" spans="1:22" x14ac:dyDescent="0.25">
      <c r="A121" s="18" t="s">
        <v>4</v>
      </c>
      <c r="B121" s="18" t="s">
        <v>20</v>
      </c>
      <c r="C121" s="6">
        <v>9220</v>
      </c>
      <c r="D121" s="18" t="s">
        <v>619</v>
      </c>
      <c r="E121" s="18" t="s">
        <v>275</v>
      </c>
      <c r="F121" s="18" t="s">
        <v>284</v>
      </c>
      <c r="G121" s="18" t="s">
        <v>285</v>
      </c>
      <c r="H121" s="6">
        <v>1993</v>
      </c>
      <c r="I121" s="18" t="s">
        <v>455</v>
      </c>
      <c r="J121" s="6">
        <v>9220</v>
      </c>
      <c r="K121" s="18" t="s">
        <v>439</v>
      </c>
      <c r="L121" s="18"/>
      <c r="M121" s="18" t="s">
        <v>93</v>
      </c>
      <c r="N121" s="18" t="s">
        <v>28</v>
      </c>
      <c r="O121" s="6">
        <v>1005</v>
      </c>
      <c r="P121" s="6">
        <v>0</v>
      </c>
      <c r="Q121" s="6">
        <v>483</v>
      </c>
      <c r="R121" s="6">
        <v>2011</v>
      </c>
      <c r="S121" s="19" t="s">
        <v>252</v>
      </c>
      <c r="T121" s="18"/>
      <c r="V121" s="6" t="str">
        <f t="shared" si="1"/>
        <v>('demo', 'martin@comunas.fm', '9220', 'Pavillon', 'T02','ST01-4','C8',1993,'Sandbänkli 4','9220','Bischofszell','ch','chf',1005,0,483,2011,'N',null),</v>
      </c>
    </row>
    <row r="122" spans="1:22" x14ac:dyDescent="0.25">
      <c r="A122" s="18" t="s">
        <v>4</v>
      </c>
      <c r="B122" s="18" t="s">
        <v>20</v>
      </c>
      <c r="C122" s="6">
        <v>9223</v>
      </c>
      <c r="D122" s="18" t="s">
        <v>620</v>
      </c>
      <c r="E122" s="18" t="s">
        <v>275</v>
      </c>
      <c r="F122" s="18" t="s">
        <v>276</v>
      </c>
      <c r="G122" s="18" t="s">
        <v>294</v>
      </c>
      <c r="H122" s="6">
        <v>1920</v>
      </c>
      <c r="I122" s="18" t="s">
        <v>621</v>
      </c>
      <c r="J122" s="6">
        <v>9223</v>
      </c>
      <c r="K122" s="18" t="s">
        <v>622</v>
      </c>
      <c r="L122" s="18"/>
      <c r="M122" s="18" t="s">
        <v>93</v>
      </c>
      <c r="N122" s="18" t="s">
        <v>28</v>
      </c>
      <c r="O122" s="6">
        <v>2984</v>
      </c>
      <c r="P122" s="6">
        <v>0</v>
      </c>
      <c r="Q122" s="6">
        <v>1784</v>
      </c>
      <c r="R122" s="6">
        <v>2011</v>
      </c>
      <c r="S122" s="19" t="s">
        <v>252</v>
      </c>
      <c r="T122" s="18" t="s">
        <v>623</v>
      </c>
      <c r="V122" s="6" t="str">
        <f t="shared" si="1"/>
        <v>('demo', 'martin@comunas.fm', '9223', 'Primarschulanlage Kenzenau; Schulhaus, Wohnungen, Garage', 'T02','ST02-12','C9',1920,'Waldplatzstrasse','9223','Schweizersholz','ch','chf',2984,0,1784,2011,'N','Die Kellerräume wurden ausgebaut jedoch besteht aufsteigende Feuchtigkeit.\nLeitungen im Bad der Wohnung frieren im Winter ein.'),</v>
      </c>
    </row>
    <row r="123" spans="1:22" x14ac:dyDescent="0.25">
      <c r="A123" s="18" t="s">
        <v>4</v>
      </c>
      <c r="B123" s="18" t="s">
        <v>20</v>
      </c>
      <c r="C123" s="6">
        <v>5620</v>
      </c>
      <c r="D123" s="18" t="s">
        <v>624</v>
      </c>
      <c r="E123" s="18" t="s">
        <v>275</v>
      </c>
      <c r="F123" s="18" t="s">
        <v>276</v>
      </c>
      <c r="G123" s="18" t="s">
        <v>294</v>
      </c>
      <c r="H123" s="6">
        <v>1523</v>
      </c>
      <c r="I123" s="18" t="s">
        <v>625</v>
      </c>
      <c r="J123" s="6">
        <v>5620</v>
      </c>
      <c r="K123" s="18" t="s">
        <v>316</v>
      </c>
      <c r="L123" s="18"/>
      <c r="M123" s="18" t="s">
        <v>93</v>
      </c>
      <c r="N123" s="18" t="s">
        <v>28</v>
      </c>
      <c r="O123" s="6">
        <v>4798</v>
      </c>
      <c r="P123" s="6">
        <v>0</v>
      </c>
      <c r="Q123" s="6">
        <v>2554</v>
      </c>
      <c r="R123" s="6">
        <v>2009</v>
      </c>
      <c r="S123" s="19" t="s">
        <v>252</v>
      </c>
      <c r="T123" s="18" t="s">
        <v>626</v>
      </c>
      <c r="V123" s="6" t="str">
        <f t="shared" si="1"/>
        <v>('demo', 'martin@comunas.fm', '5620', 'Kornhaus', 'T02','ST02-12','C9',1523,'Spiegelgasse 9','5620','Bremgarten','ch','chf',4798,0,2554,2009,'N','Putzraum, Boiler, Materialraum - Risse an den Wänden im Kniestock, nicht unterkellert'),</v>
      </c>
    </row>
    <row r="124" spans="1:22" x14ac:dyDescent="0.25">
      <c r="A124" s="18" t="s">
        <v>4</v>
      </c>
      <c r="B124" s="18" t="s">
        <v>20</v>
      </c>
      <c r="C124" s="6">
        <v>5620</v>
      </c>
      <c r="D124" s="18" t="s">
        <v>627</v>
      </c>
      <c r="E124" s="18" t="s">
        <v>288</v>
      </c>
      <c r="F124" s="18" t="s">
        <v>289</v>
      </c>
      <c r="G124" s="18" t="s">
        <v>290</v>
      </c>
      <c r="H124" s="6">
        <v>1913</v>
      </c>
      <c r="I124" s="18" t="s">
        <v>628</v>
      </c>
      <c r="J124" s="6">
        <v>5620</v>
      </c>
      <c r="K124" s="18" t="s">
        <v>316</v>
      </c>
      <c r="L124" s="18"/>
      <c r="M124" s="18" t="s">
        <v>93</v>
      </c>
      <c r="N124" s="18" t="s">
        <v>28</v>
      </c>
      <c r="O124" s="6">
        <v>4121</v>
      </c>
      <c r="P124" s="6">
        <v>0</v>
      </c>
      <c r="Q124" s="6">
        <v>2987</v>
      </c>
      <c r="R124" s="6">
        <v>2010</v>
      </c>
      <c r="S124" s="19" t="s">
        <v>252</v>
      </c>
      <c r="T124" s="18" t="s">
        <v>629</v>
      </c>
      <c r="V124" s="6" t="str">
        <f t="shared" si="1"/>
        <v>('demo', 'martin@comunas.fm', '5620', 'Haus an der Reuss', 'T01','ST02-11','C7',1913,'Schulgasse 8','5620','Bremgarten','ch','chf',4121,0,2987,2010,'N','Es konnte nur die Wohnung im DG besichtigt werden, Trocknungsraum, Geräteraum, Bastellraum, Veloraum, Estrich konnte nicht besichtigt werden'),</v>
      </c>
    </row>
    <row r="125" spans="1:22" x14ac:dyDescent="0.25">
      <c r="A125" s="18" t="s">
        <v>4</v>
      </c>
      <c r="B125" s="18" t="s">
        <v>20</v>
      </c>
      <c r="C125" s="6">
        <v>5626</v>
      </c>
      <c r="D125" s="18" t="s">
        <v>630</v>
      </c>
      <c r="E125" s="18" t="s">
        <v>402</v>
      </c>
      <c r="F125" s="18" t="s">
        <v>631</v>
      </c>
      <c r="G125" s="18" t="s">
        <v>507</v>
      </c>
      <c r="H125" s="6">
        <v>1988</v>
      </c>
      <c r="I125" s="18" t="s">
        <v>632</v>
      </c>
      <c r="J125" s="6">
        <v>5626</v>
      </c>
      <c r="K125" s="18" t="s">
        <v>432</v>
      </c>
      <c r="L125" s="18"/>
      <c r="M125" s="18" t="s">
        <v>93</v>
      </c>
      <c r="N125" s="18" t="s">
        <v>28</v>
      </c>
      <c r="O125" s="6">
        <v>4565</v>
      </c>
      <c r="P125" s="6">
        <v>0</v>
      </c>
      <c r="Q125" s="6">
        <v>2739</v>
      </c>
      <c r="R125" s="6">
        <v>2002</v>
      </c>
      <c r="S125" s="19" t="s">
        <v>252</v>
      </c>
      <c r="T125" s="18" t="s">
        <v>633</v>
      </c>
      <c r="V125" s="6" t="str">
        <f t="shared" si="1"/>
        <v>('demo', 'martin@comunas.fm', '5626', 'Werkhof mit Wohnungen', 'T13','ST05-31','C37',1988,'Im Spilhof 6','5626','Hermetschwil','ch','chf',4565,0,2739,2002,'N','-Wohnung war bis 2000 eine Kanzlei \nWäscheraum, Wasserverteilung, WM, Tumbler'),</v>
      </c>
    </row>
    <row r="126" spans="1:22" x14ac:dyDescent="0.25">
      <c r="A126" s="18" t="s">
        <v>4</v>
      </c>
      <c r="B126" s="18" t="s">
        <v>20</v>
      </c>
      <c r="C126" s="6">
        <v>5620</v>
      </c>
      <c r="D126" s="18" t="s">
        <v>634</v>
      </c>
      <c r="E126" s="18" t="s">
        <v>402</v>
      </c>
      <c r="F126" s="18" t="s">
        <v>631</v>
      </c>
      <c r="G126" s="18" t="s">
        <v>507</v>
      </c>
      <c r="H126" s="6">
        <v>2008</v>
      </c>
      <c r="I126" s="18" t="s">
        <v>635</v>
      </c>
      <c r="J126" s="6">
        <v>5620</v>
      </c>
      <c r="K126" s="18" t="s">
        <v>316</v>
      </c>
      <c r="L126" s="18"/>
      <c r="M126" s="18" t="s">
        <v>93</v>
      </c>
      <c r="N126" s="18" t="s">
        <v>28</v>
      </c>
      <c r="O126" s="6">
        <v>3024</v>
      </c>
      <c r="P126" s="6">
        <v>0</v>
      </c>
      <c r="Q126" s="6">
        <v>1250</v>
      </c>
      <c r="R126" s="6">
        <v>2009</v>
      </c>
      <c r="S126" s="19" t="s">
        <v>252</v>
      </c>
      <c r="T126" s="18" t="s">
        <v>636</v>
      </c>
      <c r="V126" s="6" t="str">
        <f t="shared" si="1"/>
        <v>('demo', 'martin@comunas.fm', '5620', 'Werkhof Neubau', 'T13','ST05-31','C37',2008,'Augraben 1','5620','Bremgarten','ch','chf',3024,0,1250,2009,'N','Chemieraum, Reinigungsraum im EG, Schmutzschleuse, Werkstatt'),</v>
      </c>
    </row>
    <row r="127" spans="1:22" x14ac:dyDescent="0.25">
      <c r="A127" s="18" t="s">
        <v>4</v>
      </c>
      <c r="B127" s="18" t="s">
        <v>20</v>
      </c>
      <c r="C127" s="6">
        <v>5620</v>
      </c>
      <c r="D127" s="18" t="s">
        <v>637</v>
      </c>
      <c r="E127" s="18" t="s">
        <v>402</v>
      </c>
      <c r="F127" s="18" t="s">
        <v>631</v>
      </c>
      <c r="G127" s="18" t="s">
        <v>507</v>
      </c>
      <c r="H127" s="6">
        <v>1735</v>
      </c>
      <c r="I127" s="18" t="s">
        <v>638</v>
      </c>
      <c r="J127" s="6">
        <v>5620</v>
      </c>
      <c r="K127" s="18" t="s">
        <v>316</v>
      </c>
      <c r="L127" s="18"/>
      <c r="M127" s="18" t="s">
        <v>93</v>
      </c>
      <c r="N127" s="18" t="s">
        <v>28</v>
      </c>
      <c r="O127" s="6">
        <v>2404</v>
      </c>
      <c r="P127" s="6">
        <v>0</v>
      </c>
      <c r="Q127" s="6">
        <v>560</v>
      </c>
      <c r="R127" s="6">
        <v>1993</v>
      </c>
      <c r="S127" s="19" t="s">
        <v>252</v>
      </c>
      <c r="T127" s="18" t="s">
        <v>639</v>
      </c>
      <c r="V127" s="6" t="str">
        <f t="shared" si="1"/>
        <v>('demo', 'martin@comunas.fm', '5620', 'Bauamtsmagazin, Werkhof Altbau', 'T13','ST05-31','C37',1735,'Klosterweg 2','5620','Bremgarten','ch','chf',2404,0,560,1993,'N','Garagentor aus Holz, Lagerraum, nicht wärmegedämmt\nDer Rohbau sowie die Fassade werden aus denkmalpflegerischen und nutzungsbedingten Gründen nicht besser instandgesetzt.'),</v>
      </c>
    </row>
    <row r="128" spans="1:22" x14ac:dyDescent="0.25">
      <c r="A128" s="18" t="s">
        <v>4</v>
      </c>
      <c r="B128" s="18" t="s">
        <v>20</v>
      </c>
      <c r="C128" s="6">
        <v>5620</v>
      </c>
      <c r="D128" s="18" t="s">
        <v>640</v>
      </c>
      <c r="E128" s="18" t="s">
        <v>386</v>
      </c>
      <c r="F128" s="18" t="s">
        <v>641</v>
      </c>
      <c r="G128" s="18" t="s">
        <v>368</v>
      </c>
      <c r="H128" s="6">
        <v>1624</v>
      </c>
      <c r="I128" s="18" t="s">
        <v>642</v>
      </c>
      <c r="J128" s="6">
        <v>5620</v>
      </c>
      <c r="K128" s="18" t="s">
        <v>316</v>
      </c>
      <c r="L128" s="18"/>
      <c r="M128" s="18" t="s">
        <v>93</v>
      </c>
      <c r="N128" s="18" t="s">
        <v>28</v>
      </c>
      <c r="O128" s="6">
        <v>7525</v>
      </c>
      <c r="P128" s="6">
        <v>0</v>
      </c>
      <c r="Q128" s="6">
        <v>4888</v>
      </c>
      <c r="R128" s="6">
        <v>2002</v>
      </c>
      <c r="S128" s="19" t="s">
        <v>252</v>
      </c>
      <c r="T128" s="18" t="s">
        <v>643</v>
      </c>
      <c r="V128" s="6" t="str">
        <f t="shared" si="1"/>
        <v>('demo', 'martin@comunas.fm', '5620', 'Klarakloster', 'T09','ST05-28','C29',1624,'Klosterweg 8','5620','Bremgarten','ch','chf',7525,0,4888,2002,'N','-Schmutzschleuse - Lagerraum, Werkstatt, Jugendraum, tw. Risse auf der Innenseite der Fassadenwände, Ölheizung im EG Wohnteil'),</v>
      </c>
    </row>
    <row r="129" spans="1:22" x14ac:dyDescent="0.25">
      <c r="A129" s="18" t="s">
        <v>4</v>
      </c>
      <c r="B129" s="18" t="s">
        <v>20</v>
      </c>
      <c r="C129" s="6">
        <v>5620</v>
      </c>
      <c r="D129" s="18" t="s">
        <v>644</v>
      </c>
      <c r="E129" s="18" t="s">
        <v>391</v>
      </c>
      <c r="F129" s="18" t="s">
        <v>392</v>
      </c>
      <c r="G129" s="18" t="s">
        <v>393</v>
      </c>
      <c r="H129" s="6">
        <v>1989</v>
      </c>
      <c r="I129" s="18" t="s">
        <v>645</v>
      </c>
      <c r="J129" s="6">
        <v>5620</v>
      </c>
      <c r="K129" s="18" t="s">
        <v>316</v>
      </c>
      <c r="L129" s="18"/>
      <c r="M129" s="18" t="s">
        <v>93</v>
      </c>
      <c r="N129" s="18" t="s">
        <v>28</v>
      </c>
      <c r="O129" s="6">
        <v>2532</v>
      </c>
      <c r="P129" s="6">
        <v>0</v>
      </c>
      <c r="Q129" s="6">
        <v>2192</v>
      </c>
      <c r="R129" s="6">
        <v>2010</v>
      </c>
      <c r="S129" s="19" t="s">
        <v>252</v>
      </c>
      <c r="T129" s="18" t="s">
        <v>646</v>
      </c>
      <c r="V129" s="6" t="str">
        <f t="shared" si="1"/>
        <v>('demo', 'martin@comunas.fm', '5620', 'Haberhaus Polizeiposten', 'T06','ST06-35','C21',1989,'Rathausplatz 4','5620','Bremgarten','ch','chf',2532,0,2192,2010,'N','Zweistöckige Wohnung: in gutem Zustand (konnte nicht besichtigt werden) - UG: Keller, Materialraum, Boiler, Lavabo, Reinigungsraum- Wassereinbruch im Keller Mai (''13)'),</v>
      </c>
    </row>
    <row r="130" spans="1:22" x14ac:dyDescent="0.25">
      <c r="A130" s="18" t="s">
        <v>4</v>
      </c>
      <c r="B130" s="18" t="s">
        <v>20</v>
      </c>
      <c r="C130" s="6">
        <v>5620</v>
      </c>
      <c r="D130" s="18" t="s">
        <v>419</v>
      </c>
      <c r="E130" s="18" t="s">
        <v>391</v>
      </c>
      <c r="F130" s="18" t="s">
        <v>420</v>
      </c>
      <c r="G130" s="18" t="s">
        <v>393</v>
      </c>
      <c r="H130" s="6">
        <v>1913</v>
      </c>
      <c r="I130" s="18" t="s">
        <v>474</v>
      </c>
      <c r="J130" s="6">
        <v>5620</v>
      </c>
      <c r="K130" s="18" t="s">
        <v>316</v>
      </c>
      <c r="L130" s="18"/>
      <c r="M130" s="18" t="s">
        <v>93</v>
      </c>
      <c r="N130" s="18" t="s">
        <v>28</v>
      </c>
      <c r="O130" s="6">
        <v>8051</v>
      </c>
      <c r="P130" s="6">
        <v>0</v>
      </c>
      <c r="Q130" s="6">
        <v>5235</v>
      </c>
      <c r="R130" s="6">
        <v>1995</v>
      </c>
      <c r="S130" s="19" t="s">
        <v>252</v>
      </c>
      <c r="T130" s="18" t="s">
        <v>476</v>
      </c>
      <c r="V130" s="6" t="str">
        <f t="shared" si="1"/>
        <v>('demo', 'martin@comunas.fm', '5620', 'Rathaus', 'T06','ST07-40','C21',1913,'Rathausplatz 1','5620','Bremgarten','ch','chf',8051,0,5235,1995,'N','Klinkerboden und Decke haben Risse - Stadtratssaal: Holz-Metallfenster 2004 - Holztüren mit Türrahmen, Holztreppen im OG, Finanzabteilung: schlechte Isolation da Zugerscheinungen im Winter und im Sommer zu heiss, Abstellkammer, Materialraum, Glasbausteine, Teeküche'),</v>
      </c>
    </row>
    <row r="131" spans="1:22" x14ac:dyDescent="0.25">
      <c r="A131" s="18" t="s">
        <v>4</v>
      </c>
      <c r="B131" s="18" t="s">
        <v>20</v>
      </c>
      <c r="C131" s="6">
        <v>5620</v>
      </c>
      <c r="D131" s="18" t="s">
        <v>647</v>
      </c>
      <c r="E131" s="18" t="s">
        <v>366</v>
      </c>
      <c r="F131" s="18" t="s">
        <v>648</v>
      </c>
      <c r="G131" s="18" t="s">
        <v>393</v>
      </c>
      <c r="H131" s="6">
        <v>1640</v>
      </c>
      <c r="I131" s="18" t="s">
        <v>649</v>
      </c>
      <c r="J131" s="6">
        <v>5620</v>
      </c>
      <c r="K131" s="18" t="s">
        <v>316</v>
      </c>
      <c r="L131" s="18"/>
      <c r="M131" s="18" t="s">
        <v>93</v>
      </c>
      <c r="N131" s="18" t="s">
        <v>28</v>
      </c>
      <c r="O131" s="6">
        <v>898</v>
      </c>
      <c r="P131" s="6">
        <v>0</v>
      </c>
      <c r="Q131" s="6">
        <v>595</v>
      </c>
      <c r="R131" s="6">
        <v>2010</v>
      </c>
      <c r="S131" s="19" t="s">
        <v>252</v>
      </c>
      <c r="T131" s="18" t="s">
        <v>650</v>
      </c>
      <c r="V131" s="6" t="str">
        <f t="shared" si="1"/>
        <v>('demo', 'martin@comunas.fm', '5620', 'Ortsmuseum', 'T10','ST03-20','C21',1640,'Reussgasse 14A','5620','Bremgarten','ch','chf',898,0,595,2010,'N','-Risse in den Platten auf dem WC, nicht unterkellert'),</v>
      </c>
    </row>
    <row r="132" spans="1:22" x14ac:dyDescent="0.25">
      <c r="A132" s="18" t="s">
        <v>4</v>
      </c>
      <c r="B132" s="18" t="s">
        <v>20</v>
      </c>
      <c r="C132" s="6">
        <v>5620</v>
      </c>
      <c r="D132" s="18" t="s">
        <v>651</v>
      </c>
      <c r="E132" s="18" t="s">
        <v>402</v>
      </c>
      <c r="F132" s="18" t="s">
        <v>652</v>
      </c>
      <c r="G132" s="18" t="s">
        <v>445</v>
      </c>
      <c r="H132" s="6">
        <v>1972</v>
      </c>
      <c r="I132" s="18" t="s">
        <v>653</v>
      </c>
      <c r="J132" s="6">
        <v>5620</v>
      </c>
      <c r="K132" s="18" t="s">
        <v>316</v>
      </c>
      <c r="L132" s="18"/>
      <c r="M132" s="18" t="s">
        <v>93</v>
      </c>
      <c r="N132" s="18" t="s">
        <v>28</v>
      </c>
      <c r="O132" s="6">
        <v>7905</v>
      </c>
      <c r="P132" s="6">
        <v>0</v>
      </c>
      <c r="Q132" s="6">
        <v>4874</v>
      </c>
      <c r="R132" s="6">
        <v>1995</v>
      </c>
      <c r="S132" s="19" t="s">
        <v>252</v>
      </c>
      <c r="T132" s="18" t="s">
        <v>654</v>
      </c>
      <c r="V132" s="6" t="str">
        <f t="shared" si="1"/>
        <v>('demo', 'martin@comunas.fm', '5620', 'Parkgarage', 'T13','ST02-14','C35',1972,'Rathausplatz 3','5620','Bremgarten','ch','chf',7905,0,4874,1995,'N','-Garageneinfahrt wegen neuer Bodenheizung undicht - Materialraum, Entsorgungsraum, Archiv, Radiatoren mit Thermostaten'),</v>
      </c>
    </row>
    <row r="133" spans="1:22" x14ac:dyDescent="0.25">
      <c r="A133" s="18" t="s">
        <v>4</v>
      </c>
      <c r="B133" s="18" t="s">
        <v>20</v>
      </c>
      <c r="C133" s="6">
        <v>5620</v>
      </c>
      <c r="D133" s="18" t="s">
        <v>655</v>
      </c>
      <c r="E133" s="18" t="s">
        <v>288</v>
      </c>
      <c r="F133" s="18" t="s">
        <v>289</v>
      </c>
      <c r="G133" s="18" t="s">
        <v>290</v>
      </c>
      <c r="H133" s="6">
        <v>1977</v>
      </c>
      <c r="I133" s="18" t="s">
        <v>656</v>
      </c>
      <c r="J133" s="6">
        <v>5620</v>
      </c>
      <c r="K133" s="18" t="s">
        <v>316</v>
      </c>
      <c r="L133" s="18"/>
      <c r="M133" s="18" t="s">
        <v>93</v>
      </c>
      <c r="N133" s="18" t="s">
        <v>28</v>
      </c>
      <c r="O133" s="6">
        <v>3334</v>
      </c>
      <c r="P133" s="6">
        <v>0</v>
      </c>
      <c r="Q133" s="6">
        <v>1928</v>
      </c>
      <c r="R133" s="6">
        <v>2007</v>
      </c>
      <c r="S133" s="19" t="s">
        <v>252</v>
      </c>
      <c r="T133" s="18" t="s">
        <v>657</v>
      </c>
      <c r="V133" s="6" t="str">
        <f t="shared" ref="V133:V196" si="2">"('"&amp;A133&amp;"', '"&amp;B133&amp;"', '"&amp;C133&amp;"', '"&amp;D133&amp;"', "&amp;IF(ISBLANK(E133),"null","'"&amp;E133&amp;"'")&amp;","&amp;IF(ISBLANK(F133),"null","'"&amp;F133&amp;"'")&amp;","&amp;IF(ISBLANK(G133),"null","'"&amp;G133&amp;"'")&amp;","&amp;IF(ISBLANK(H133),"null",H133)&amp;","&amp;IF(ISBLANK(I133),"null","'"&amp;I133&amp;"'")&amp;","&amp;IF(ISBLANK(J133),"null","'"&amp;J133&amp;"'")&amp;","&amp;IF(ISBLANK(K133),"null","'"&amp;K133&amp;"'")&amp;","&amp;IF(ISBLANK(M133),"null","'"&amp;M133&amp;"'")&amp;","&amp;IF(ISBLANK(N133),"null","'"&amp;N133&amp;"'")&amp;","&amp;IF(ISBLANK(O133),"null",O133)&amp;","&amp;IF(ISBLANK(P133),"null",P133)&amp;","&amp;IF(ISBLANK(Q133),"null",Q133)&amp;","&amp;IF(ISBLANK(R133),"null",R133)&amp;","&amp;IF(ISBLANK(S133),"null","'"&amp;S133&amp;"'")&amp;","&amp;IF(ISBLANK(T133),"null","'"&amp;T133&amp;"'")&amp;"),"</f>
        <v>('demo', 'martin@comunas.fm', '5620', 'Friedhofhalle', 'T01','ST02-11','C7',1977,'Friedhofstrasse','5620','Bremgarten','ch','chf',3334,0,1928,2007,'N','-Schmutzschleuse, Sargwagen, Materialraum, nicht unterkellert'),</v>
      </c>
    </row>
    <row r="134" spans="1:22" x14ac:dyDescent="0.25">
      <c r="A134" s="18" t="s">
        <v>4</v>
      </c>
      <c r="B134" s="18" t="s">
        <v>20</v>
      </c>
      <c r="C134" s="6">
        <v>4950</v>
      </c>
      <c r="D134" s="18" t="s">
        <v>658</v>
      </c>
      <c r="E134" s="18" t="s">
        <v>505</v>
      </c>
      <c r="F134" s="18" t="s">
        <v>613</v>
      </c>
      <c r="G134" s="18" t="s">
        <v>659</v>
      </c>
      <c r="H134" s="6">
        <v>1991</v>
      </c>
      <c r="I134" s="18" t="s">
        <v>660</v>
      </c>
      <c r="J134" s="6">
        <v>4950</v>
      </c>
      <c r="K134" s="18" t="s">
        <v>661</v>
      </c>
      <c r="L134" s="18"/>
      <c r="M134" s="18" t="s">
        <v>93</v>
      </c>
      <c r="N134" s="18" t="s">
        <v>28</v>
      </c>
      <c r="O134" s="6">
        <v>6240</v>
      </c>
      <c r="P134" s="6">
        <v>0</v>
      </c>
      <c r="Q134" s="6">
        <v>2820</v>
      </c>
      <c r="R134" s="6">
        <v>1993</v>
      </c>
      <c r="S134" s="19" t="s">
        <v>252</v>
      </c>
      <c r="T134" s="18" t="s">
        <v>662</v>
      </c>
      <c r="V134" s="6" t="str">
        <f t="shared" si="2"/>
        <v>('demo', 'martin@comunas.fm', '4950', 'Zivilschutzanlage', 'T14','ST03-19','C38',1991,'Dornackerweg 6','4950','Huttwil','ch','chf',6240,0,2820,1993,'N','Mobile Entfeuchter vorh.'),</v>
      </c>
    </row>
    <row r="135" spans="1:22" x14ac:dyDescent="0.25">
      <c r="A135" s="18" t="s">
        <v>4</v>
      </c>
      <c r="B135" s="18" t="s">
        <v>20</v>
      </c>
      <c r="C135" s="6">
        <v>8468</v>
      </c>
      <c r="D135" s="18" t="s">
        <v>663</v>
      </c>
      <c r="E135" s="18" t="s">
        <v>275</v>
      </c>
      <c r="F135" s="18" t="s">
        <v>276</v>
      </c>
      <c r="G135" s="18" t="s">
        <v>294</v>
      </c>
      <c r="H135" s="6">
        <v>1974</v>
      </c>
      <c r="I135" s="18" t="s">
        <v>664</v>
      </c>
      <c r="J135" s="6">
        <v>8468</v>
      </c>
      <c r="K135" s="18" t="s">
        <v>665</v>
      </c>
      <c r="L135" s="18"/>
      <c r="M135" s="18" t="s">
        <v>93</v>
      </c>
      <c r="N135" s="18" t="s">
        <v>28</v>
      </c>
      <c r="O135" s="6">
        <v>10153</v>
      </c>
      <c r="P135" s="6">
        <v>0</v>
      </c>
      <c r="Q135" s="6">
        <v>6680</v>
      </c>
      <c r="R135" s="6">
        <v>2012</v>
      </c>
      <c r="S135" s="19" t="s">
        <v>252</v>
      </c>
      <c r="T135" s="18" t="s">
        <v>666</v>
      </c>
      <c r="V135" s="6" t="str">
        <f t="shared" si="2"/>
        <v>('demo', 'martin@comunas.fm', '8468', 'Schulhaus mit Turnhalle', 'T02','ST02-12','C9',1974,'Mülibachstrasse 18','8468','Waltalingen','ch','chf',10153,0,6680,2012,'N','- Holzboden Estrich\n- Dusche TH: CHF 70`000 für Lüftung, in Betriebnahme: 28.10.2015, Lüftungsaggregat befindet sich im ehemaligen Tankraum\n- neue Veloständer'),</v>
      </c>
    </row>
    <row r="136" spans="1:22" x14ac:dyDescent="0.25">
      <c r="A136" s="18" t="s">
        <v>4</v>
      </c>
      <c r="B136" s="18" t="s">
        <v>20</v>
      </c>
      <c r="C136" s="6">
        <v>8468</v>
      </c>
      <c r="D136" s="18" t="s">
        <v>667</v>
      </c>
      <c r="E136" s="18" t="s">
        <v>275</v>
      </c>
      <c r="F136" s="18" t="s">
        <v>284</v>
      </c>
      <c r="G136" s="18" t="s">
        <v>285</v>
      </c>
      <c r="H136" s="6">
        <v>1952</v>
      </c>
      <c r="I136" s="18" t="s">
        <v>668</v>
      </c>
      <c r="J136" s="6">
        <v>8468</v>
      </c>
      <c r="K136" s="18" t="s">
        <v>669</v>
      </c>
      <c r="L136" s="18"/>
      <c r="M136" s="18" t="s">
        <v>93</v>
      </c>
      <c r="N136" s="18" t="s">
        <v>28</v>
      </c>
      <c r="O136" s="6">
        <v>2224</v>
      </c>
      <c r="P136" s="6">
        <v>0</v>
      </c>
      <c r="Q136" s="6">
        <v>1453</v>
      </c>
      <c r="R136" s="6">
        <v>2008</v>
      </c>
      <c r="S136" s="19" t="s">
        <v>252</v>
      </c>
      <c r="T136" s="18" t="s">
        <v>670</v>
      </c>
      <c r="V136" s="6" t="str">
        <f t="shared" si="2"/>
        <v>('demo', 'martin@comunas.fm', '8468', 'Haus Mülibach', 'T02','ST01-4','C8',1952,'Mülibachstrasse 20','8468','Guntalingen','ch','chf',2224,0,1453,2008,'N','- Elektroboiler für EG ist im DG\n- 2 Wohnungen im OG: Küche sehr klein und alt (''02 saniert)'),</v>
      </c>
    </row>
    <row r="137" spans="1:22" x14ac:dyDescent="0.25">
      <c r="A137" s="18" t="s">
        <v>4</v>
      </c>
      <c r="B137" s="18" t="s">
        <v>20</v>
      </c>
      <c r="C137" s="6">
        <v>8476</v>
      </c>
      <c r="D137" s="18" t="s">
        <v>671</v>
      </c>
      <c r="E137" s="18" t="s">
        <v>288</v>
      </c>
      <c r="F137" s="18" t="s">
        <v>543</v>
      </c>
      <c r="G137" s="18" t="s">
        <v>599</v>
      </c>
      <c r="H137" s="6">
        <v>1951</v>
      </c>
      <c r="I137" s="18" t="s">
        <v>672</v>
      </c>
      <c r="J137" s="6">
        <v>8476</v>
      </c>
      <c r="K137" s="18" t="s">
        <v>673</v>
      </c>
      <c r="L137" s="18"/>
      <c r="M137" s="18" t="s">
        <v>93</v>
      </c>
      <c r="N137" s="18" t="s">
        <v>28</v>
      </c>
      <c r="O137" s="6">
        <v>1381</v>
      </c>
      <c r="P137" s="6">
        <v>0</v>
      </c>
      <c r="Q137" s="6">
        <v>970</v>
      </c>
      <c r="R137" s="6">
        <v>2011</v>
      </c>
      <c r="S137" s="19" t="s">
        <v>252</v>
      </c>
      <c r="T137" s="18" t="s">
        <v>674</v>
      </c>
      <c r="V137" s="6" t="str">
        <f t="shared" si="2"/>
        <v>('demo', 'martin@comunas.fm', '8476', 'Wohnhaus mit Schopf', 'T01','ST05-26','C6',1951,'Unterdorf 10','8476','Unterstammheim','ch','chf',1381,0,970,2011,'N','- auf Balkon rostige Abschlussbleche auf Brüstungen\n-z. T. Naturkeller'),</v>
      </c>
    </row>
    <row r="138" spans="1:22" x14ac:dyDescent="0.25">
      <c r="A138" s="18" t="s">
        <v>4</v>
      </c>
      <c r="B138" s="18" t="s">
        <v>20</v>
      </c>
      <c r="C138" s="6">
        <v>8476</v>
      </c>
      <c r="D138" s="18" t="s">
        <v>321</v>
      </c>
      <c r="E138" s="18" t="s">
        <v>275</v>
      </c>
      <c r="F138" s="18" t="s">
        <v>276</v>
      </c>
      <c r="G138" s="18" t="s">
        <v>427</v>
      </c>
      <c r="H138" s="6">
        <v>1954</v>
      </c>
      <c r="I138" s="18" t="s">
        <v>675</v>
      </c>
      <c r="J138" s="6">
        <v>8476</v>
      </c>
      <c r="K138" s="18" t="s">
        <v>673</v>
      </c>
      <c r="L138" s="18"/>
      <c r="M138" s="18" t="s">
        <v>93</v>
      </c>
      <c r="N138" s="18" t="s">
        <v>28</v>
      </c>
      <c r="O138" s="6">
        <v>9813</v>
      </c>
      <c r="P138" s="6">
        <v>0</v>
      </c>
      <c r="Q138" s="6">
        <v>1954</v>
      </c>
      <c r="R138" s="6">
        <v>2003</v>
      </c>
      <c r="S138" s="19" t="s">
        <v>252</v>
      </c>
      <c r="T138" s="18" t="s">
        <v>676</v>
      </c>
      <c r="V138" s="6" t="str">
        <f t="shared" si="2"/>
        <v>('demo', 'martin@comunas.fm', '8476', 'Turnhalle', 'T02','ST02-12','C33',1954,'Bahnhofstrasse 7','8476','Unterstammheim','ch','chf',9813,0,1954,2003,'N','- die Duschanlagen sind im Jahr 2015 repariert worden, jedoch ist unter den Plattenbelägen hohe Feuchtigkeit vorhanden. Gemäss Angaben des Fachmannes sind sie noch max. 2 Jahre für den Betrieb geeignet.\n- gesamthaft wurden CHF 300`000 investiert für neuen Boden TH, Geräteraumtore, Fenster, Belichtung etc.'),</v>
      </c>
    </row>
    <row r="139" spans="1:22" x14ac:dyDescent="0.25">
      <c r="A139" s="18" t="s">
        <v>4</v>
      </c>
      <c r="B139" s="18" t="s">
        <v>20</v>
      </c>
      <c r="C139" s="6">
        <v>8476</v>
      </c>
      <c r="D139" s="18" t="s">
        <v>677</v>
      </c>
      <c r="E139" s="18" t="s">
        <v>275</v>
      </c>
      <c r="F139" s="18" t="s">
        <v>276</v>
      </c>
      <c r="G139" s="18" t="s">
        <v>294</v>
      </c>
      <c r="H139" s="6">
        <v>1894</v>
      </c>
      <c r="I139" s="18" t="s">
        <v>675</v>
      </c>
      <c r="J139" s="6">
        <v>8476</v>
      </c>
      <c r="K139" s="18" t="s">
        <v>673</v>
      </c>
      <c r="L139" s="18"/>
      <c r="M139" s="18" t="s">
        <v>93</v>
      </c>
      <c r="N139" s="18" t="s">
        <v>28</v>
      </c>
      <c r="O139" s="6">
        <v>4146</v>
      </c>
      <c r="P139" s="6">
        <v>0</v>
      </c>
      <c r="Q139" s="6">
        <v>2718</v>
      </c>
      <c r="R139" s="6">
        <v>2003</v>
      </c>
      <c r="S139" s="19" t="s">
        <v>252</v>
      </c>
      <c r="T139" s="18" t="s">
        <v>678</v>
      </c>
      <c r="V139" s="6" t="str">
        <f t="shared" si="2"/>
        <v>('demo', 'martin@comunas.fm', '8476', 'Schulhausanlage', 'T02','ST02-12','C9',1894,'Bahnhofstrasse 7','8476','Unterstammheim','ch','chf',4146,0,2718,2003,'N','-Sockelbereich ok\n-Unterstand II: Fassade aus Sichtmauerwerk\n-Aussentüre auf Paniktüre umgerüstet\n-Treppengeländer sehr tief (80cm)\n-im UG vermutlich Asbest-Platten\n-Pausenhalle neu gestrichen für CHF 5`000.-\n\n- Begehung mit Herrn B. Frei (Hauswart)'),</v>
      </c>
    </row>
    <row r="140" spans="1:22" x14ac:dyDescent="0.25">
      <c r="A140" s="18" t="s">
        <v>4</v>
      </c>
      <c r="B140" s="18" t="s">
        <v>20</v>
      </c>
      <c r="C140" s="6">
        <v>8620</v>
      </c>
      <c r="D140" s="18" t="s">
        <v>679</v>
      </c>
      <c r="E140" s="18" t="s">
        <v>288</v>
      </c>
      <c r="F140" s="18" t="s">
        <v>543</v>
      </c>
      <c r="G140" s="18" t="s">
        <v>599</v>
      </c>
      <c r="H140" s="6">
        <v>0</v>
      </c>
      <c r="I140" s="18" t="s">
        <v>680</v>
      </c>
      <c r="J140" s="6">
        <v>8620</v>
      </c>
      <c r="K140" s="18" t="s">
        <v>681</v>
      </c>
      <c r="L140" s="18"/>
      <c r="M140" s="18" t="s">
        <v>93</v>
      </c>
      <c r="N140" s="18" t="s">
        <v>28</v>
      </c>
      <c r="O140" s="6">
        <v>623</v>
      </c>
      <c r="P140" s="6">
        <v>0</v>
      </c>
      <c r="Q140" s="6">
        <v>478</v>
      </c>
      <c r="R140" s="6">
        <v>2005</v>
      </c>
      <c r="S140" s="19" t="s">
        <v>252</v>
      </c>
      <c r="T140" s="18" t="s">
        <v>682</v>
      </c>
      <c r="V140" s="6" t="str">
        <f t="shared" si="2"/>
        <v>('demo', 'martin@comunas.fm', '8620', 'EFH Leukens', 'T01','ST05-26','C6',0,'Eggstrasse 68','8620','Wetzikon','ch','chf',623,0,478,2005,'N','Das Flachdach und die Fassaden wurden unlängst renoviert, jedoch nicht wärmetechnisch.\nAn der Zimmerdecke unter dem Dach sind in regelmässigen Abständen Farbveränderungen vorhanden. Diese sind wahrscheinlich auf Wärmebrücken, durch die auf die Betondecke des Flachdachs aufliegenden Betonelemente, zurückzuführen. Allenfalls könnten auch Spalten, der in die Zimmerdecke integrierten Wäremdämmplatten, dafür verantwortlich sein.\n\nDer Bastelraum im Keller ist teilweise gedämmt und weist verhältnismässig grosse Fenster auf.\n\nGemeinsamer Luftschutzraum und Tiefgarage vorhanden.'),</v>
      </c>
    </row>
    <row r="141" spans="1:22" x14ac:dyDescent="0.25">
      <c r="A141" s="18" t="s">
        <v>4</v>
      </c>
      <c r="B141" s="18" t="s">
        <v>20</v>
      </c>
      <c r="C141" s="6">
        <v>4950</v>
      </c>
      <c r="D141" s="18" t="s">
        <v>683</v>
      </c>
      <c r="E141" s="18" t="s">
        <v>684</v>
      </c>
      <c r="F141" s="18" t="s">
        <v>685</v>
      </c>
      <c r="G141" s="18" t="s">
        <v>277</v>
      </c>
      <c r="H141" s="6">
        <v>1975</v>
      </c>
      <c r="I141" s="18" t="s">
        <v>686</v>
      </c>
      <c r="J141" s="6">
        <v>4950</v>
      </c>
      <c r="K141" s="18" t="s">
        <v>661</v>
      </c>
      <c r="L141" s="18"/>
      <c r="M141" s="18" t="s">
        <v>93</v>
      </c>
      <c r="N141" s="18" t="s">
        <v>28</v>
      </c>
      <c r="O141" s="6">
        <v>650</v>
      </c>
      <c r="P141" s="6">
        <v>0</v>
      </c>
      <c r="Q141" s="6">
        <v>647</v>
      </c>
      <c r="R141" s="6">
        <v>1980</v>
      </c>
      <c r="S141" s="19" t="s">
        <v>252</v>
      </c>
      <c r="T141" s="18" t="s">
        <v>687</v>
      </c>
      <c r="V141" s="6" t="str">
        <f t="shared" si="2"/>
        <v>('demo', 'martin@comunas.fm', '4950', 'Pumpwerk, Elektrizität', 'T05','ST01-3','C0',1975,'Lochmühleweg 2a','4950','Huttwil','ch','chf',650,0,647,1980,'N','Ein Teil des Gebäudes konnte nicht besichtigt werden (EW)'),</v>
      </c>
    </row>
    <row r="142" spans="1:22" x14ac:dyDescent="0.25">
      <c r="A142" s="18" t="s">
        <v>4</v>
      </c>
      <c r="B142" s="18" t="s">
        <v>20</v>
      </c>
      <c r="C142" s="6">
        <v>4950</v>
      </c>
      <c r="D142" s="18" t="s">
        <v>688</v>
      </c>
      <c r="E142" s="18" t="s">
        <v>391</v>
      </c>
      <c r="F142" s="18" t="s">
        <v>689</v>
      </c>
      <c r="G142" s="18" t="s">
        <v>277</v>
      </c>
      <c r="H142" s="6">
        <v>1933</v>
      </c>
      <c r="I142" s="18" t="s">
        <v>690</v>
      </c>
      <c r="J142" s="6">
        <v>4950</v>
      </c>
      <c r="K142" s="18" t="s">
        <v>661</v>
      </c>
      <c r="L142" s="18"/>
      <c r="M142" s="18" t="s">
        <v>93</v>
      </c>
      <c r="N142" s="18" t="s">
        <v>28</v>
      </c>
      <c r="O142" s="6">
        <v>6300</v>
      </c>
      <c r="P142" s="6">
        <v>0</v>
      </c>
      <c r="Q142" s="6">
        <v>3238</v>
      </c>
      <c r="R142" s="6">
        <v>1995</v>
      </c>
      <c r="S142" s="19" t="s">
        <v>252</v>
      </c>
      <c r="T142" s="18" t="s">
        <v>253</v>
      </c>
      <c r="V142" s="6" t="str">
        <f t="shared" si="2"/>
        <v>('demo', 'martin@comunas.fm', '4950', 'Restaurant', 'T06','ST05-30','C0',1933,'Marktgasse 2','4950','Huttwil','ch','chf',6300,0,3238,1995,'N','- Das Restaurant befindet sich im EG des Rathauses (Stratus-Nr. 17 05) und sollte für die Investitionsplanung mit diesem zusammen berücksichtigt werden.\n- Der Waren- und Personenaufzug in der Küche wurde letztes Jahr erneuert.\n- Die Küche ist 19-jährig.\n- Der Pizzaofen gehört dem Pächter'),</v>
      </c>
    </row>
    <row r="143" spans="1:22" x14ac:dyDescent="0.25">
      <c r="A143" s="18" t="s">
        <v>4</v>
      </c>
      <c r="B143" s="18" t="s">
        <v>20</v>
      </c>
      <c r="C143" s="6">
        <v>4950</v>
      </c>
      <c r="D143" s="18" t="s">
        <v>691</v>
      </c>
      <c r="E143" s="18" t="s">
        <v>391</v>
      </c>
      <c r="F143" s="18" t="s">
        <v>689</v>
      </c>
      <c r="G143" s="18" t="s">
        <v>277</v>
      </c>
      <c r="H143" s="6">
        <v>0</v>
      </c>
      <c r="I143" s="18" t="s">
        <v>692</v>
      </c>
      <c r="J143" s="6">
        <v>4950</v>
      </c>
      <c r="K143" s="18" t="s">
        <v>661</v>
      </c>
      <c r="L143" s="18"/>
      <c r="M143" s="18" t="s">
        <v>93</v>
      </c>
      <c r="N143" s="18" t="s">
        <v>28</v>
      </c>
      <c r="O143" s="6">
        <v>2020</v>
      </c>
      <c r="P143" s="6">
        <v>0</v>
      </c>
      <c r="Q143" s="6">
        <v>662</v>
      </c>
      <c r="R143" s="6">
        <v>1995</v>
      </c>
      <c r="S143" s="19" t="s">
        <v>252</v>
      </c>
      <c r="T143" s="18" t="s">
        <v>693</v>
      </c>
      <c r="V143" s="6" t="str">
        <f t="shared" si="2"/>
        <v>('demo', 'martin@comunas.fm', '4950', 'Verwaltungsgebäude', 'T06','ST05-30','C0',0,'Marktgasse 4','4950','Huttwil','ch','chf',2020,0,662,1995,'N','Umbau im 2. OG ist geplant.'),</v>
      </c>
    </row>
    <row r="144" spans="1:22" x14ac:dyDescent="0.25">
      <c r="A144" s="18" t="s">
        <v>4</v>
      </c>
      <c r="B144" s="18" t="s">
        <v>20</v>
      </c>
      <c r="C144" s="6">
        <v>4950</v>
      </c>
      <c r="D144" s="18" t="s">
        <v>694</v>
      </c>
      <c r="E144" s="18" t="s">
        <v>275</v>
      </c>
      <c r="F144" s="18" t="s">
        <v>276</v>
      </c>
      <c r="G144" s="18" t="s">
        <v>277</v>
      </c>
      <c r="H144" s="6">
        <v>1974</v>
      </c>
      <c r="I144" s="18" t="s">
        <v>695</v>
      </c>
      <c r="J144" s="6">
        <v>4950</v>
      </c>
      <c r="K144" s="18" t="s">
        <v>661</v>
      </c>
      <c r="L144" s="18"/>
      <c r="M144" s="18" t="s">
        <v>93</v>
      </c>
      <c r="N144" s="18" t="s">
        <v>28</v>
      </c>
      <c r="O144" s="6">
        <v>20444</v>
      </c>
      <c r="P144" s="6">
        <v>0</v>
      </c>
      <c r="Q144" s="6">
        <v>11250</v>
      </c>
      <c r="R144" s="6">
        <v>2007</v>
      </c>
      <c r="S144" s="19" t="s">
        <v>252</v>
      </c>
      <c r="T144" s="18" t="s">
        <v>696</v>
      </c>
      <c r="V144" s="6" t="str">
        <f t="shared" si="2"/>
        <v>('demo', 'martin@comunas.fm', '4950', 'Schulanlage Schwarzenbach', 'T02','ST02-12','C0',1974,'Neuhausstrasse 15','4950','Huttwil','ch','chf',20444,0,11250,2007,'N','- Garderoben wurden im 2016 ersetzt.\n- Die Gebäudehülle wurde im 1994 isoliert.\n- Ehemaliger Velokeller neben Garage'),</v>
      </c>
    </row>
    <row r="145" spans="1:22" x14ac:dyDescent="0.25">
      <c r="A145" s="18" t="s">
        <v>4</v>
      </c>
      <c r="B145" s="18" t="s">
        <v>20</v>
      </c>
      <c r="C145" s="6">
        <v>4950</v>
      </c>
      <c r="D145" s="18" t="s">
        <v>697</v>
      </c>
      <c r="E145" s="18" t="s">
        <v>275</v>
      </c>
      <c r="F145" s="18" t="s">
        <v>562</v>
      </c>
      <c r="G145" s="18" t="s">
        <v>294</v>
      </c>
      <c r="H145" s="6">
        <v>1990</v>
      </c>
      <c r="I145" s="18" t="s">
        <v>698</v>
      </c>
      <c r="J145" s="6">
        <v>4950</v>
      </c>
      <c r="K145" s="18" t="s">
        <v>661</v>
      </c>
      <c r="L145" s="18"/>
      <c r="M145" s="18" t="s">
        <v>93</v>
      </c>
      <c r="N145" s="18" t="s">
        <v>28</v>
      </c>
      <c r="O145" s="6">
        <v>3800</v>
      </c>
      <c r="P145" s="6">
        <v>0</v>
      </c>
      <c r="Q145" s="6">
        <v>2820</v>
      </c>
      <c r="R145" s="6">
        <v>1991</v>
      </c>
      <c r="S145" s="19" t="s">
        <v>252</v>
      </c>
      <c r="T145" s="18" t="s">
        <v>699</v>
      </c>
      <c r="V145" s="6" t="str">
        <f t="shared" si="2"/>
        <v>('demo', 'martin@comunas.fm', '4950', 'Berufsschulhaus', 'T02','ST03-16','C9',1990,'Oberdorfstrasse 4','4950','Huttwil','ch','chf',3800,0,2820,1991,'N','Treppengeländer 90cm'),</v>
      </c>
    </row>
    <row r="146" spans="1:22" x14ac:dyDescent="0.25">
      <c r="A146" s="18" t="s">
        <v>4</v>
      </c>
      <c r="B146" s="18" t="s">
        <v>20</v>
      </c>
      <c r="C146" s="6">
        <v>4950</v>
      </c>
      <c r="D146" s="18" t="s">
        <v>700</v>
      </c>
      <c r="E146" s="18" t="s">
        <v>402</v>
      </c>
      <c r="F146" s="18" t="s">
        <v>652</v>
      </c>
      <c r="G146" s="18" t="s">
        <v>445</v>
      </c>
      <c r="H146" s="6">
        <v>1991</v>
      </c>
      <c r="I146" s="18" t="s">
        <v>701</v>
      </c>
      <c r="J146" s="6">
        <v>4950</v>
      </c>
      <c r="K146" s="18" t="s">
        <v>661</v>
      </c>
      <c r="L146" s="18"/>
      <c r="M146" s="18" t="s">
        <v>93</v>
      </c>
      <c r="N146" s="18" t="s">
        <v>28</v>
      </c>
      <c r="O146" s="6">
        <v>275</v>
      </c>
      <c r="P146" s="6">
        <v>0</v>
      </c>
      <c r="Q146" s="6">
        <v>113</v>
      </c>
      <c r="R146" s="6">
        <v>1992</v>
      </c>
      <c r="S146" s="19" t="s">
        <v>252</v>
      </c>
      <c r="T146" s="18" t="s">
        <v>702</v>
      </c>
      <c r="V146" s="6" t="str">
        <f t="shared" si="2"/>
        <v>('demo', 'martin@comunas.fm', '4950', 'Velokeller', 'T13','ST02-14','C35',1991,'Oberdorfstrasse 5','4950','Huttwil','ch','chf',275,0,113,1992,'N','- Gehört zur Berufsschule'),</v>
      </c>
    </row>
    <row r="147" spans="1:22" x14ac:dyDescent="0.25">
      <c r="A147" s="18" t="s">
        <v>4</v>
      </c>
      <c r="B147" s="18" t="s">
        <v>20</v>
      </c>
      <c r="C147" s="6">
        <v>4950</v>
      </c>
      <c r="D147" s="18" t="s">
        <v>703</v>
      </c>
      <c r="E147" s="18" t="s">
        <v>275</v>
      </c>
      <c r="F147" s="18" t="s">
        <v>276</v>
      </c>
      <c r="G147" s="18" t="s">
        <v>277</v>
      </c>
      <c r="H147" s="6">
        <v>1897</v>
      </c>
      <c r="I147" s="18" t="s">
        <v>704</v>
      </c>
      <c r="J147" s="6">
        <v>4950</v>
      </c>
      <c r="K147" s="18" t="s">
        <v>661</v>
      </c>
      <c r="L147" s="18"/>
      <c r="M147" s="18" t="s">
        <v>93</v>
      </c>
      <c r="N147" s="18" t="s">
        <v>28</v>
      </c>
      <c r="O147" s="6">
        <v>9200</v>
      </c>
      <c r="P147" s="6">
        <v>0</v>
      </c>
      <c r="Q147" s="6">
        <v>6204</v>
      </c>
      <c r="R147" s="6">
        <v>1996</v>
      </c>
      <c r="S147" s="19" t="s">
        <v>252</v>
      </c>
      <c r="T147" s="18" t="s">
        <v>705</v>
      </c>
      <c r="V147" s="6" t="str">
        <f t="shared" si="2"/>
        <v>('demo', 'martin@comunas.fm', '4950', 'Schulhaus Städtli', 'T02','ST02-12','C0',1897,'Oberdorfstrasse 11a','4950','Huttwil','ch','chf',9200,0,6204,1996,'N','- Zivilschutzraum alte Turnhalle\n- Estrichboden isoliert (''06)\n- Alter Oeltank wird im Frühling ausgebaut\n- Dach wurde in den 90er Jahren saniert'),</v>
      </c>
    </row>
    <row r="148" spans="1:22" x14ac:dyDescent="0.25">
      <c r="A148" s="18" t="s">
        <v>4</v>
      </c>
      <c r="B148" s="18" t="s">
        <v>20</v>
      </c>
      <c r="C148" s="6">
        <v>4950</v>
      </c>
      <c r="D148" s="18" t="s">
        <v>706</v>
      </c>
      <c r="E148" s="18" t="s">
        <v>402</v>
      </c>
      <c r="F148" s="18" t="s">
        <v>631</v>
      </c>
      <c r="G148" s="18" t="s">
        <v>507</v>
      </c>
      <c r="H148" s="6">
        <v>1835</v>
      </c>
      <c r="I148" s="18" t="s">
        <v>707</v>
      </c>
      <c r="J148" s="6">
        <v>4950</v>
      </c>
      <c r="K148" s="18" t="s">
        <v>661</v>
      </c>
      <c r="L148" s="18"/>
      <c r="M148" s="18" t="s">
        <v>93</v>
      </c>
      <c r="N148" s="18" t="s">
        <v>28</v>
      </c>
      <c r="O148" s="6">
        <v>3750</v>
      </c>
      <c r="P148" s="6">
        <v>0</v>
      </c>
      <c r="Q148" s="6">
        <v>1755</v>
      </c>
      <c r="R148" s="6">
        <v>2015</v>
      </c>
      <c r="S148" s="19" t="s">
        <v>252</v>
      </c>
      <c r="T148" s="18" t="s">
        <v>708</v>
      </c>
      <c r="V148" s="6" t="str">
        <f t="shared" si="2"/>
        <v>('demo', 'martin@comunas.fm', '4950', 'Werkhof', 'T13','ST05-31','C37',1835,'Oberdorfstrasse 13/15/15b','4950','Huttwil','ch','chf',3750,0,1755,2015,'N','- 1999 Innenausbau\n- Neues Sektionaltor im Jahr 2017'),</v>
      </c>
    </row>
    <row r="149" spans="1:22" x14ac:dyDescent="0.25">
      <c r="A149" s="18" t="s">
        <v>4</v>
      </c>
      <c r="B149" s="18" t="s">
        <v>20</v>
      </c>
      <c r="C149" s="6">
        <v>4950</v>
      </c>
      <c r="D149" s="18" t="s">
        <v>709</v>
      </c>
      <c r="E149" s="18" t="s">
        <v>684</v>
      </c>
      <c r="F149" s="18" t="s">
        <v>710</v>
      </c>
      <c r="G149" s="18" t="s">
        <v>277</v>
      </c>
      <c r="H149" s="6">
        <v>1958</v>
      </c>
      <c r="I149" s="18" t="s">
        <v>711</v>
      </c>
      <c r="J149" s="6">
        <v>4950</v>
      </c>
      <c r="K149" s="18" t="s">
        <v>661</v>
      </c>
      <c r="L149" s="18"/>
      <c r="M149" s="18" t="s">
        <v>93</v>
      </c>
      <c r="N149" s="18" t="s">
        <v>28</v>
      </c>
      <c r="O149" s="6">
        <v>480</v>
      </c>
      <c r="P149" s="6">
        <v>0</v>
      </c>
      <c r="Q149" s="6">
        <v>502</v>
      </c>
      <c r="R149" s="6">
        <v>1979</v>
      </c>
      <c r="S149" s="19" t="s">
        <v>252</v>
      </c>
      <c r="T149" s="18" t="s">
        <v>712</v>
      </c>
      <c r="V149" s="6" t="str">
        <f t="shared" si="2"/>
        <v>('demo', 'martin@comunas.fm', '4950', 'Wasserversorgung', 'T05','ST02-15','C0',1958,'Buchenweg 6b','4950','Huttwil','ch','chf',480,0,502,1979,'N','Pumpen sind nicht mehr in Betrieb, Nebengebäude Baujahr 1921/22'),</v>
      </c>
    </row>
    <row r="150" spans="1:22" x14ac:dyDescent="0.25">
      <c r="A150" s="18" t="s">
        <v>4</v>
      </c>
      <c r="B150" s="18" t="s">
        <v>20</v>
      </c>
      <c r="C150" s="6">
        <v>4950</v>
      </c>
      <c r="D150" s="18" t="s">
        <v>713</v>
      </c>
      <c r="E150" s="18" t="s">
        <v>684</v>
      </c>
      <c r="F150" s="18" t="s">
        <v>710</v>
      </c>
      <c r="G150" s="18" t="s">
        <v>277</v>
      </c>
      <c r="H150" s="6">
        <v>2007</v>
      </c>
      <c r="I150" s="18" t="s">
        <v>714</v>
      </c>
      <c r="J150" s="6">
        <v>4950</v>
      </c>
      <c r="K150" s="18" t="s">
        <v>661</v>
      </c>
      <c r="L150" s="18"/>
      <c r="M150" s="18" t="s">
        <v>93</v>
      </c>
      <c r="N150" s="18" t="s">
        <v>28</v>
      </c>
      <c r="O150" s="6">
        <v>291</v>
      </c>
      <c r="P150" s="6">
        <v>0</v>
      </c>
      <c r="Q150" s="6">
        <v>830</v>
      </c>
      <c r="R150" s="6">
        <v>2008</v>
      </c>
      <c r="S150" s="19" t="s">
        <v>252</v>
      </c>
      <c r="T150" s="18"/>
      <c r="V150" s="6" t="str">
        <f t="shared" si="2"/>
        <v>('demo', 'martin@comunas.fm', '4950', 'Pumpwerk', 'T05','ST02-15','C0',2007,'Huttwilwald 1a','4950','Huttwil','ch','chf',291,0,830,2008,'N',null),</v>
      </c>
    </row>
    <row r="151" spans="1:22" x14ac:dyDescent="0.25">
      <c r="A151" s="18" t="s">
        <v>4</v>
      </c>
      <c r="B151" s="18" t="s">
        <v>20</v>
      </c>
      <c r="C151" s="6">
        <v>4950</v>
      </c>
      <c r="D151" s="18" t="s">
        <v>709</v>
      </c>
      <c r="E151" s="18" t="s">
        <v>684</v>
      </c>
      <c r="F151" s="18" t="s">
        <v>710</v>
      </c>
      <c r="G151" s="18" t="s">
        <v>277</v>
      </c>
      <c r="H151" s="6">
        <v>1977</v>
      </c>
      <c r="I151" s="18" t="s">
        <v>715</v>
      </c>
      <c r="J151" s="6">
        <v>4950</v>
      </c>
      <c r="K151" s="18" t="s">
        <v>661</v>
      </c>
      <c r="L151" s="18"/>
      <c r="M151" s="18" t="s">
        <v>93</v>
      </c>
      <c r="N151" s="18" t="s">
        <v>28</v>
      </c>
      <c r="O151" s="6">
        <v>330</v>
      </c>
      <c r="P151" s="6">
        <v>0</v>
      </c>
      <c r="Q151" s="6">
        <v>918</v>
      </c>
      <c r="R151" s="6">
        <v>1978</v>
      </c>
      <c r="S151" s="19" t="s">
        <v>252</v>
      </c>
      <c r="T151" s="18"/>
      <c r="V151" s="6" t="str">
        <f t="shared" si="2"/>
        <v>('demo', 'martin@comunas.fm', '4950', 'Wasserversorgung', 'T05','ST02-15','C0',1977,'Dornackerweg 2a/b','4950','Huttwil','ch','chf',330,0,918,1978,'N',null),</v>
      </c>
    </row>
    <row r="152" spans="1:22" x14ac:dyDescent="0.25">
      <c r="A152" s="18" t="s">
        <v>4</v>
      </c>
      <c r="B152" s="18" t="s">
        <v>20</v>
      </c>
      <c r="C152" s="6">
        <v>4950</v>
      </c>
      <c r="D152" s="18" t="s">
        <v>709</v>
      </c>
      <c r="E152" s="18" t="s">
        <v>684</v>
      </c>
      <c r="F152" s="18" t="s">
        <v>710</v>
      </c>
      <c r="G152" s="18" t="s">
        <v>277</v>
      </c>
      <c r="H152" s="6">
        <v>1934</v>
      </c>
      <c r="I152" s="18" t="s">
        <v>716</v>
      </c>
      <c r="J152" s="6">
        <v>4950</v>
      </c>
      <c r="K152" s="18" t="s">
        <v>661</v>
      </c>
      <c r="L152" s="18"/>
      <c r="M152" s="18" t="s">
        <v>93</v>
      </c>
      <c r="N152" s="18" t="s">
        <v>28</v>
      </c>
      <c r="O152" s="6">
        <v>2540</v>
      </c>
      <c r="P152" s="6">
        <v>0</v>
      </c>
      <c r="Q152" s="6">
        <v>1051</v>
      </c>
      <c r="R152" s="6">
        <v>1979</v>
      </c>
      <c r="S152" s="19" t="s">
        <v>252</v>
      </c>
      <c r="T152" s="18"/>
      <c r="V152" s="6" t="str">
        <f t="shared" si="2"/>
        <v>('demo', 'martin@comunas.fm', '4950', 'Wasserversorgung', 'T05','ST02-15','C0',1934,'innere Schlüecht 5a','4950','Huttwil','ch','chf',2540,0,1051,1979,'N',null),</v>
      </c>
    </row>
    <row r="153" spans="1:22" x14ac:dyDescent="0.25">
      <c r="A153" s="18" t="s">
        <v>4</v>
      </c>
      <c r="B153" s="18" t="s">
        <v>20</v>
      </c>
      <c r="C153" s="6">
        <v>4950</v>
      </c>
      <c r="D153" s="18" t="s">
        <v>709</v>
      </c>
      <c r="E153" s="18" t="s">
        <v>684</v>
      </c>
      <c r="F153" s="18" t="s">
        <v>710</v>
      </c>
      <c r="G153" s="18" t="s">
        <v>277</v>
      </c>
      <c r="H153" s="6">
        <v>1891</v>
      </c>
      <c r="I153" s="18" t="s">
        <v>717</v>
      </c>
      <c r="J153" s="6">
        <v>4950</v>
      </c>
      <c r="K153" s="18" t="s">
        <v>661</v>
      </c>
      <c r="L153" s="18"/>
      <c r="M153" s="18" t="s">
        <v>93</v>
      </c>
      <c r="N153" s="18" t="s">
        <v>28</v>
      </c>
      <c r="O153" s="6">
        <v>1950</v>
      </c>
      <c r="P153" s="6">
        <v>0</v>
      </c>
      <c r="Q153" s="6">
        <v>801</v>
      </c>
      <c r="R153" s="6">
        <v>1979</v>
      </c>
      <c r="S153" s="19" t="s">
        <v>252</v>
      </c>
      <c r="T153" s="18" t="s">
        <v>718</v>
      </c>
      <c r="V153" s="6" t="str">
        <f t="shared" si="2"/>
        <v>('demo', 'martin@comunas.fm', '4950', 'Wasserversorgung', 'T05','ST02-15','C0',1891,'Möhrenweid 1a','4950','Huttwil','ch','chf',1950,0,801,1979,'N','- An diesem Ort gibt es kein Quellwasser mehr.\n- Vor 5-6 Jahren wurden der Boden sowie die Wände renoviert'),</v>
      </c>
    </row>
    <row r="154" spans="1:22" x14ac:dyDescent="0.25">
      <c r="A154" s="18" t="s">
        <v>4</v>
      </c>
      <c r="B154" s="18" t="s">
        <v>20</v>
      </c>
      <c r="C154" s="6">
        <v>4950</v>
      </c>
      <c r="D154" s="18" t="s">
        <v>719</v>
      </c>
      <c r="E154" s="18" t="s">
        <v>402</v>
      </c>
      <c r="F154" s="18" t="s">
        <v>652</v>
      </c>
      <c r="G154" s="18" t="s">
        <v>277</v>
      </c>
      <c r="H154" s="6">
        <v>1946</v>
      </c>
      <c r="I154" s="18" t="s">
        <v>720</v>
      </c>
      <c r="J154" s="6">
        <v>4950</v>
      </c>
      <c r="K154" s="18" t="s">
        <v>661</v>
      </c>
      <c r="L154" s="18"/>
      <c r="M154" s="18" t="s">
        <v>93</v>
      </c>
      <c r="N154" s="18" t="s">
        <v>28</v>
      </c>
      <c r="O154" s="6">
        <v>27</v>
      </c>
      <c r="P154" s="6">
        <v>0</v>
      </c>
      <c r="Q154" s="6">
        <v>11</v>
      </c>
      <c r="R154" s="6">
        <v>1996</v>
      </c>
      <c r="S154" s="19" t="s">
        <v>252</v>
      </c>
      <c r="T154" s="18"/>
      <c r="V154" s="6" t="str">
        <f t="shared" si="2"/>
        <v>('demo', 'martin@comunas.fm', '4950', 'Garage Feuerwehr', 'T13','ST02-14','C0',1946,'Moostrasse 2a','4950','Huttwil','ch','chf',27,0,11,1996,'N',null),</v>
      </c>
    </row>
    <row r="155" spans="1:22" x14ac:dyDescent="0.25">
      <c r="A155" s="18" t="s">
        <v>4</v>
      </c>
      <c r="B155" s="18" t="s">
        <v>20</v>
      </c>
      <c r="C155" s="6">
        <v>8477</v>
      </c>
      <c r="D155" s="18" t="s">
        <v>472</v>
      </c>
      <c r="E155" s="18" t="s">
        <v>275</v>
      </c>
      <c r="F155" s="18" t="s">
        <v>284</v>
      </c>
      <c r="G155" s="18" t="s">
        <v>285</v>
      </c>
      <c r="H155" s="6">
        <v>1954</v>
      </c>
      <c r="I155" s="18" t="s">
        <v>721</v>
      </c>
      <c r="J155" s="6">
        <v>8477</v>
      </c>
      <c r="K155" s="18" t="s">
        <v>722</v>
      </c>
      <c r="L155" s="18"/>
      <c r="M155" s="18" t="s">
        <v>93</v>
      </c>
      <c r="N155" s="18" t="s">
        <v>28</v>
      </c>
      <c r="O155" s="6">
        <v>789</v>
      </c>
      <c r="P155" s="6">
        <v>0</v>
      </c>
      <c r="Q155" s="6">
        <v>456</v>
      </c>
      <c r="R155" s="6">
        <v>2003</v>
      </c>
      <c r="S155" s="19" t="s">
        <v>252</v>
      </c>
      <c r="T155" s="18"/>
      <c r="V155" s="6" t="str">
        <f t="shared" si="2"/>
        <v>('demo', 'martin@comunas.fm', '8477', 'Kindergarten', 'T02','ST01-4','C8',1954,'Hanffeldstrasse 18','8477','Oberstammheim','ch','chf',789,0,456,2003,'N',null),</v>
      </c>
    </row>
    <row r="156" spans="1:22" x14ac:dyDescent="0.25">
      <c r="A156" s="18" t="s">
        <v>4</v>
      </c>
      <c r="B156" s="18" t="s">
        <v>20</v>
      </c>
      <c r="C156" s="6">
        <v>9471</v>
      </c>
      <c r="D156" s="18" t="s">
        <v>723</v>
      </c>
      <c r="E156" s="18" t="s">
        <v>304</v>
      </c>
      <c r="F156" s="18" t="s">
        <v>724</v>
      </c>
      <c r="G156" s="18" t="s">
        <v>277</v>
      </c>
      <c r="H156" s="6">
        <v>2008</v>
      </c>
      <c r="I156" s="18" t="s">
        <v>725</v>
      </c>
      <c r="J156" s="6">
        <v>9471</v>
      </c>
      <c r="K156" s="18" t="s">
        <v>323</v>
      </c>
      <c r="L156" s="18"/>
      <c r="M156" s="18" t="s">
        <v>93</v>
      </c>
      <c r="N156" s="18" t="s">
        <v>28</v>
      </c>
      <c r="O156" s="6">
        <v>4207</v>
      </c>
      <c r="P156" s="6">
        <v>0</v>
      </c>
      <c r="Q156" s="6">
        <v>1914</v>
      </c>
      <c r="R156" s="6">
        <v>2008</v>
      </c>
      <c r="S156" s="19" t="s">
        <v>252</v>
      </c>
      <c r="T156" s="18" t="s">
        <v>726</v>
      </c>
      <c r="V156" s="6" t="str">
        <f t="shared" si="2"/>
        <v>('demo', 'martin@comunas.fm', '9471', 'Clubhaus FC Buchs', 'T12','ST03-22','C0',2008,'Rheinau','9471','Buchs SG','ch','chf',4207,0,1914,2008,'N','Restaurant mit Industrieküche'),</v>
      </c>
    </row>
    <row r="157" spans="1:22" x14ac:dyDescent="0.25">
      <c r="A157" s="18" t="s">
        <v>4</v>
      </c>
      <c r="B157" s="18" t="s">
        <v>20</v>
      </c>
      <c r="C157" s="6">
        <v>9471</v>
      </c>
      <c r="D157" s="18" t="s">
        <v>727</v>
      </c>
      <c r="E157" s="18" t="s">
        <v>304</v>
      </c>
      <c r="F157" s="18" t="s">
        <v>397</v>
      </c>
      <c r="G157" s="18" t="s">
        <v>277</v>
      </c>
      <c r="H157" s="6">
        <v>1997</v>
      </c>
      <c r="I157" s="18" t="s">
        <v>728</v>
      </c>
      <c r="J157" s="6">
        <v>9471</v>
      </c>
      <c r="K157" s="18" t="s">
        <v>323</v>
      </c>
      <c r="L157" s="18"/>
      <c r="M157" s="18" t="s">
        <v>93</v>
      </c>
      <c r="N157" s="18" t="s">
        <v>28</v>
      </c>
      <c r="O157" s="6">
        <v>6121</v>
      </c>
      <c r="P157" s="6">
        <v>0</v>
      </c>
      <c r="Q157" s="6">
        <v>2253</v>
      </c>
      <c r="R157" s="6">
        <v>2008</v>
      </c>
      <c r="S157" s="19" t="s">
        <v>252</v>
      </c>
      <c r="T157" s="18" t="s">
        <v>729</v>
      </c>
      <c r="V157" s="6" t="str">
        <f t="shared" si="2"/>
        <v>('demo', 'martin@comunas.fm', '9471', 'Schiessanlage', 'T12','ST10-45','C0',1997,'Buchersplatz','9471','Buchs SG','ch','chf',6121,0,2253,2008,'N','Restaurant akustisch nicht gut.'),</v>
      </c>
    </row>
    <row r="158" spans="1:22" x14ac:dyDescent="0.25">
      <c r="A158" s="18" t="s">
        <v>4</v>
      </c>
      <c r="B158" s="18" t="s">
        <v>20</v>
      </c>
      <c r="C158" s="6">
        <v>9471</v>
      </c>
      <c r="D158" s="18" t="s">
        <v>730</v>
      </c>
      <c r="E158" s="18" t="s">
        <v>304</v>
      </c>
      <c r="F158" s="18" t="s">
        <v>731</v>
      </c>
      <c r="G158" s="18" t="s">
        <v>277</v>
      </c>
      <c r="H158" s="6">
        <v>1978</v>
      </c>
      <c r="I158" s="18" t="s">
        <v>732</v>
      </c>
      <c r="J158" s="6">
        <v>9471</v>
      </c>
      <c r="K158" s="18" t="s">
        <v>323</v>
      </c>
      <c r="L158" s="18"/>
      <c r="M158" s="18" t="s">
        <v>93</v>
      </c>
      <c r="N158" s="18" t="s">
        <v>28</v>
      </c>
      <c r="O158" s="6">
        <v>3308</v>
      </c>
      <c r="P158" s="6">
        <v>0</v>
      </c>
      <c r="Q158" s="6">
        <v>1342</v>
      </c>
      <c r="R158" s="6">
        <v>2007</v>
      </c>
      <c r="S158" s="19" t="s">
        <v>252</v>
      </c>
      <c r="T158" s="18"/>
      <c r="V158" s="6" t="str">
        <f t="shared" si="2"/>
        <v>('demo', 'martin@comunas.fm', '9471', 'Freibad Rheinau', 'T12','ST05-29','C0',1978,'Buchserau','9471','Buchs SG','ch','chf',3308,0,1342,2007,'N',null),</v>
      </c>
    </row>
    <row r="159" spans="1:22" x14ac:dyDescent="0.25">
      <c r="A159" s="18" t="s">
        <v>4</v>
      </c>
      <c r="B159" s="18" t="s">
        <v>20</v>
      </c>
      <c r="C159" s="6">
        <v>9471</v>
      </c>
      <c r="D159" s="18" t="s">
        <v>733</v>
      </c>
      <c r="E159" s="18" t="s">
        <v>288</v>
      </c>
      <c r="F159" s="18" t="s">
        <v>289</v>
      </c>
      <c r="G159" s="18" t="s">
        <v>290</v>
      </c>
      <c r="H159" s="6">
        <v>1947</v>
      </c>
      <c r="I159" s="18" t="s">
        <v>734</v>
      </c>
      <c r="J159" s="6">
        <v>9471</v>
      </c>
      <c r="K159" s="18" t="s">
        <v>323</v>
      </c>
      <c r="L159" s="18"/>
      <c r="M159" s="18" t="s">
        <v>93</v>
      </c>
      <c r="N159" s="18" t="s">
        <v>28</v>
      </c>
      <c r="O159" s="6">
        <v>1097</v>
      </c>
      <c r="P159" s="6">
        <v>0</v>
      </c>
      <c r="Q159" s="6">
        <v>822</v>
      </c>
      <c r="R159" s="6">
        <v>2014</v>
      </c>
      <c r="S159" s="19" t="s">
        <v>252</v>
      </c>
      <c r="T159" s="18" t="s">
        <v>735</v>
      </c>
      <c r="V159" s="6" t="str">
        <f t="shared" si="2"/>
        <v>('demo', 'martin@comunas.fm', '9471', 'Bezirksgefängnis Wohnhaus', 'T01','ST02-11','C7',1947,'Brunnenweg 1','9471','Buchs SG','ch','chf',1097,0,822,2014,'N','Das Gebäude steht wahrscheinlich unter Schutz. Erhaltenswerte Bauteile (auch Fenster und Beschläge) sind mit der Kant. Denkmalpflege abzuklären.\nBad mit Metallfenster im UG\nAngebauter Holzschuppen'),</v>
      </c>
    </row>
    <row r="160" spans="1:22" x14ac:dyDescent="0.25">
      <c r="A160" s="18" t="s">
        <v>4</v>
      </c>
      <c r="B160" s="18" t="s">
        <v>20</v>
      </c>
      <c r="C160" s="6">
        <v>8104</v>
      </c>
      <c r="D160" s="18" t="s">
        <v>249</v>
      </c>
      <c r="E160" s="18" t="s">
        <v>288</v>
      </c>
      <c r="F160" s="18" t="s">
        <v>543</v>
      </c>
      <c r="G160" s="18" t="s">
        <v>277</v>
      </c>
      <c r="H160" s="6">
        <v>1963</v>
      </c>
      <c r="I160" s="18" t="s">
        <v>736</v>
      </c>
      <c r="J160" s="6">
        <v>8104</v>
      </c>
      <c r="K160" s="18" t="s">
        <v>737</v>
      </c>
      <c r="L160" s="18"/>
      <c r="M160" s="18" t="s">
        <v>93</v>
      </c>
      <c r="N160" s="18" t="s">
        <v>28</v>
      </c>
      <c r="O160" s="6">
        <v>1753</v>
      </c>
      <c r="P160" s="6">
        <v>340</v>
      </c>
      <c r="Q160" s="6">
        <v>1940</v>
      </c>
      <c r="R160" s="6">
        <v>2013</v>
      </c>
      <c r="S160" s="19" t="s">
        <v>252</v>
      </c>
      <c r="T160" s="18"/>
      <c r="V160" s="6" t="str">
        <f t="shared" si="2"/>
        <v>('demo', 'martin@comunas.fm', '8104', 'Villa', 'T01','ST05-26','C0',1963,'Haslernstrasse 20','8104','Weiningen','ch','chf',1753,340,1940,2013,'N',null),</v>
      </c>
    </row>
    <row r="161" spans="1:22" x14ac:dyDescent="0.25">
      <c r="A161" s="18" t="s">
        <v>4</v>
      </c>
      <c r="B161" s="18" t="s">
        <v>20</v>
      </c>
      <c r="C161" s="6">
        <v>8335</v>
      </c>
      <c r="D161" s="18" t="s">
        <v>738</v>
      </c>
      <c r="E161" s="18" t="s">
        <v>275</v>
      </c>
      <c r="F161" s="18" t="s">
        <v>276</v>
      </c>
      <c r="G161" s="18" t="s">
        <v>294</v>
      </c>
      <c r="H161" s="6">
        <v>1989</v>
      </c>
      <c r="I161" s="18" t="s">
        <v>739</v>
      </c>
      <c r="J161" s="6">
        <v>8335</v>
      </c>
      <c r="K161" s="18" t="s">
        <v>740</v>
      </c>
      <c r="L161" s="18"/>
      <c r="M161" s="18" t="s">
        <v>93</v>
      </c>
      <c r="N161" s="18" t="s">
        <v>28</v>
      </c>
      <c r="O161" s="6">
        <v>7330</v>
      </c>
      <c r="P161" s="6">
        <v>0</v>
      </c>
      <c r="Q161" s="6">
        <v>4853</v>
      </c>
      <c r="R161" s="6">
        <v>2017</v>
      </c>
      <c r="S161" s="19" t="s">
        <v>252</v>
      </c>
      <c r="T161" s="18" t="s">
        <v>741</v>
      </c>
      <c r="V161" s="6" t="str">
        <f t="shared" si="2"/>
        <v>('demo', 'martin@comunas.fm', '8335', 'Hermetsbüel Primar', 'T02','ST02-12','C9',1989,'Hermetsbüelweg 16','8335','Hittnau','ch','chf',7330,0,4853,2017,'N','* Risse im Mauerwerk beobachten!\n**Wassereintritt bei der Dachuntersicht, möglicherweise von der darüber liegenden Rinne.'),</v>
      </c>
    </row>
    <row r="162" spans="1:22" x14ac:dyDescent="0.25">
      <c r="A162" s="18" t="s">
        <v>4</v>
      </c>
      <c r="B162" s="18" t="s">
        <v>20</v>
      </c>
      <c r="C162" s="6">
        <v>8476</v>
      </c>
      <c r="D162" s="18" t="s">
        <v>677</v>
      </c>
      <c r="E162" s="18" t="s">
        <v>275</v>
      </c>
      <c r="F162" s="18" t="s">
        <v>276</v>
      </c>
      <c r="G162" s="18" t="s">
        <v>294</v>
      </c>
      <c r="H162" s="6">
        <v>1969</v>
      </c>
      <c r="I162" s="18" t="s">
        <v>742</v>
      </c>
      <c r="J162" s="6">
        <v>8476</v>
      </c>
      <c r="K162" s="18" t="s">
        <v>673</v>
      </c>
      <c r="L162" s="18"/>
      <c r="M162" s="18" t="s">
        <v>93</v>
      </c>
      <c r="N162" s="18" t="s">
        <v>28</v>
      </c>
      <c r="O162" s="6">
        <v>13710</v>
      </c>
      <c r="P162" s="6">
        <v>0</v>
      </c>
      <c r="Q162" s="6">
        <v>7728</v>
      </c>
      <c r="R162" s="6">
        <v>2003</v>
      </c>
      <c r="S162" s="19" t="s">
        <v>252</v>
      </c>
      <c r="T162" s="18" t="s">
        <v>743</v>
      </c>
      <c r="V162" s="6" t="str">
        <f t="shared" si="2"/>
        <v>('demo', 'martin@comunas.fm', '8476', 'Schulhausanlage', 'T02','ST02-12','C9',1969,'Bahnhofstrasse 8','8476','Unterstammheim','ch','chf',13710,0,7728,2003,'N','- Baujahr Anbau: (''03)\n- Anbau Süd (KZ) mit TH (''02) und Bibliothek\n- Velounterstand: Sichtbeton, Metalldach (wurde erneuert da altes Glasdach defekt)\n- überdachter Pausenbereich: soll bei Sanierung neu gemacht werden, Gläser tw. zersprungen und undicht, Gläser können nicht gut gereinigt werden, im Sommer staut sich die Hitze unter dem Dach\n- Schulküchen im ''08 saniert, Boden aus Kautschuk mit Antirutschbeschichtung, muss neu gemacht werden\n- Geländerhöhe 90cm\n- Staketenabstand: 14.5 cm, zu breit!\n\nGerätehaus: Flachdach, Kiesklebdach, Untersichten aus Holz, Elektro: Licht, Steckdosen; in gutem Zustand\n\n- Begehung mit Herrn B.Frei (Hauswart)'),</v>
      </c>
    </row>
    <row r="163" spans="1:22" x14ac:dyDescent="0.25">
      <c r="A163" s="18" t="s">
        <v>4</v>
      </c>
      <c r="B163" s="18" t="s">
        <v>20</v>
      </c>
      <c r="C163" s="6">
        <v>8006</v>
      </c>
      <c r="D163" s="18" t="s">
        <v>744</v>
      </c>
      <c r="E163" s="18" t="s">
        <v>288</v>
      </c>
      <c r="F163" s="18" t="s">
        <v>289</v>
      </c>
      <c r="G163" s="18" t="s">
        <v>290</v>
      </c>
      <c r="H163" s="6">
        <v>1952</v>
      </c>
      <c r="I163" s="18" t="s">
        <v>745</v>
      </c>
      <c r="J163" s="6">
        <v>8006</v>
      </c>
      <c r="K163" s="18" t="s">
        <v>97</v>
      </c>
      <c r="L163" s="18"/>
      <c r="M163" s="18" t="s">
        <v>93</v>
      </c>
      <c r="N163" s="18" t="s">
        <v>28</v>
      </c>
      <c r="O163" s="6">
        <v>5424</v>
      </c>
      <c r="P163" s="6">
        <v>369</v>
      </c>
      <c r="Q163" s="6">
        <v>3930</v>
      </c>
      <c r="R163" s="6">
        <v>1995</v>
      </c>
      <c r="S163" s="19" t="s">
        <v>252</v>
      </c>
      <c r="T163" s="18" t="s">
        <v>746</v>
      </c>
      <c r="V163" s="6" t="str">
        <f t="shared" si="2"/>
        <v>('demo', 'martin@comunas.fm', '8006', 'MFH Sonnegg 42 + 44', 'T01','ST02-11','C7',1952,'Sonneggstrasse 42 + 44','8006','Zürich','ch','chf',5424,369,3930,1995,'N','UG: Im Putz sind einzelne Abplatzungen und Rostflecken auf dem Boden und an den Wänden vorhanden. Zudem ist ein grösserer Riss sichtbar.\n- Im Keller dringt Wasser ein.'),</v>
      </c>
    </row>
    <row r="164" spans="1:22" x14ac:dyDescent="0.25">
      <c r="A164" s="18" t="s">
        <v>4</v>
      </c>
      <c r="B164" s="18" t="s">
        <v>20</v>
      </c>
      <c r="C164" s="6">
        <v>8476</v>
      </c>
      <c r="D164" s="18" t="s">
        <v>426</v>
      </c>
      <c r="E164" s="18" t="s">
        <v>275</v>
      </c>
      <c r="F164" s="18" t="s">
        <v>276</v>
      </c>
      <c r="G164" s="18" t="s">
        <v>427</v>
      </c>
      <c r="H164" s="6">
        <v>2003</v>
      </c>
      <c r="I164" s="18" t="s">
        <v>742</v>
      </c>
      <c r="J164" s="6">
        <v>8476</v>
      </c>
      <c r="K164" s="18" t="s">
        <v>673</v>
      </c>
      <c r="L164" s="18"/>
      <c r="M164" s="18" t="s">
        <v>93</v>
      </c>
      <c r="N164" s="18" t="s">
        <v>28</v>
      </c>
      <c r="O164" s="6">
        <v>9813</v>
      </c>
      <c r="P164" s="6">
        <v>0</v>
      </c>
      <c r="Q164" s="6">
        <v>2516</v>
      </c>
      <c r="R164" s="6">
        <v>2003</v>
      </c>
      <c r="S164" s="19" t="s">
        <v>252</v>
      </c>
      <c r="T164" s="18" t="s">
        <v>747</v>
      </c>
      <c r="V164" s="6" t="str">
        <f t="shared" si="2"/>
        <v>('demo', 'martin@comunas.fm', '8476', 'Sporthalle', 'T02','ST02-12','C33',2003,'Bahnhofstrasse 8','8476','Unterstammheim','ch','chf',9813,0,2516,2003,'N','- vor Haupteingang auf Platz wurden neu Rillen für Wasserabfluss gemacht (CHF 10`000), da vorher bei starkem Regen Wasser durch die Tür ins Innere floss\n\n- Begehung mit Herrn B. Frei (Hauswart)'),</v>
      </c>
    </row>
    <row r="165" spans="1:22" x14ac:dyDescent="0.25">
      <c r="A165" s="18" t="s">
        <v>4</v>
      </c>
      <c r="B165" s="18" t="s">
        <v>20</v>
      </c>
      <c r="C165" s="6">
        <v>9471</v>
      </c>
      <c r="D165" s="18" t="s">
        <v>419</v>
      </c>
      <c r="E165" s="18" t="s">
        <v>391</v>
      </c>
      <c r="F165" s="18" t="s">
        <v>420</v>
      </c>
      <c r="G165" s="18" t="s">
        <v>748</v>
      </c>
      <c r="H165" s="6">
        <v>1968</v>
      </c>
      <c r="I165" s="18" t="s">
        <v>749</v>
      </c>
      <c r="J165" s="6">
        <v>9471</v>
      </c>
      <c r="K165" s="18" t="s">
        <v>323</v>
      </c>
      <c r="L165" s="18"/>
      <c r="M165" s="18" t="s">
        <v>93</v>
      </c>
      <c r="N165" s="18" t="s">
        <v>28</v>
      </c>
      <c r="O165" s="6">
        <v>11240</v>
      </c>
      <c r="P165" s="6">
        <v>0</v>
      </c>
      <c r="Q165" s="6">
        <v>8121</v>
      </c>
      <c r="R165" s="6">
        <v>2014</v>
      </c>
      <c r="S165" s="19" t="s">
        <v>252</v>
      </c>
      <c r="T165" s="18" t="s">
        <v>750</v>
      </c>
      <c r="V165" s="6" t="str">
        <f t="shared" si="2"/>
        <v>('demo', 'martin@comunas.fm', '9471', 'Rathaus', 'T06','ST07-40','C22',1968,'St. Gallerstrasse 2','9471','Buchs SG','ch','chf',11240,0,8121,2014,'N','Klimagerät wurde aufgehängt im Serverraum.\nGeländer 95cm.\n1.OG: 2011 Schalter Einbau'),</v>
      </c>
    </row>
    <row r="166" spans="1:22" x14ac:dyDescent="0.25">
      <c r="A166" s="18" t="s">
        <v>4</v>
      </c>
      <c r="B166" s="18" t="s">
        <v>20</v>
      </c>
      <c r="C166" s="6">
        <v>5620</v>
      </c>
      <c r="D166" s="18" t="s">
        <v>651</v>
      </c>
      <c r="E166" s="18" t="s">
        <v>402</v>
      </c>
      <c r="F166" s="18" t="s">
        <v>652</v>
      </c>
      <c r="G166" s="18" t="s">
        <v>751</v>
      </c>
      <c r="H166" s="6">
        <v>1985</v>
      </c>
      <c r="I166" s="18" t="s">
        <v>513</v>
      </c>
      <c r="J166" s="6">
        <v>5620</v>
      </c>
      <c r="K166" s="18" t="s">
        <v>316</v>
      </c>
      <c r="L166" s="18"/>
      <c r="M166" s="18" t="s">
        <v>93</v>
      </c>
      <c r="N166" s="18" t="s">
        <v>28</v>
      </c>
      <c r="O166" s="6">
        <v>35355</v>
      </c>
      <c r="P166" s="6">
        <v>0</v>
      </c>
      <c r="Q166" s="6">
        <v>11231</v>
      </c>
      <c r="R166" s="6">
        <v>2010</v>
      </c>
      <c r="S166" s="19" t="s">
        <v>252</v>
      </c>
      <c r="T166" s="18" t="s">
        <v>752</v>
      </c>
      <c r="V166" s="6" t="str">
        <f t="shared" si="2"/>
        <v>('demo', 'martin@comunas.fm', '5620', 'Parkgarage', 'T13','ST02-14','C36',1985,'Obertorplatz','5620','Bremgarten','ch','chf',35355,0,11231,2010,'N','Stadt ist Mehrheitsaktionärin\nIm 4. UG Raum bei der Treppe sind Spuren von Feuchtigkeitsschäden vorhanden (bereits behoben?).\nDie 6 Oblichter über der Ausfahrt sind undicht (Hagelschäden), die Öffnungen werden zugemauert.\nTreppengeländer nicht konform\nTreppe beim Brunnen verrostet wegen der für den Brunnen verwendeten Säure\nRaum Swisscom (Unterhalt durch Swisscom)\nSchutzraum mit Küche und Wassertank\nDiv. Räume sind vermietet (und konnten tw. nicht besichtigt werden)'),</v>
      </c>
    </row>
    <row r="167" spans="1:22" x14ac:dyDescent="0.25">
      <c r="A167" s="18" t="s">
        <v>4</v>
      </c>
      <c r="B167" s="18" t="s">
        <v>20</v>
      </c>
      <c r="C167" s="6">
        <v>8335</v>
      </c>
      <c r="D167" s="18" t="s">
        <v>753</v>
      </c>
      <c r="E167" s="18" t="s">
        <v>304</v>
      </c>
      <c r="F167" s="18" t="s">
        <v>305</v>
      </c>
      <c r="G167" s="18" t="s">
        <v>294</v>
      </c>
      <c r="H167" s="6">
        <v>2010</v>
      </c>
      <c r="I167" s="18" t="s">
        <v>754</v>
      </c>
      <c r="J167" s="6">
        <v>8335</v>
      </c>
      <c r="K167" s="18" t="s">
        <v>740</v>
      </c>
      <c r="L167" s="18"/>
      <c r="M167" s="18" t="s">
        <v>93</v>
      </c>
      <c r="N167" s="18" t="s">
        <v>28</v>
      </c>
      <c r="O167" s="6">
        <v>17239</v>
      </c>
      <c r="P167" s="6">
        <v>0</v>
      </c>
      <c r="Q167" s="6">
        <v>7931</v>
      </c>
      <c r="R167" s="6">
        <v>2011</v>
      </c>
      <c r="S167" s="19" t="s">
        <v>252</v>
      </c>
      <c r="T167" s="18"/>
      <c r="V167" s="6" t="str">
        <f t="shared" si="2"/>
        <v>('demo', 'martin@comunas.fm', '8335', 'Mehrzweckhalle', 'T12','ST01-9','C9',2010,'Jakob Stutz-Str 60','8335','Hittnau','ch','chf',17239,0,7931,2011,'N',null),</v>
      </c>
    </row>
    <row r="168" spans="1:22" x14ac:dyDescent="0.25">
      <c r="A168" s="18" t="s">
        <v>4</v>
      </c>
      <c r="B168" s="18" t="s">
        <v>20</v>
      </c>
      <c r="C168" s="6">
        <v>8335</v>
      </c>
      <c r="D168" s="18" t="s">
        <v>755</v>
      </c>
      <c r="E168" s="18" t="s">
        <v>288</v>
      </c>
      <c r="F168" s="18" t="s">
        <v>543</v>
      </c>
      <c r="G168" s="18" t="s">
        <v>599</v>
      </c>
      <c r="H168" s="6">
        <v>1993</v>
      </c>
      <c r="I168" s="18" t="s">
        <v>756</v>
      </c>
      <c r="J168" s="6">
        <v>8335</v>
      </c>
      <c r="K168" s="18" t="s">
        <v>740</v>
      </c>
      <c r="L168" s="18"/>
      <c r="M168" s="18" t="s">
        <v>93</v>
      </c>
      <c r="N168" s="18" t="s">
        <v>28</v>
      </c>
      <c r="O168" s="6">
        <v>1112</v>
      </c>
      <c r="P168" s="6">
        <v>0</v>
      </c>
      <c r="Q168" s="6">
        <v>820</v>
      </c>
      <c r="R168" s="6">
        <v>2006</v>
      </c>
      <c r="S168" s="19" t="s">
        <v>252</v>
      </c>
      <c r="T168" s="18"/>
      <c r="V168" s="6" t="str">
        <f t="shared" si="2"/>
        <v>('demo', 'martin@comunas.fm', '8335', 'Hauswartwohnung', 'T01','ST05-26','C6',1993,'Hermetsbüelweg 8','8335','Hittnau','ch','chf',1112,0,820,2006,'N',null),</v>
      </c>
    </row>
    <row r="169" spans="1:22" x14ac:dyDescent="0.25">
      <c r="A169" s="18" t="s">
        <v>4</v>
      </c>
      <c r="B169" s="18" t="s">
        <v>20</v>
      </c>
      <c r="C169" s="6">
        <v>8335</v>
      </c>
      <c r="D169" s="18" t="s">
        <v>757</v>
      </c>
      <c r="E169" s="18" t="s">
        <v>304</v>
      </c>
      <c r="F169" s="18" t="s">
        <v>305</v>
      </c>
      <c r="G169" s="18" t="s">
        <v>294</v>
      </c>
      <c r="H169" s="6">
        <v>1983</v>
      </c>
      <c r="I169" s="18" t="s">
        <v>758</v>
      </c>
      <c r="J169" s="6">
        <v>8335</v>
      </c>
      <c r="K169" s="18" t="s">
        <v>740</v>
      </c>
      <c r="L169" s="18"/>
      <c r="M169" s="18" t="s">
        <v>93</v>
      </c>
      <c r="N169" s="18" t="s">
        <v>28</v>
      </c>
      <c r="O169" s="6">
        <v>7977</v>
      </c>
      <c r="P169" s="6">
        <v>0</v>
      </c>
      <c r="Q169" s="6">
        <v>5706</v>
      </c>
      <c r="R169" s="6">
        <v>2008</v>
      </c>
      <c r="S169" s="19" t="s">
        <v>252</v>
      </c>
      <c r="T169" s="18" t="s">
        <v>759</v>
      </c>
      <c r="V169" s="6" t="str">
        <f t="shared" si="2"/>
        <v>('demo', 'martin@comunas.fm', '8335', 'Turnhalle Hermetsbüel', 'T12','ST01-9','C9',1983,'Hermetsbüelweg 24','8335','Hittnau','ch','chf',7977,0,5706,2008,'N','Gebäude wurde im 2010 umfassend saniert.\nEntlüftung WC wird saniert.'),</v>
      </c>
    </row>
    <row r="170" spans="1:22" x14ac:dyDescent="0.25">
      <c r="A170" s="18" t="s">
        <v>4</v>
      </c>
      <c r="B170" s="18" t="s">
        <v>20</v>
      </c>
      <c r="C170" s="6">
        <v>8335</v>
      </c>
      <c r="D170" s="18" t="s">
        <v>760</v>
      </c>
      <c r="E170" s="18" t="s">
        <v>275</v>
      </c>
      <c r="F170" s="18" t="s">
        <v>276</v>
      </c>
      <c r="G170" s="18" t="s">
        <v>294</v>
      </c>
      <c r="H170" s="6">
        <v>2003</v>
      </c>
      <c r="I170" s="18" t="s">
        <v>761</v>
      </c>
      <c r="J170" s="6">
        <v>8335</v>
      </c>
      <c r="K170" s="18" t="s">
        <v>740</v>
      </c>
      <c r="L170" s="18"/>
      <c r="M170" s="18" t="s">
        <v>93</v>
      </c>
      <c r="N170" s="18" t="s">
        <v>28</v>
      </c>
      <c r="O170" s="6">
        <v>5912</v>
      </c>
      <c r="P170" s="6">
        <v>0</v>
      </c>
      <c r="Q170" s="6">
        <v>4407</v>
      </c>
      <c r="R170" s="6">
        <v>2003</v>
      </c>
      <c r="S170" s="19" t="s">
        <v>252</v>
      </c>
      <c r="T170" s="18"/>
      <c r="V170" s="6" t="str">
        <f t="shared" si="2"/>
        <v>('demo', 'martin@comunas.fm', '8335', 'Dorfschule', 'T02','ST02-12','C9',2003,'Hermetsbüelweg 9','8335','Hittnau','ch','chf',5912,0,4407,2003,'N',null),</v>
      </c>
    </row>
    <row r="171" spans="1:22" x14ac:dyDescent="0.25">
      <c r="A171" s="18" t="s">
        <v>4</v>
      </c>
      <c r="B171" s="18" t="s">
        <v>20</v>
      </c>
      <c r="C171" s="6">
        <v>8335</v>
      </c>
      <c r="D171" s="18" t="s">
        <v>762</v>
      </c>
      <c r="E171" s="18" t="s">
        <v>275</v>
      </c>
      <c r="F171" s="18" t="s">
        <v>284</v>
      </c>
      <c r="G171" s="18" t="s">
        <v>290</v>
      </c>
      <c r="H171" s="6">
        <v>1879</v>
      </c>
      <c r="I171" s="18" t="s">
        <v>763</v>
      </c>
      <c r="J171" s="6">
        <v>8335</v>
      </c>
      <c r="K171" s="18" t="s">
        <v>740</v>
      </c>
      <c r="L171" s="18"/>
      <c r="M171" s="18" t="s">
        <v>93</v>
      </c>
      <c r="N171" s="18" t="s">
        <v>28</v>
      </c>
      <c r="O171" s="6">
        <v>2321</v>
      </c>
      <c r="P171" s="6">
        <v>0</v>
      </c>
      <c r="Q171" s="6">
        <v>1742</v>
      </c>
      <c r="R171" s="6">
        <v>2004</v>
      </c>
      <c r="S171" s="19" t="s">
        <v>252</v>
      </c>
      <c r="T171" s="18" t="s">
        <v>764</v>
      </c>
      <c r="V171" s="6" t="str">
        <f t="shared" si="2"/>
        <v>('demo', 'martin@comunas.fm', '8335', 'Kiga Oberhittnau, Wohnung/Garage', 'T02','ST01-4','C7',1879,'Wetzikerstrasse 20','8335','Hittnau','ch','chf',2321,0,1742,2004,'N','Über dem Eingang sind die Jahreszahlen 1879 und 1932 angeschrieben. Möglicherweise wurde das Schulhaus 1932 umgebaut.'),</v>
      </c>
    </row>
    <row r="172" spans="1:22" x14ac:dyDescent="0.25">
      <c r="A172" s="18" t="s">
        <v>4</v>
      </c>
      <c r="B172" s="18" t="s">
        <v>20</v>
      </c>
      <c r="C172" s="6">
        <v>8335</v>
      </c>
      <c r="D172" s="18" t="s">
        <v>765</v>
      </c>
      <c r="E172" s="18" t="s">
        <v>288</v>
      </c>
      <c r="F172" s="18" t="s">
        <v>289</v>
      </c>
      <c r="G172" s="18" t="s">
        <v>290</v>
      </c>
      <c r="H172" s="6">
        <v>1845</v>
      </c>
      <c r="I172" s="18" t="s">
        <v>766</v>
      </c>
      <c r="J172" s="6">
        <v>8335</v>
      </c>
      <c r="K172" s="18" t="s">
        <v>740</v>
      </c>
      <c r="L172" s="18"/>
      <c r="M172" s="18" t="s">
        <v>93</v>
      </c>
      <c r="N172" s="18" t="s">
        <v>28</v>
      </c>
      <c r="O172" s="6">
        <v>1449</v>
      </c>
      <c r="P172" s="6">
        <v>0</v>
      </c>
      <c r="Q172" s="6">
        <v>1200</v>
      </c>
      <c r="R172" s="6">
        <v>2012</v>
      </c>
      <c r="S172" s="19" t="s">
        <v>252</v>
      </c>
      <c r="T172" s="18" t="s">
        <v>767</v>
      </c>
      <c r="V172" s="6" t="str">
        <f t="shared" si="2"/>
        <v>('demo', 'martin@comunas.fm', '8335', 'Kiga Unterhittnau und Wohnung', 'T01','ST02-11','C7',1845,'Jakob Stutz-Str. 7','8335','Hittnau','ch','chf',1449,0,1200,2012,'N','Garagen mit Flachdach ext. begrünt'),</v>
      </c>
    </row>
    <row r="173" spans="1:22" x14ac:dyDescent="0.25">
      <c r="A173" s="18" t="s">
        <v>4</v>
      </c>
      <c r="B173" s="18" t="s">
        <v>20</v>
      </c>
      <c r="C173" s="6">
        <v>8335</v>
      </c>
      <c r="D173" s="18" t="s">
        <v>768</v>
      </c>
      <c r="E173" s="18" t="s">
        <v>275</v>
      </c>
      <c r="F173" s="18" t="s">
        <v>284</v>
      </c>
      <c r="G173" s="18" t="s">
        <v>285</v>
      </c>
      <c r="H173" s="6">
        <v>1998</v>
      </c>
      <c r="I173" s="18" t="s">
        <v>769</v>
      </c>
      <c r="J173" s="6">
        <v>8335</v>
      </c>
      <c r="K173" s="18" t="s">
        <v>740</v>
      </c>
      <c r="L173" s="18"/>
      <c r="M173" s="18" t="s">
        <v>93</v>
      </c>
      <c r="N173" s="18" t="s">
        <v>28</v>
      </c>
      <c r="O173" s="6">
        <v>867</v>
      </c>
      <c r="P173" s="6">
        <v>0</v>
      </c>
      <c r="Q173" s="6">
        <v>550</v>
      </c>
      <c r="R173" s="6">
        <v>2012</v>
      </c>
      <c r="S173" s="19" t="s">
        <v>252</v>
      </c>
      <c r="T173" s="18"/>
      <c r="V173" s="6" t="str">
        <f t="shared" si="2"/>
        <v>('demo', 'martin@comunas.fm', '8335', 'Kiga Sonne', 'T02','ST01-4','C8',1998,'Jakob Stutz-Str 7A','8335','Hittnau','ch','chf',867,0,550,2012,'N',null),</v>
      </c>
    </row>
    <row r="174" spans="1:22" x14ac:dyDescent="0.25">
      <c r="A174" s="18" t="s">
        <v>4</v>
      </c>
      <c r="B174" s="18" t="s">
        <v>20</v>
      </c>
      <c r="C174" s="6">
        <v>8444</v>
      </c>
      <c r="D174" s="18" t="s">
        <v>770</v>
      </c>
      <c r="E174" s="18" t="s">
        <v>391</v>
      </c>
      <c r="F174" s="18" t="s">
        <v>771</v>
      </c>
      <c r="G174" s="18" t="s">
        <v>772</v>
      </c>
      <c r="H174" s="6">
        <v>0</v>
      </c>
      <c r="I174" s="18"/>
      <c r="J174" s="6">
        <v>8444</v>
      </c>
      <c r="K174" s="18" t="s">
        <v>773</v>
      </c>
      <c r="L174" s="18"/>
      <c r="M174" s="18" t="s">
        <v>93</v>
      </c>
      <c r="N174" s="18" t="s">
        <v>28</v>
      </c>
      <c r="O174" s="6">
        <v>0</v>
      </c>
      <c r="P174" s="6">
        <v>0</v>
      </c>
      <c r="Q174" s="6">
        <v>0</v>
      </c>
      <c r="R174" s="6">
        <v>0</v>
      </c>
      <c r="S174" s="19" t="s">
        <v>252</v>
      </c>
      <c r="T174" s="18"/>
      <c r="V174" s="6" t="str">
        <f t="shared" si="2"/>
        <v>('demo', 'martin@comunas.fm', '8444', 'altes Postlokal', 'T06','ST02-10','C20',0,null,'8444','Henggart','ch','chf',0,0,0,0,'N',null),</v>
      </c>
    </row>
    <row r="175" spans="1:22" x14ac:dyDescent="0.25">
      <c r="A175" s="18" t="s">
        <v>4</v>
      </c>
      <c r="B175" s="18" t="s">
        <v>20</v>
      </c>
      <c r="C175" s="6">
        <v>4950</v>
      </c>
      <c r="D175" s="18" t="s">
        <v>342</v>
      </c>
      <c r="E175" s="18" t="s">
        <v>288</v>
      </c>
      <c r="F175" s="18" t="s">
        <v>289</v>
      </c>
      <c r="G175" s="18" t="s">
        <v>290</v>
      </c>
      <c r="H175" s="6">
        <v>1902</v>
      </c>
      <c r="I175" s="18" t="s">
        <v>774</v>
      </c>
      <c r="J175" s="6">
        <v>4950</v>
      </c>
      <c r="K175" s="18" t="s">
        <v>661</v>
      </c>
      <c r="L175" s="18"/>
      <c r="M175" s="18" t="s">
        <v>93</v>
      </c>
      <c r="N175" s="18" t="s">
        <v>28</v>
      </c>
      <c r="O175" s="6">
        <v>2300</v>
      </c>
      <c r="P175" s="6">
        <v>0</v>
      </c>
      <c r="Q175" s="6">
        <v>1354</v>
      </c>
      <c r="R175" s="6">
        <v>1999</v>
      </c>
      <c r="S175" s="19" t="s">
        <v>252</v>
      </c>
      <c r="T175" s="18"/>
      <c r="V175" s="6" t="str">
        <f t="shared" si="2"/>
        <v>('demo', 'martin@comunas.fm', '4950', 'Wohn- und Geschäftshaus', 'T01','ST02-11','C7',1902,'Bahnhofstrasse 4','4950','Huttwil','ch','chf',2300,0,1354,1999,'N',null),</v>
      </c>
    </row>
    <row r="176" spans="1:22" x14ac:dyDescent="0.25">
      <c r="A176" s="18" t="s">
        <v>4</v>
      </c>
      <c r="B176" s="18" t="s">
        <v>20</v>
      </c>
      <c r="C176" s="6">
        <v>4950</v>
      </c>
      <c r="D176" s="18" t="s">
        <v>342</v>
      </c>
      <c r="E176" s="18" t="s">
        <v>288</v>
      </c>
      <c r="F176" s="18" t="s">
        <v>289</v>
      </c>
      <c r="G176" s="18" t="s">
        <v>290</v>
      </c>
      <c r="H176" s="6">
        <v>1876</v>
      </c>
      <c r="I176" s="18" t="s">
        <v>775</v>
      </c>
      <c r="J176" s="6">
        <v>4950</v>
      </c>
      <c r="K176" s="18" t="s">
        <v>661</v>
      </c>
      <c r="L176" s="18"/>
      <c r="M176" s="18" t="s">
        <v>93</v>
      </c>
      <c r="N176" s="18" t="s">
        <v>28</v>
      </c>
      <c r="O176" s="6">
        <v>3600</v>
      </c>
      <c r="P176" s="6">
        <v>0</v>
      </c>
      <c r="Q176" s="6">
        <v>2200</v>
      </c>
      <c r="R176" s="6">
        <v>2015</v>
      </c>
      <c r="S176" s="19" t="s">
        <v>252</v>
      </c>
      <c r="T176" s="18" t="s">
        <v>776</v>
      </c>
      <c r="V176" s="6" t="str">
        <f t="shared" si="2"/>
        <v>('demo', 'martin@comunas.fm', '4950', 'Wohn- und Geschäftshaus', 'T01','ST02-11','C7',1876,'Bahnhofstrasse 6','4950','Huttwil','ch','chf',3600,0,2200,2015,'N','Garagen angebaut\nDie Büros und das Dachgeschoss wurden komplett saniert. Der Ausbau ist daher in einem sehr guten Zustand.'),</v>
      </c>
    </row>
    <row r="177" spans="1:22" x14ac:dyDescent="0.25">
      <c r="A177" s="18" t="s">
        <v>4</v>
      </c>
      <c r="B177" s="18" t="s">
        <v>20</v>
      </c>
      <c r="C177" s="6">
        <v>4950</v>
      </c>
      <c r="D177" s="18" t="s">
        <v>777</v>
      </c>
      <c r="E177" s="18" t="s">
        <v>684</v>
      </c>
      <c r="F177" s="18" t="s">
        <v>778</v>
      </c>
      <c r="G177" s="18" t="s">
        <v>445</v>
      </c>
      <c r="H177" s="6">
        <v>1961</v>
      </c>
      <c r="I177" s="18" t="s">
        <v>779</v>
      </c>
      <c r="J177" s="6">
        <v>4950</v>
      </c>
      <c r="K177" s="18" t="s">
        <v>661</v>
      </c>
      <c r="L177" s="18"/>
      <c r="M177" s="18" t="s">
        <v>93</v>
      </c>
      <c r="N177" s="18" t="s">
        <v>28</v>
      </c>
      <c r="O177" s="6">
        <v>833</v>
      </c>
      <c r="P177" s="6">
        <v>0</v>
      </c>
      <c r="Q177" s="6">
        <v>39</v>
      </c>
      <c r="R177" s="6">
        <v>1996</v>
      </c>
      <c r="S177" s="19" t="s">
        <v>252</v>
      </c>
      <c r="T177" s="18" t="s">
        <v>780</v>
      </c>
      <c r="V177" s="6" t="str">
        <f t="shared" si="2"/>
        <v>('demo', 'martin@comunas.fm', '4950', 'Garagen / Tankraum / Parkplatz', 'T05','ST04-24','C35',1961,'Marktgasse 5b','4950','Huttwil','ch','chf',833,0,39,1996,'N','- Die Garage mit der Nr. 5d enthält einen Öltank.\n- Garage 5c: wesentlicher Schaden, über die Dilatationsfuge dringt Wasser ein\n- Die Garagen sind gefüllt mit verschiedenen Materialien (Stromkabel etc.)'),</v>
      </c>
    </row>
    <row r="178" spans="1:22" x14ac:dyDescent="0.25">
      <c r="A178" s="18" t="s">
        <v>4</v>
      </c>
      <c r="B178" s="18" t="s">
        <v>20</v>
      </c>
      <c r="C178" s="6">
        <v>4950</v>
      </c>
      <c r="D178" s="18" t="s">
        <v>781</v>
      </c>
      <c r="E178" s="18" t="s">
        <v>304</v>
      </c>
      <c r="F178" s="18" t="s">
        <v>305</v>
      </c>
      <c r="G178" s="18" t="s">
        <v>427</v>
      </c>
      <c r="H178" s="6">
        <v>1958</v>
      </c>
      <c r="I178" s="18" t="s">
        <v>782</v>
      </c>
      <c r="J178" s="6">
        <v>4950</v>
      </c>
      <c r="K178" s="18" t="s">
        <v>661</v>
      </c>
      <c r="L178" s="18"/>
      <c r="M178" s="18" t="s">
        <v>93</v>
      </c>
      <c r="N178" s="18" t="s">
        <v>28</v>
      </c>
      <c r="O178" s="6">
        <v>8000</v>
      </c>
      <c r="P178" s="6">
        <v>0</v>
      </c>
      <c r="Q178" s="6">
        <v>4352</v>
      </c>
      <c r="R178" s="6">
        <v>1985</v>
      </c>
      <c r="S178" s="19" t="s">
        <v>252</v>
      </c>
      <c r="T178" s="18" t="s">
        <v>783</v>
      </c>
      <c r="V178" s="6" t="str">
        <f t="shared" si="2"/>
        <v>('demo', 'martin@comunas.fm', '4950', 'Turnhalle, Sportplatz', 'T12','ST01-9','C33',1958,'Dornackerweg 2','4950','Huttwil','ch','chf',8000,0,4352,1985,'N','- Fassade ist ungenügend gedämmt und wird saniert\n- Sep. Aussengebäude mit Garderoben und Duschen, Fass. aus Holzwerkstoff- oder Zementplatten'),</v>
      </c>
    </row>
    <row r="179" spans="1:22" x14ac:dyDescent="0.25">
      <c r="A179" s="18" t="s">
        <v>4</v>
      </c>
      <c r="B179" s="18" t="s">
        <v>20</v>
      </c>
      <c r="C179" s="6">
        <v>4950</v>
      </c>
      <c r="D179" s="18" t="s">
        <v>784</v>
      </c>
      <c r="E179" s="18" t="s">
        <v>386</v>
      </c>
      <c r="F179" s="18" t="s">
        <v>387</v>
      </c>
      <c r="G179" s="18" t="s">
        <v>368</v>
      </c>
      <c r="H179" s="6">
        <v>1971</v>
      </c>
      <c r="I179" s="18" t="s">
        <v>785</v>
      </c>
      <c r="J179" s="6">
        <v>4950</v>
      </c>
      <c r="K179" s="18" t="s">
        <v>661</v>
      </c>
      <c r="L179" s="18"/>
      <c r="M179" s="18" t="s">
        <v>93</v>
      </c>
      <c r="N179" s="18" t="s">
        <v>28</v>
      </c>
      <c r="O179" s="6">
        <v>1085</v>
      </c>
      <c r="P179" s="6">
        <v>0</v>
      </c>
      <c r="Q179" s="6">
        <v>643</v>
      </c>
      <c r="R179" s="6">
        <v>1996</v>
      </c>
      <c r="S179" s="19" t="s">
        <v>252</v>
      </c>
      <c r="T179" s="18" t="s">
        <v>786</v>
      </c>
      <c r="V179" s="6" t="str">
        <f t="shared" si="2"/>
        <v>('demo', 'martin@comunas.fm', '4950', 'Friedhof, Leichenhalle', 'T09','ST03-18','C29',1971,'Friedhofweg 31a/37a','4950','Huttwil','ch','chf',1085,0,643,1996,'N','bei 31a: Dach mit Ziegeleindeckung ohne Unterdach, Fassade: Mauerwerk, verputzt, Dachrinnen rostig'),</v>
      </c>
    </row>
    <row r="180" spans="1:22" x14ac:dyDescent="0.25">
      <c r="A180" s="18" t="s">
        <v>4</v>
      </c>
      <c r="B180" s="18" t="s">
        <v>20</v>
      </c>
      <c r="C180" s="6">
        <v>4950</v>
      </c>
      <c r="D180" s="18" t="s">
        <v>787</v>
      </c>
      <c r="E180" s="18" t="s">
        <v>275</v>
      </c>
      <c r="F180" s="18" t="s">
        <v>276</v>
      </c>
      <c r="G180" s="18" t="s">
        <v>294</v>
      </c>
      <c r="H180" s="6">
        <v>1913</v>
      </c>
      <c r="I180" s="18" t="s">
        <v>788</v>
      </c>
      <c r="J180" s="6">
        <v>4950</v>
      </c>
      <c r="K180" s="18" t="s">
        <v>661</v>
      </c>
      <c r="L180" s="18"/>
      <c r="M180" s="18" t="s">
        <v>93</v>
      </c>
      <c r="N180" s="18" t="s">
        <v>28</v>
      </c>
      <c r="O180" s="6">
        <v>16065</v>
      </c>
      <c r="P180" s="6">
        <v>0</v>
      </c>
      <c r="Q180" s="6">
        <v>10890</v>
      </c>
      <c r="R180" s="6">
        <v>2011</v>
      </c>
      <c r="S180" s="19" t="s">
        <v>252</v>
      </c>
      <c r="T180" s="18" t="s">
        <v>789</v>
      </c>
      <c r="V180" s="6" t="str">
        <f t="shared" si="2"/>
        <v>('demo', 'martin@comunas.fm', '4950', 'Sekundarschulhaus', 'T02','ST02-12','C9',1913,'Hofmattstrasse 5/5a','4950','Huttwil','ch','chf',16065,0,10890,2011,'N','- Hauswart: Herr Hansruedi Bühler\n- Schlechte Klimatisierung der Sekretariatsräume\n- Serverraum: Die Deckendämmung ist nicht komplett\n- Beim Mittelbau (Eingangshalle) tw. noch Baumängel vorhanden (die Dämmung beim Storenkasten löst sich, der Vorplatz wird gegen die Fassade entwässert, die Blechabdeckungen bei der Glasfront aussen lösen sich, es bildet sich ausserdem Kondenswasser)'),</v>
      </c>
    </row>
    <row r="181" spans="1:22" x14ac:dyDescent="0.25">
      <c r="A181" s="18" t="s">
        <v>4</v>
      </c>
      <c r="B181" s="18" t="s">
        <v>20</v>
      </c>
      <c r="C181" s="6">
        <v>4950</v>
      </c>
      <c r="D181" s="18" t="s">
        <v>709</v>
      </c>
      <c r="E181" s="18" t="s">
        <v>684</v>
      </c>
      <c r="F181" s="18" t="s">
        <v>710</v>
      </c>
      <c r="G181" s="18" t="s">
        <v>277</v>
      </c>
      <c r="H181" s="6">
        <v>1977</v>
      </c>
      <c r="I181" s="18" t="s">
        <v>790</v>
      </c>
      <c r="J181" s="6">
        <v>4950</v>
      </c>
      <c r="K181" s="18" t="s">
        <v>661</v>
      </c>
      <c r="L181" s="18"/>
      <c r="M181" s="18" t="s">
        <v>93</v>
      </c>
      <c r="N181" s="18" t="s">
        <v>28</v>
      </c>
      <c r="O181" s="6">
        <v>2700</v>
      </c>
      <c r="P181" s="6">
        <v>0</v>
      </c>
      <c r="Q181" s="6">
        <v>1676</v>
      </c>
      <c r="R181" s="6">
        <v>1978</v>
      </c>
      <c r="S181" s="19" t="s">
        <v>252</v>
      </c>
      <c r="T181" s="18"/>
      <c r="V181" s="6" t="str">
        <f t="shared" si="2"/>
        <v>('demo', 'martin@comunas.fm', '4950', 'Wasserversorgung', 'T05','ST02-15','C0',1977,'Willimatt 2a','4950','Huttwil','ch','chf',2700,0,1676,1978,'N',null),</v>
      </c>
    </row>
    <row r="182" spans="1:22" x14ac:dyDescent="0.25">
      <c r="A182" s="18" t="s">
        <v>4</v>
      </c>
      <c r="B182" s="18" t="s">
        <v>20</v>
      </c>
      <c r="C182" s="6">
        <v>4950</v>
      </c>
      <c r="D182" s="18" t="s">
        <v>791</v>
      </c>
      <c r="E182" s="18" t="s">
        <v>288</v>
      </c>
      <c r="F182" s="18" t="s">
        <v>289</v>
      </c>
      <c r="G182" s="18" t="s">
        <v>290</v>
      </c>
      <c r="H182" s="6">
        <v>1842</v>
      </c>
      <c r="I182" s="18" t="s">
        <v>792</v>
      </c>
      <c r="J182" s="6">
        <v>4950</v>
      </c>
      <c r="K182" s="18" t="s">
        <v>661</v>
      </c>
      <c r="L182" s="18"/>
      <c r="M182" s="18" t="s">
        <v>93</v>
      </c>
      <c r="N182" s="18" t="s">
        <v>28</v>
      </c>
      <c r="O182" s="6">
        <v>2415</v>
      </c>
      <c r="P182" s="6">
        <v>0</v>
      </c>
      <c r="Q182" s="6">
        <v>1950</v>
      </c>
      <c r="R182" s="6">
        <v>1991</v>
      </c>
      <c r="S182" s="19" t="s">
        <v>252</v>
      </c>
      <c r="T182" s="18" t="s">
        <v>793</v>
      </c>
      <c r="V182" s="6" t="str">
        <f t="shared" si="2"/>
        <v>('demo', 'martin@comunas.fm', '4950', 'Wohnhaus und Vereinslokal', 'T01','ST02-11','C7',1842,'Spitalstrasse 14','4950','Huttwil','ch','chf',2415,0,1950,1991,'N','- Gemäss Herr Rauch, muss die Westseite des Gebäudes dringend saniert werden.'),</v>
      </c>
    </row>
    <row r="183" spans="1:22" x14ac:dyDescent="0.25">
      <c r="A183" s="18" t="s">
        <v>4</v>
      </c>
      <c r="B183" s="18" t="s">
        <v>20</v>
      </c>
      <c r="C183" s="6">
        <v>4950</v>
      </c>
      <c r="D183" s="18" t="s">
        <v>794</v>
      </c>
      <c r="E183" s="18" t="s">
        <v>795</v>
      </c>
      <c r="F183" s="18" t="s">
        <v>796</v>
      </c>
      <c r="G183" s="18" t="s">
        <v>797</v>
      </c>
      <c r="H183" s="6">
        <v>1932</v>
      </c>
      <c r="I183" s="18" t="s">
        <v>798</v>
      </c>
      <c r="J183" s="6">
        <v>4950</v>
      </c>
      <c r="K183" s="18" t="s">
        <v>661</v>
      </c>
      <c r="L183" s="18"/>
      <c r="M183" s="18" t="s">
        <v>93</v>
      </c>
      <c r="N183" s="18" t="s">
        <v>28</v>
      </c>
      <c r="O183" s="6">
        <v>360</v>
      </c>
      <c r="P183" s="6">
        <v>0</v>
      </c>
      <c r="Q183" s="6">
        <v>384</v>
      </c>
      <c r="R183" s="6">
        <v>1999</v>
      </c>
      <c r="S183" s="19" t="s">
        <v>252</v>
      </c>
      <c r="T183" s="18"/>
      <c r="V183" s="6" t="str">
        <f t="shared" si="2"/>
        <v>('demo', 'martin@comunas.fm', '4950', 'Magazin, Museum', 'T03','ST01-6','C14',1932,'Spitalstrasse 54a','4950','Huttwil','ch','chf',360,0,384,1999,'N',null),</v>
      </c>
    </row>
    <row r="184" spans="1:22" x14ac:dyDescent="0.25">
      <c r="A184" s="18" t="s">
        <v>4</v>
      </c>
      <c r="B184" s="18" t="s">
        <v>20</v>
      </c>
      <c r="C184" s="6">
        <v>4950</v>
      </c>
      <c r="D184" s="18" t="s">
        <v>799</v>
      </c>
      <c r="E184" s="18" t="s">
        <v>275</v>
      </c>
      <c r="F184" s="18" t="s">
        <v>276</v>
      </c>
      <c r="G184" s="18" t="s">
        <v>277</v>
      </c>
      <c r="H184" s="6">
        <v>1962</v>
      </c>
      <c r="I184" s="18" t="s">
        <v>800</v>
      </c>
      <c r="J184" s="6">
        <v>4950</v>
      </c>
      <c r="K184" s="18" t="s">
        <v>661</v>
      </c>
      <c r="L184" s="18"/>
      <c r="M184" s="18" t="s">
        <v>93</v>
      </c>
      <c r="N184" s="18" t="s">
        <v>28</v>
      </c>
      <c r="O184" s="6">
        <v>4142</v>
      </c>
      <c r="P184" s="6">
        <v>0</v>
      </c>
      <c r="Q184" s="6">
        <v>2707</v>
      </c>
      <c r="R184" s="6">
        <v>1993</v>
      </c>
      <c r="S184" s="19" t="s">
        <v>252</v>
      </c>
      <c r="T184" s="18" t="s">
        <v>801</v>
      </c>
      <c r="V184" s="6" t="str">
        <f t="shared" si="2"/>
        <v>('demo', 'martin@comunas.fm', '4950', 'Schulhaus Nyffel', 'T02','ST02-12','C0',1962,'Nyffel 26','4950','Huttwil','ch','chf',4142,0,2707,1993,'N','Die Innenwände bei den Fenstern gedämmt.\nDas Treppengeländer weist eine zu geringe Höhe auf (80cm).'),</v>
      </c>
    </row>
    <row r="185" spans="1:22" x14ac:dyDescent="0.25">
      <c r="A185" s="18" t="s">
        <v>4</v>
      </c>
      <c r="B185" s="18" t="s">
        <v>20</v>
      </c>
      <c r="C185" s="6">
        <v>4950</v>
      </c>
      <c r="D185" s="18" t="s">
        <v>802</v>
      </c>
      <c r="E185" s="18" t="s">
        <v>275</v>
      </c>
      <c r="F185" s="18" t="s">
        <v>803</v>
      </c>
      <c r="G185" s="18" t="s">
        <v>294</v>
      </c>
      <c r="H185" s="6">
        <v>1883</v>
      </c>
      <c r="I185" s="18" t="s">
        <v>804</v>
      </c>
      <c r="J185" s="6">
        <v>4950</v>
      </c>
      <c r="K185" s="18" t="s">
        <v>661</v>
      </c>
      <c r="L185" s="18"/>
      <c r="M185" s="18" t="s">
        <v>93</v>
      </c>
      <c r="N185" s="18" t="s">
        <v>28</v>
      </c>
      <c r="O185" s="6">
        <v>2600</v>
      </c>
      <c r="P185" s="6">
        <v>0</v>
      </c>
      <c r="Q185" s="6">
        <v>1636</v>
      </c>
      <c r="R185" s="6">
        <v>1996</v>
      </c>
      <c r="S185" s="19" t="s">
        <v>252</v>
      </c>
      <c r="T185" s="18" t="s">
        <v>805</v>
      </c>
      <c r="V185" s="6" t="str">
        <f t="shared" si="2"/>
        <v>('demo', 'martin@comunas.fm', '4950', 'Schulhaus HPS Schüpbach', 'T02','ST05-27','C9',1883,'Bernstrasse 78','4950','Huttwil','ch','chf',2600,0,1636,1996,'N','- Kühlräume und gewerbliche Küche gehören nicht zum Schulhaus -&gt; separate Rechnung.'),</v>
      </c>
    </row>
    <row r="186" spans="1:22" x14ac:dyDescent="0.25">
      <c r="A186" s="18" t="s">
        <v>4</v>
      </c>
      <c r="B186" s="18" t="s">
        <v>20</v>
      </c>
      <c r="C186" s="6">
        <v>9471</v>
      </c>
      <c r="D186" s="18" t="s">
        <v>806</v>
      </c>
      <c r="E186" s="18" t="s">
        <v>402</v>
      </c>
      <c r="F186" s="18" t="s">
        <v>631</v>
      </c>
      <c r="G186" s="18" t="s">
        <v>507</v>
      </c>
      <c r="H186" s="6">
        <v>1979</v>
      </c>
      <c r="I186" s="18" t="s">
        <v>807</v>
      </c>
      <c r="J186" s="6">
        <v>9471</v>
      </c>
      <c r="K186" s="18" t="s">
        <v>323</v>
      </c>
      <c r="L186" s="18"/>
      <c r="M186" s="18" t="s">
        <v>93</v>
      </c>
      <c r="N186" s="18" t="s">
        <v>28</v>
      </c>
      <c r="O186" s="6">
        <v>7188</v>
      </c>
      <c r="P186" s="6">
        <v>0</v>
      </c>
      <c r="Q186" s="6">
        <v>1869</v>
      </c>
      <c r="R186" s="6">
        <v>2012</v>
      </c>
      <c r="S186" s="19" t="s">
        <v>252</v>
      </c>
      <c r="T186" s="18" t="s">
        <v>808</v>
      </c>
      <c r="V186" s="6" t="str">
        <f t="shared" si="2"/>
        <v>('demo', 'martin@comunas.fm', '9471', 'Werkhalle (Werkhof)', 'T13','ST05-31','C37',1979,'Langäulistrasse 20','9471','Buchs SG','ch','chf',7188,0,1869,2012,'N','Die Halle ist eine Metallkonstruktion.\nDach Halle: Sandwichpaneldach'),</v>
      </c>
    </row>
    <row r="187" spans="1:22" x14ac:dyDescent="0.25">
      <c r="A187" s="18" t="s">
        <v>4</v>
      </c>
      <c r="B187" s="18" t="s">
        <v>20</v>
      </c>
      <c r="C187" s="6">
        <v>4950</v>
      </c>
      <c r="D187" s="18" t="s">
        <v>809</v>
      </c>
      <c r="E187" s="18" t="s">
        <v>288</v>
      </c>
      <c r="F187" s="18" t="s">
        <v>289</v>
      </c>
      <c r="G187" s="18" t="s">
        <v>290</v>
      </c>
      <c r="H187" s="6">
        <v>1898</v>
      </c>
      <c r="I187" s="18" t="s">
        <v>810</v>
      </c>
      <c r="J187" s="6">
        <v>4950</v>
      </c>
      <c r="K187" s="18" t="s">
        <v>661</v>
      </c>
      <c r="L187" s="18"/>
      <c r="M187" s="18" t="s">
        <v>93</v>
      </c>
      <c r="N187" s="18" t="s">
        <v>28</v>
      </c>
      <c r="O187" s="6">
        <v>700</v>
      </c>
      <c r="P187" s="6">
        <v>0</v>
      </c>
      <c r="Q187" s="6">
        <v>474</v>
      </c>
      <c r="R187" s="6">
        <v>1982</v>
      </c>
      <c r="S187" s="19" t="s">
        <v>252</v>
      </c>
      <c r="T187" s="18" t="s">
        <v>811</v>
      </c>
      <c r="V187" s="6" t="str">
        <f t="shared" si="2"/>
        <v>('demo', 'martin@comunas.fm', '4950', 'Mehrzweckgebäude', 'T01','ST02-11','C7',1898,'Bahnhofstrasse 2','4950','Huttwil','ch','chf',700,0,474,1982,'N','- Im Untergeschoss ist eine aufsteigende Feuchtigkeit ersichtlich. Dies kommt vermutlich von der Strassenseite.\n- Das Quellwasser kommt aus dem Untergeschoss\n- Das Unterdach wurde neu gebaut'),</v>
      </c>
    </row>
    <row r="188" spans="1:22" x14ac:dyDescent="0.25">
      <c r="A188" s="18" t="s">
        <v>4</v>
      </c>
      <c r="B188" s="18" t="s">
        <v>20</v>
      </c>
      <c r="C188" s="6">
        <v>4950</v>
      </c>
      <c r="D188" s="18" t="s">
        <v>691</v>
      </c>
      <c r="E188" s="18" t="s">
        <v>391</v>
      </c>
      <c r="F188" s="18" t="s">
        <v>392</v>
      </c>
      <c r="G188" s="18" t="s">
        <v>748</v>
      </c>
      <c r="H188" s="6">
        <v>1933</v>
      </c>
      <c r="I188" s="18" t="s">
        <v>690</v>
      </c>
      <c r="J188" s="6">
        <v>4950</v>
      </c>
      <c r="K188" s="18" t="s">
        <v>661</v>
      </c>
      <c r="L188" s="18"/>
      <c r="M188" s="18" t="s">
        <v>93</v>
      </c>
      <c r="N188" s="18" t="s">
        <v>28</v>
      </c>
      <c r="O188" s="6">
        <v>6300</v>
      </c>
      <c r="P188" s="6">
        <v>0</v>
      </c>
      <c r="Q188" s="6">
        <v>5414</v>
      </c>
      <c r="R188" s="6">
        <v>1995</v>
      </c>
      <c r="S188" s="19" t="s">
        <v>252</v>
      </c>
      <c r="T188" s="18"/>
      <c r="V188" s="6" t="str">
        <f t="shared" si="2"/>
        <v>('demo', 'martin@comunas.fm', '4950', 'Verwaltungsgebäude', 'T06','ST06-35','C22',1933,'Marktgasse 2','4950','Huttwil','ch','chf',6300,0,5414,1995,'N',null),</v>
      </c>
    </row>
    <row r="189" spans="1:22" x14ac:dyDescent="0.25">
      <c r="A189" s="18" t="s">
        <v>4</v>
      </c>
      <c r="B189" s="18" t="s">
        <v>20</v>
      </c>
      <c r="C189" s="6">
        <v>4950</v>
      </c>
      <c r="D189" s="18" t="s">
        <v>812</v>
      </c>
      <c r="E189" s="18" t="s">
        <v>391</v>
      </c>
      <c r="F189" s="18" t="s">
        <v>689</v>
      </c>
      <c r="G189" s="18" t="s">
        <v>772</v>
      </c>
      <c r="H189" s="6">
        <v>1835</v>
      </c>
      <c r="I189" s="18" t="s">
        <v>692</v>
      </c>
      <c r="J189" s="6">
        <v>4950</v>
      </c>
      <c r="K189" s="18" t="s">
        <v>661</v>
      </c>
      <c r="L189" s="18"/>
      <c r="M189" s="18" t="s">
        <v>93</v>
      </c>
      <c r="N189" s="18" t="s">
        <v>28</v>
      </c>
      <c r="O189" s="6">
        <v>2020</v>
      </c>
      <c r="P189" s="6">
        <v>0</v>
      </c>
      <c r="Q189" s="6">
        <v>1466</v>
      </c>
      <c r="R189" s="6">
        <v>1995</v>
      </c>
      <c r="S189" s="19" t="s">
        <v>252</v>
      </c>
      <c r="T189" s="18" t="s">
        <v>813</v>
      </c>
      <c r="V189" s="6" t="str">
        <f t="shared" si="2"/>
        <v>('demo', 'martin@comunas.fm', '4950', 'Geschäftshaus', 'T06','ST05-30','C20',1835,'Marktgasse 4','4950','Huttwil','ch','chf',2020,0,1466,1995,'N','- Metallstütze\n- Die Einbauschränke sowie der Besprechungsraum sind Mieterausbau.'),</v>
      </c>
    </row>
    <row r="190" spans="1:22" x14ac:dyDescent="0.25">
      <c r="A190" s="18" t="s">
        <v>4</v>
      </c>
      <c r="B190" s="18" t="s">
        <v>20</v>
      </c>
      <c r="C190" s="6">
        <v>8253</v>
      </c>
      <c r="D190" s="18" t="s">
        <v>814</v>
      </c>
      <c r="E190" s="18" t="s">
        <v>275</v>
      </c>
      <c r="F190" s="18" t="s">
        <v>276</v>
      </c>
      <c r="G190" s="18" t="s">
        <v>277</v>
      </c>
      <c r="H190" s="6">
        <v>1958</v>
      </c>
      <c r="I190" s="18" t="s">
        <v>278</v>
      </c>
      <c r="J190" s="6">
        <v>8253</v>
      </c>
      <c r="K190" s="18" t="s">
        <v>279</v>
      </c>
      <c r="L190" s="18"/>
      <c r="M190" s="18" t="s">
        <v>93</v>
      </c>
      <c r="N190" s="18" t="s">
        <v>28</v>
      </c>
      <c r="O190" s="6">
        <v>13886</v>
      </c>
      <c r="P190" s="6">
        <v>0</v>
      </c>
      <c r="Q190" s="6">
        <v>12000</v>
      </c>
      <c r="R190" s="6">
        <v>2018</v>
      </c>
      <c r="S190" s="19" t="s">
        <v>252</v>
      </c>
      <c r="T190" s="18"/>
      <c r="V190" s="6" t="str">
        <f t="shared" si="2"/>
        <v>('demo', 'martin@comunas.fm', '8253', 'Sanierung Schulhaus Zentrum', 'T02','ST02-12','C0',1958,'Schulstrasse 5','8253','Diessenhofen','ch','chf',13886,0,12000,2018,'N',null),</v>
      </c>
    </row>
    <row r="191" spans="1:22" x14ac:dyDescent="0.25">
      <c r="A191" s="18" t="s">
        <v>4</v>
      </c>
      <c r="B191" s="18" t="s">
        <v>20</v>
      </c>
      <c r="C191" s="6">
        <v>8476</v>
      </c>
      <c r="D191" s="18" t="s">
        <v>815</v>
      </c>
      <c r="E191" s="18" t="s">
        <v>275</v>
      </c>
      <c r="F191" s="18" t="s">
        <v>276</v>
      </c>
      <c r="G191" s="18" t="s">
        <v>294</v>
      </c>
      <c r="H191" s="6">
        <v>1847</v>
      </c>
      <c r="I191" s="18" t="s">
        <v>816</v>
      </c>
      <c r="J191" s="6">
        <v>8476</v>
      </c>
      <c r="K191" s="18" t="s">
        <v>673</v>
      </c>
      <c r="L191" s="18"/>
      <c r="M191" s="18" t="s">
        <v>93</v>
      </c>
      <c r="N191" s="18" t="s">
        <v>28</v>
      </c>
      <c r="O191" s="6">
        <v>5910</v>
      </c>
      <c r="P191" s="6">
        <v>0</v>
      </c>
      <c r="Q191" s="6">
        <v>4500</v>
      </c>
      <c r="R191" s="6">
        <v>2018</v>
      </c>
      <c r="S191" s="19" t="s">
        <v>252</v>
      </c>
      <c r="T191" s="18" t="s">
        <v>817</v>
      </c>
      <c r="V191" s="6" t="str">
        <f t="shared" si="2"/>
        <v>('demo', 'martin@comunas.fm', '8476', 'Schulhaus und Kindergarten', 'T02','ST02-12','C9',1847,'Unterdorf 8','8476','Unterstammheim','ch','chf',5910,0,4500,2018,'N','- Riss im DG Altbau sollte beobachtet werden (Risssiegel)\n- Baujahre der drei Gebäudeteile: Kindergarten 1847 / Anbau 1984 / Anbau 1995 / Zwischenbau 2017\n- im Anbau wurde eine Treppe eingebaut (brandschutztechnisch war dies erforderlich), welche die beiden Kindergärten im EG und OG verbindet\n\nGV-Wert und Kubatur gemäss neuer Schätzung vom 12.04.2018'),</v>
      </c>
    </row>
    <row r="192" spans="1:22" x14ac:dyDescent="0.25">
      <c r="A192" s="18" t="s">
        <v>4</v>
      </c>
      <c r="B192" s="18" t="s">
        <v>20</v>
      </c>
      <c r="C192" s="6">
        <v>8444</v>
      </c>
      <c r="D192" s="18" t="s">
        <v>472</v>
      </c>
      <c r="E192" s="18" t="s">
        <v>275</v>
      </c>
      <c r="F192" s="18" t="s">
        <v>284</v>
      </c>
      <c r="G192" s="18" t="s">
        <v>285</v>
      </c>
      <c r="H192" s="6">
        <v>1870</v>
      </c>
      <c r="I192" s="18" t="s">
        <v>818</v>
      </c>
      <c r="J192" s="6">
        <v>8444</v>
      </c>
      <c r="K192" s="18" t="s">
        <v>773</v>
      </c>
      <c r="L192" s="18"/>
      <c r="M192" s="18" t="s">
        <v>93</v>
      </c>
      <c r="N192" s="18" t="s">
        <v>28</v>
      </c>
      <c r="O192" s="6">
        <v>2933</v>
      </c>
      <c r="P192" s="6">
        <v>0</v>
      </c>
      <c r="Q192" s="6">
        <v>2853</v>
      </c>
      <c r="R192" s="6">
        <v>2014</v>
      </c>
      <c r="S192" s="19" t="s">
        <v>252</v>
      </c>
      <c r="T192" s="18"/>
      <c r="V192" s="6" t="str">
        <f t="shared" si="2"/>
        <v>('demo', 'martin@comunas.fm', '8444', 'Kindergarten', 'T02','ST01-4','C8',1870,'Dorfstrasse 39','8444','Henggart','ch','chf',2933,0,2853,2014,'N',null),</v>
      </c>
    </row>
    <row r="193" spans="1:22" x14ac:dyDescent="0.25">
      <c r="A193" s="18" t="s">
        <v>4</v>
      </c>
      <c r="B193" s="18" t="s">
        <v>20</v>
      </c>
      <c r="C193" s="6">
        <v>4950</v>
      </c>
      <c r="D193" s="18" t="s">
        <v>819</v>
      </c>
      <c r="E193" s="18" t="s">
        <v>288</v>
      </c>
      <c r="F193" s="18" t="s">
        <v>543</v>
      </c>
      <c r="G193" s="18" t="s">
        <v>599</v>
      </c>
      <c r="H193" s="6">
        <v>1917</v>
      </c>
      <c r="I193" s="18" t="s">
        <v>820</v>
      </c>
      <c r="J193" s="6">
        <v>4950</v>
      </c>
      <c r="K193" s="18" t="s">
        <v>661</v>
      </c>
      <c r="L193" s="18"/>
      <c r="M193" s="18" t="s">
        <v>93</v>
      </c>
      <c r="N193" s="18" t="s">
        <v>28</v>
      </c>
      <c r="O193" s="6">
        <v>3350</v>
      </c>
      <c r="P193" s="6">
        <v>0</v>
      </c>
      <c r="Q193" s="6">
        <v>1354</v>
      </c>
      <c r="R193" s="6">
        <v>1993</v>
      </c>
      <c r="S193" s="19" t="s">
        <v>252</v>
      </c>
      <c r="T193" s="18" t="s">
        <v>821</v>
      </c>
      <c r="V193" s="6" t="str">
        <f t="shared" si="2"/>
        <v>('demo', 'martin@comunas.fm', '4950', 'Wohnhaus / Scheune', 'T01','ST05-26','C6',1917,'Buchenweg 5','4950','Huttwil','ch','chf',3350,0,1354,1993,'N','Angebauter Schuppen, die Lukarnen sind stark verwitert'),</v>
      </c>
    </row>
    <row r="194" spans="1:22" x14ac:dyDescent="0.25">
      <c r="A194" s="18" t="s">
        <v>4</v>
      </c>
      <c r="B194" s="18" t="s">
        <v>20</v>
      </c>
      <c r="C194" s="6">
        <v>4950</v>
      </c>
      <c r="D194" s="18" t="s">
        <v>822</v>
      </c>
      <c r="E194" s="18" t="s">
        <v>402</v>
      </c>
      <c r="F194" s="18" t="s">
        <v>631</v>
      </c>
      <c r="G194" s="18" t="s">
        <v>507</v>
      </c>
      <c r="H194" s="6">
        <v>1911</v>
      </c>
      <c r="I194" s="18" t="s">
        <v>823</v>
      </c>
      <c r="J194" s="6">
        <v>4950</v>
      </c>
      <c r="K194" s="18" t="s">
        <v>661</v>
      </c>
      <c r="L194" s="18"/>
      <c r="M194" s="18" t="s">
        <v>93</v>
      </c>
      <c r="N194" s="18" t="s">
        <v>28</v>
      </c>
      <c r="O194" s="6">
        <v>3300</v>
      </c>
      <c r="P194" s="6">
        <v>0</v>
      </c>
      <c r="Q194" s="6">
        <v>1600</v>
      </c>
      <c r="R194" s="6">
        <v>2015</v>
      </c>
      <c r="S194" s="19" t="s">
        <v>252</v>
      </c>
      <c r="T194" s="18"/>
      <c r="V194" s="6" t="str">
        <f t="shared" si="2"/>
        <v>('demo', 'martin@comunas.fm', '4950', 'Feuerwehrmagazin', 'T13','ST05-31','C37',1911,'Hoffmattstrasse 3','4950','Huttwil','ch','chf',3300,0,1600,2015,'N',null),</v>
      </c>
    </row>
    <row r="195" spans="1:22" x14ac:dyDescent="0.25">
      <c r="A195" s="18" t="s">
        <v>4</v>
      </c>
      <c r="B195" s="18" t="s">
        <v>20</v>
      </c>
      <c r="C195" s="6">
        <v>4950</v>
      </c>
      <c r="D195" s="18" t="s">
        <v>423</v>
      </c>
      <c r="E195" s="18" t="s">
        <v>304</v>
      </c>
      <c r="F195" s="18" t="s">
        <v>305</v>
      </c>
      <c r="G195" s="18" t="s">
        <v>427</v>
      </c>
      <c r="H195" s="6">
        <v>1897</v>
      </c>
      <c r="I195" s="18" t="s">
        <v>824</v>
      </c>
      <c r="J195" s="6">
        <v>4950</v>
      </c>
      <c r="K195" s="18" t="s">
        <v>661</v>
      </c>
      <c r="L195" s="18"/>
      <c r="M195" s="18" t="s">
        <v>93</v>
      </c>
      <c r="N195" s="18" t="s">
        <v>28</v>
      </c>
      <c r="O195" s="6">
        <v>1630</v>
      </c>
      <c r="P195" s="6">
        <v>0</v>
      </c>
      <c r="Q195" s="6">
        <v>846</v>
      </c>
      <c r="R195" s="6">
        <v>1996</v>
      </c>
      <c r="S195" s="19" t="s">
        <v>252</v>
      </c>
      <c r="T195" s="18" t="s">
        <v>825</v>
      </c>
      <c r="V195" s="6" t="str">
        <f t="shared" si="2"/>
        <v>('demo', 'martin@comunas.fm', '4950', 'Alte Turnhalle', 'T12','ST01-9','C33',1897,'Oberdorfstrasse 11c','4950','Huttwil','ch','chf',1630,0,846,1996,'N','Angebauter Schuppen'),</v>
      </c>
    </row>
    <row r="196" spans="1:22" x14ac:dyDescent="0.25">
      <c r="A196" s="18" t="s">
        <v>4</v>
      </c>
      <c r="B196" s="18" t="s">
        <v>20</v>
      </c>
      <c r="C196" s="6">
        <v>4950</v>
      </c>
      <c r="D196" s="18" t="s">
        <v>658</v>
      </c>
      <c r="E196" s="18" t="s">
        <v>505</v>
      </c>
      <c r="F196" s="18" t="s">
        <v>613</v>
      </c>
      <c r="G196" s="18" t="s">
        <v>659</v>
      </c>
      <c r="H196" s="6">
        <v>1974</v>
      </c>
      <c r="I196" s="18" t="s">
        <v>826</v>
      </c>
      <c r="J196" s="6">
        <v>4950</v>
      </c>
      <c r="K196" s="18" t="s">
        <v>661</v>
      </c>
      <c r="L196" s="18"/>
      <c r="M196" s="18" t="s">
        <v>93</v>
      </c>
      <c r="N196" s="18" t="s">
        <v>28</v>
      </c>
      <c r="O196" s="6">
        <v>1300</v>
      </c>
      <c r="P196" s="6">
        <v>0</v>
      </c>
      <c r="Q196" s="6">
        <v>776</v>
      </c>
      <c r="R196" s="6">
        <v>1975</v>
      </c>
      <c r="S196" s="19" t="s">
        <v>252</v>
      </c>
      <c r="T196" s="18" t="s">
        <v>827</v>
      </c>
      <c r="V196" s="6" t="str">
        <f t="shared" si="2"/>
        <v>('demo', 'martin@comunas.fm', '4950', 'Zivilschutzanlage', 'T14','ST03-19','C38',1974,'Lindenstrasse 21','4950','Huttwil','ch','chf',1300,0,776,1975,'N','- Der Dieseltankraum sowie der Notstromaggregat sind ausser Betrieb.'),</v>
      </c>
    </row>
    <row r="197" spans="1:22" x14ac:dyDescent="0.25">
      <c r="A197" s="18" t="s">
        <v>4</v>
      </c>
      <c r="B197" s="18" t="s">
        <v>20</v>
      </c>
      <c r="C197" s="6">
        <v>4950</v>
      </c>
      <c r="D197" s="18" t="s">
        <v>828</v>
      </c>
      <c r="E197" s="18" t="s">
        <v>288</v>
      </c>
      <c r="F197" s="18" t="s">
        <v>289</v>
      </c>
      <c r="G197" s="18" t="s">
        <v>290</v>
      </c>
      <c r="H197" s="6">
        <v>1900</v>
      </c>
      <c r="I197" s="18" t="s">
        <v>829</v>
      </c>
      <c r="J197" s="6">
        <v>4950</v>
      </c>
      <c r="K197" s="18" t="s">
        <v>661</v>
      </c>
      <c r="L197" s="18"/>
      <c r="M197" s="18" t="s">
        <v>93</v>
      </c>
      <c r="N197" s="18" t="s">
        <v>28</v>
      </c>
      <c r="O197" s="6">
        <v>880</v>
      </c>
      <c r="P197" s="6">
        <v>0</v>
      </c>
      <c r="Q197" s="6">
        <v>575</v>
      </c>
      <c r="R197" s="6">
        <v>1992</v>
      </c>
      <c r="S197" s="19" t="s">
        <v>252</v>
      </c>
      <c r="T197" s="18" t="s">
        <v>830</v>
      </c>
      <c r="V197" s="6" t="str">
        <f t="shared" ref="V197:V260" si="3">"('"&amp;A197&amp;"', '"&amp;B197&amp;"', '"&amp;C197&amp;"', '"&amp;D197&amp;"', "&amp;IF(ISBLANK(E197),"null","'"&amp;E197&amp;"'")&amp;","&amp;IF(ISBLANK(F197),"null","'"&amp;F197&amp;"'")&amp;","&amp;IF(ISBLANK(G197),"null","'"&amp;G197&amp;"'")&amp;","&amp;IF(ISBLANK(H197),"null",H197)&amp;","&amp;IF(ISBLANK(I197),"null","'"&amp;I197&amp;"'")&amp;","&amp;IF(ISBLANK(J197),"null","'"&amp;J197&amp;"'")&amp;","&amp;IF(ISBLANK(K197),"null","'"&amp;K197&amp;"'")&amp;","&amp;IF(ISBLANK(M197),"null","'"&amp;M197&amp;"'")&amp;","&amp;IF(ISBLANK(N197),"null","'"&amp;N197&amp;"'")&amp;","&amp;IF(ISBLANK(O197),"null",O197)&amp;","&amp;IF(ISBLANK(P197),"null",P197)&amp;","&amp;IF(ISBLANK(Q197),"null",Q197)&amp;","&amp;IF(ISBLANK(R197),"null",R197)&amp;","&amp;IF(ISBLANK(S197),"null","'"&amp;S197&amp;"'")&amp;","&amp;IF(ISBLANK(T197),"null","'"&amp;T197&amp;"'")&amp;"),"</f>
        <v>('demo', 'martin@comunas.fm', '4950', 'Wohnhaus und Büros', 'T01','ST02-11','C7',1900,'Oberdorfstrasse 19','4950','Huttwil','ch','chf',880,0,575,1992,'N','- Das UG wird vom Militärdienst gemietet und wurde neu ausgebaut'),</v>
      </c>
    </row>
    <row r="198" spans="1:22" x14ac:dyDescent="0.25">
      <c r="A198" s="18" t="s">
        <v>4</v>
      </c>
      <c r="B198" s="18" t="s">
        <v>20</v>
      </c>
      <c r="C198" s="6">
        <v>3032</v>
      </c>
      <c r="D198" s="18" t="s">
        <v>831</v>
      </c>
      <c r="E198" s="18" t="s">
        <v>275</v>
      </c>
      <c r="F198" s="18" t="s">
        <v>284</v>
      </c>
      <c r="G198" s="18" t="s">
        <v>277</v>
      </c>
      <c r="H198" s="6">
        <v>2015</v>
      </c>
      <c r="I198" s="18" t="s">
        <v>832</v>
      </c>
      <c r="J198" s="6">
        <v>3032</v>
      </c>
      <c r="K198" s="18" t="s">
        <v>344</v>
      </c>
      <c r="L198" s="18"/>
      <c r="M198" s="18" t="s">
        <v>93</v>
      </c>
      <c r="N198" s="18" t="s">
        <v>28</v>
      </c>
      <c r="O198" s="6">
        <v>2763</v>
      </c>
      <c r="P198" s="6">
        <v>0</v>
      </c>
      <c r="Q198" s="6">
        <v>2568</v>
      </c>
      <c r="R198" s="6">
        <v>2015</v>
      </c>
      <c r="S198" s="19" t="s">
        <v>345</v>
      </c>
      <c r="T198" s="18" t="s">
        <v>833</v>
      </c>
      <c r="V198" s="6" t="str">
        <f t="shared" si="3"/>
        <v>('demo', 'martin@comunas.fm', '3032', 'Kindergarten Kappelenring', 'T02','ST01-4','C0',2015,'Kappelenring 34a','3032','Hinterkappelen','ch','chf',2763,0,2568,2015,'NW','Das Flachdach hängt im Bereich der Eingänge leicht durch, das Dachwasser fliesst dort vermutlich über die Dachkante (Wasserspuren am Boden und Dachrandabschluss); Dachkonstruktion vermutlich in diesem Bereich über dem Eingang zu schwach (Abklärung empfohlen, im Winter bei Schneelast beobachten)\n\nIm Sommer zu heiss.'),</v>
      </c>
    </row>
    <row r="199" spans="1:22" x14ac:dyDescent="0.25">
      <c r="A199" s="18" t="s">
        <v>4</v>
      </c>
      <c r="B199" s="18" t="s">
        <v>20</v>
      </c>
      <c r="C199" s="6">
        <v>3034</v>
      </c>
      <c r="D199" s="18" t="s">
        <v>834</v>
      </c>
      <c r="E199" s="18" t="s">
        <v>275</v>
      </c>
      <c r="F199" s="18" t="s">
        <v>276</v>
      </c>
      <c r="G199" s="18" t="s">
        <v>294</v>
      </c>
      <c r="H199" s="6">
        <v>1955</v>
      </c>
      <c r="I199" s="18" t="s">
        <v>835</v>
      </c>
      <c r="J199" s="6">
        <v>3034</v>
      </c>
      <c r="K199" s="18" t="s">
        <v>399</v>
      </c>
      <c r="L199" s="18"/>
      <c r="M199" s="18" t="s">
        <v>93</v>
      </c>
      <c r="N199" s="18" t="s">
        <v>28</v>
      </c>
      <c r="O199" s="6">
        <v>3920</v>
      </c>
      <c r="P199" s="6">
        <v>0</v>
      </c>
      <c r="Q199" s="6">
        <v>2884</v>
      </c>
      <c r="R199" s="6">
        <v>2009</v>
      </c>
      <c r="S199" s="19" t="s">
        <v>345</v>
      </c>
      <c r="T199" s="18" t="s">
        <v>836</v>
      </c>
      <c r="V199" s="6" t="str">
        <f t="shared" si="3"/>
        <v>('demo', 'martin@comunas.fm', '3034', 'Schulhaus/Kindergarten/Hauswartwohnung', 'T02','ST02-12','C9',1955,'Murzelenstrasse 82','3034','Murzelen','ch','chf',3920,0,2884,2009,'NW','Schulleiterbüro eingebaut\nIm Windfang wurden die inneren Türen demontiert\nKindergarten: Zwischengeschoss eingebaut\nHW-Wohnung: Estrich neu, isoliert mit Leitertreppe, (Boden) ''14 \nSanitär: Druck fällt tw. zusammen K+W, Küche neu ''14, Bad: ung. 40 Jahre alt (nur WC ausgewechselt)\nSchulzimmer: (1 Zi: neuer Boden Linol) neue Beleuchtung im EG und OG\nKindergarten: Fensterfront ist nicht dicht (Fenterflügel wurden gerichtet), Regen drückt rein, Zugluft\nFassade aussen: Holzfensterbänke/-schwellen tw. morsch\nZugseile innen ev. nachspannen, Holzverzapfungen bei Balken ev. feucht (dunkel und Rost bei Metallverbindungen)\nAufsteigende Feuchtigkeit im Treppenhaus\nBoden UG neu\nDecken und Wände neu gestrichen im EG und OG\nneu Mittagstisch\nProbleme mit Fliegen; ev. Luftzug bei Storenkästen'),</v>
      </c>
    </row>
    <row r="200" spans="1:22" x14ac:dyDescent="0.25">
      <c r="A200" s="18" t="s">
        <v>4</v>
      </c>
      <c r="B200" s="18" t="s">
        <v>20</v>
      </c>
      <c r="C200" s="6">
        <v>8253</v>
      </c>
      <c r="D200" s="18" t="s">
        <v>837</v>
      </c>
      <c r="E200" s="18" t="s">
        <v>275</v>
      </c>
      <c r="F200" s="18" t="s">
        <v>276</v>
      </c>
      <c r="G200" s="18" t="s">
        <v>277</v>
      </c>
      <c r="H200" s="6">
        <v>2018</v>
      </c>
      <c r="I200" s="18" t="s">
        <v>278</v>
      </c>
      <c r="J200" s="6">
        <v>8253</v>
      </c>
      <c r="K200" s="18" t="s">
        <v>279</v>
      </c>
      <c r="L200" s="18"/>
      <c r="M200" s="18" t="s">
        <v>93</v>
      </c>
      <c r="N200" s="18" t="s">
        <v>28</v>
      </c>
      <c r="O200" s="6">
        <v>11967</v>
      </c>
      <c r="P200" s="6">
        <v>0</v>
      </c>
      <c r="Q200" s="6">
        <v>8984</v>
      </c>
      <c r="R200" s="6">
        <v>2018</v>
      </c>
      <c r="S200" s="19" t="s">
        <v>252</v>
      </c>
      <c r="T200" s="18"/>
      <c r="V200" s="6" t="str">
        <f t="shared" si="3"/>
        <v>('demo', 'martin@comunas.fm', '8253', 'Janus Schulhaus Zentrum', 'T02','ST02-12','C0',2018,'Schulstrasse 5','8253','Diessenhofen','ch','chf',11967,0,8984,2018,'N',null),</v>
      </c>
    </row>
    <row r="201" spans="1:22" x14ac:dyDescent="0.25">
      <c r="A201" s="18" t="s">
        <v>4</v>
      </c>
      <c r="B201" s="18" t="s">
        <v>20</v>
      </c>
      <c r="C201" s="6">
        <v>9651</v>
      </c>
      <c r="D201" s="18" t="s">
        <v>838</v>
      </c>
      <c r="E201" s="18" t="s">
        <v>288</v>
      </c>
      <c r="F201" s="18" t="s">
        <v>839</v>
      </c>
      <c r="G201" s="18" t="s">
        <v>277</v>
      </c>
      <c r="H201" s="6">
        <v>1983</v>
      </c>
      <c r="I201" s="18" t="s">
        <v>840</v>
      </c>
      <c r="J201" s="6">
        <v>9651</v>
      </c>
      <c r="K201" s="18" t="s">
        <v>841</v>
      </c>
      <c r="L201" s="18"/>
      <c r="M201" s="18" t="s">
        <v>93</v>
      </c>
      <c r="N201" s="18" t="s">
        <v>28</v>
      </c>
      <c r="O201" s="6">
        <v>509</v>
      </c>
      <c r="P201" s="6">
        <v>0</v>
      </c>
      <c r="Q201" s="6">
        <v>351</v>
      </c>
      <c r="R201" s="6">
        <v>2014</v>
      </c>
      <c r="S201" s="19" t="s">
        <v>252</v>
      </c>
      <c r="T201" s="18" t="s">
        <v>842</v>
      </c>
      <c r="V201" s="6" t="str">
        <f t="shared" si="3"/>
        <v>('demo', 'martin@comunas.fm', '9651', 'Ferienhaus', 'T01','ST04-25','C0',1983,'Obere Laui 1665','9651','Ennetbühl','ch','chf',509,0,351,2014,'N','Wohnfläche: 105m2\nGGF: 79m2\n\n*Gemäss Nachbar asbesthaltig (das Nachbarhaus wurde gleichzeitig erstellt); Dachsanierung CHF 30''000.-'),</v>
      </c>
    </row>
    <row r="202" spans="1:22" x14ac:dyDescent="0.25">
      <c r="A202" s="18" t="s">
        <v>4</v>
      </c>
      <c r="B202" s="18" t="s">
        <v>20</v>
      </c>
      <c r="C202" s="6">
        <v>1111</v>
      </c>
      <c r="D202" s="18" t="s">
        <v>843</v>
      </c>
      <c r="E202" s="18" t="s">
        <v>366</v>
      </c>
      <c r="F202" s="18" t="s">
        <v>536</v>
      </c>
      <c r="G202" s="18" t="s">
        <v>368</v>
      </c>
      <c r="H202" s="6">
        <v>1962</v>
      </c>
      <c r="I202" s="18" t="s">
        <v>844</v>
      </c>
      <c r="K202" s="18"/>
      <c r="L202" s="18"/>
      <c r="M202" s="18" t="s">
        <v>93</v>
      </c>
      <c r="N202" s="18" t="s">
        <v>28</v>
      </c>
      <c r="O202" s="6">
        <v>1025</v>
      </c>
      <c r="P202" s="6">
        <v>0</v>
      </c>
      <c r="Q202" s="6">
        <v>831</v>
      </c>
      <c r="R202" s="6">
        <v>2012</v>
      </c>
      <c r="S202" s="19" t="s">
        <v>252</v>
      </c>
      <c r="T202" s="18"/>
      <c r="V202" s="6" t="str">
        <f t="shared" si="3"/>
        <v>('demo', 'martin@comunas.fm', '1111', 'Testgebäude1', 'T10','ST06-36','C29',1962,'Teststrasse.',null,null,'ch','chf',1025,0,831,2012,'N',null),</v>
      </c>
    </row>
    <row r="203" spans="1:22" x14ac:dyDescent="0.25">
      <c r="A203" s="18" t="s">
        <v>4</v>
      </c>
      <c r="B203" s="18" t="s">
        <v>20</v>
      </c>
      <c r="C203" s="6">
        <v>3033</v>
      </c>
      <c r="D203" s="18" t="s">
        <v>845</v>
      </c>
      <c r="E203" s="18" t="s">
        <v>402</v>
      </c>
      <c r="F203" s="18" t="s">
        <v>403</v>
      </c>
      <c r="G203" s="18" t="s">
        <v>294</v>
      </c>
      <c r="H203" s="6">
        <v>1975</v>
      </c>
      <c r="I203" s="18" t="s">
        <v>846</v>
      </c>
      <c r="J203" s="6">
        <v>3033</v>
      </c>
      <c r="K203" s="18" t="s">
        <v>378</v>
      </c>
      <c r="L203" s="18"/>
      <c r="M203" s="18" t="s">
        <v>93</v>
      </c>
      <c r="N203" s="18" t="s">
        <v>28</v>
      </c>
      <c r="O203" s="6">
        <v>145</v>
      </c>
      <c r="P203" s="6">
        <v>0</v>
      </c>
      <c r="Q203" s="6">
        <v>49</v>
      </c>
      <c r="R203" s="6">
        <v>2009</v>
      </c>
      <c r="S203" s="19" t="s">
        <v>345</v>
      </c>
      <c r="T203" s="18"/>
      <c r="V203" s="6" t="str">
        <f t="shared" si="3"/>
        <v>('demo', 'martin@comunas.fm', '3033', 'Garage (Nebengebäude)', 'T13','ST01-2','C9',1975,'Schulgasse 14a','3033','Wohlen','ch','chf',145,0,49,2009,'NW',null),</v>
      </c>
    </row>
    <row r="204" spans="1:22" x14ac:dyDescent="0.25">
      <c r="A204" s="18" t="s">
        <v>4</v>
      </c>
      <c r="B204" s="18" t="s">
        <v>20</v>
      </c>
      <c r="C204" s="6">
        <v>3034</v>
      </c>
      <c r="D204" s="18" t="s">
        <v>321</v>
      </c>
      <c r="E204" s="18" t="s">
        <v>304</v>
      </c>
      <c r="F204" s="18" t="s">
        <v>305</v>
      </c>
      <c r="G204" s="18" t="s">
        <v>294</v>
      </c>
      <c r="H204" s="6">
        <v>1978</v>
      </c>
      <c r="I204" s="18" t="s">
        <v>847</v>
      </c>
      <c r="J204" s="6">
        <v>3034</v>
      </c>
      <c r="K204" s="18" t="s">
        <v>399</v>
      </c>
      <c r="L204" s="18"/>
      <c r="M204" s="18" t="s">
        <v>93</v>
      </c>
      <c r="N204" s="18" t="s">
        <v>28</v>
      </c>
      <c r="O204" s="6">
        <v>4608</v>
      </c>
      <c r="P204" s="6">
        <v>0</v>
      </c>
      <c r="Q204" s="6">
        <v>2097</v>
      </c>
      <c r="R204" s="6">
        <v>2009</v>
      </c>
      <c r="S204" s="19" t="s">
        <v>345</v>
      </c>
      <c r="T204" s="18" t="s">
        <v>848</v>
      </c>
      <c r="V204" s="6" t="str">
        <f t="shared" si="3"/>
        <v>('demo', 'martin@comunas.fm', '3034', 'Turnhalle', 'T12','ST01-9','C9',1978,'Murzelenstrasse 84','3034','Murzelen','ch','chf',4608,0,2097,2009,'NW','In Investitionsplan: Ersatz Fensterfront und Isolation Dach\nFenstersanierung und Decke ist im IP\nMalerarbeiten im ''13\nDuschen: Armaturen neu (''13)\nWW-Leitung tw. neu\nUG: Beleuchtung neu (ausser Turnhalle)\nFenster im WC wurden ersetzt: Holz/Metall (''16)\nGeländer wird neu gemacht'),</v>
      </c>
    </row>
    <row r="205" spans="1:22" x14ac:dyDescent="0.25">
      <c r="A205" s="18" t="s">
        <v>4</v>
      </c>
      <c r="B205" s="18" t="s">
        <v>20</v>
      </c>
      <c r="C205" s="6">
        <v>4303</v>
      </c>
      <c r="D205" s="18" t="s">
        <v>849</v>
      </c>
      <c r="E205" s="18" t="s">
        <v>304</v>
      </c>
      <c r="F205" s="18" t="s">
        <v>305</v>
      </c>
      <c r="G205" s="18" t="s">
        <v>427</v>
      </c>
      <c r="H205" s="6">
        <v>1963</v>
      </c>
      <c r="I205" s="18" t="s">
        <v>850</v>
      </c>
      <c r="J205" s="6">
        <v>4303</v>
      </c>
      <c r="K205" s="18" t="s">
        <v>851</v>
      </c>
      <c r="L205" s="18"/>
      <c r="M205" s="18" t="s">
        <v>93</v>
      </c>
      <c r="N205" s="18" t="s">
        <v>28</v>
      </c>
      <c r="O205" s="6">
        <v>6792</v>
      </c>
      <c r="P205" s="6">
        <v>0</v>
      </c>
      <c r="Q205" s="6">
        <v>3870</v>
      </c>
      <c r="R205" s="6">
        <v>2009</v>
      </c>
      <c r="S205" s="19" t="s">
        <v>252</v>
      </c>
      <c r="T205" s="18" t="s">
        <v>852</v>
      </c>
      <c r="V205" s="6" t="str">
        <f t="shared" si="3"/>
        <v>('demo', 'martin@comunas.fm', '4303', 'Turnhalle Dorf', 'T12','ST01-9','C33',1963,'Dorfstrasse 18','4303','Kaiseraugst','ch','chf',6792,0,3870,2009,'N','Hauswart: Samuel Baumann\nVerbindung zum Schulhaus mit Metallstützen und Flachdach\nUntersicht Dach: Heraklit\nBühne Parkett: Starke Abnützungsspuren\nSanierung 2007\nAudioanlage nicht mitversichert'),</v>
      </c>
    </row>
    <row r="206" spans="1:22" x14ac:dyDescent="0.25">
      <c r="A206" s="18" t="s">
        <v>4</v>
      </c>
      <c r="B206" s="18" t="s">
        <v>20</v>
      </c>
      <c r="C206" s="6">
        <v>4303</v>
      </c>
      <c r="D206" s="18" t="s">
        <v>853</v>
      </c>
      <c r="E206" s="18" t="s">
        <v>275</v>
      </c>
      <c r="F206" s="18" t="s">
        <v>276</v>
      </c>
      <c r="G206" s="18" t="s">
        <v>294</v>
      </c>
      <c r="H206" s="6">
        <v>1901</v>
      </c>
      <c r="I206" s="18" t="s">
        <v>854</v>
      </c>
      <c r="J206" s="6">
        <v>4303</v>
      </c>
      <c r="K206" s="18" t="s">
        <v>851</v>
      </c>
      <c r="L206" s="18"/>
      <c r="M206" s="18" t="s">
        <v>93</v>
      </c>
      <c r="N206" s="18" t="s">
        <v>28</v>
      </c>
      <c r="O206" s="6">
        <v>4875</v>
      </c>
      <c r="P206" s="6">
        <v>0</v>
      </c>
      <c r="Q206" s="6">
        <v>3300</v>
      </c>
      <c r="R206" s="6">
        <v>2009</v>
      </c>
      <c r="S206" s="19" t="s">
        <v>252</v>
      </c>
      <c r="T206" s="18" t="s">
        <v>855</v>
      </c>
      <c r="V206" s="6" t="str">
        <f t="shared" si="3"/>
        <v>('demo', 'martin@comunas.fm', '4303', 'Schulhaus Dorf inkl. Blockheizkraftwerk', 'T02','ST02-12','C9',1901,'Dorfstrasse 20','4303','Kaiseraugst','ch','chf',4875,0,3300,2009,'N','Rennovation innen vor ca. 12-13 Jahren inkl. Beleuchtung'),</v>
      </c>
    </row>
    <row r="207" spans="1:22" x14ac:dyDescent="0.25">
      <c r="A207" s="18" t="s">
        <v>4</v>
      </c>
      <c r="B207" s="18" t="s">
        <v>20</v>
      </c>
      <c r="C207" s="6">
        <v>4303</v>
      </c>
      <c r="D207" s="18" t="s">
        <v>856</v>
      </c>
      <c r="E207" s="18" t="s">
        <v>402</v>
      </c>
      <c r="F207" s="18" t="s">
        <v>652</v>
      </c>
      <c r="G207" s="18" t="s">
        <v>445</v>
      </c>
      <c r="H207" s="6">
        <v>2011</v>
      </c>
      <c r="I207" s="18" t="s">
        <v>857</v>
      </c>
      <c r="J207" s="6">
        <v>4303</v>
      </c>
      <c r="K207" s="18" t="s">
        <v>851</v>
      </c>
      <c r="L207" s="18"/>
      <c r="M207" s="18" t="s">
        <v>93</v>
      </c>
      <c r="N207" s="18" t="s">
        <v>28</v>
      </c>
      <c r="O207" s="6">
        <v>6907</v>
      </c>
      <c r="P207" s="6">
        <v>0</v>
      </c>
      <c r="Q207" s="6">
        <v>2372</v>
      </c>
      <c r="R207" s="6">
        <v>2011</v>
      </c>
      <c r="S207" s="19" t="s">
        <v>252</v>
      </c>
      <c r="T207" s="18" t="s">
        <v>858</v>
      </c>
      <c r="V207" s="6" t="str">
        <f t="shared" si="3"/>
        <v>('demo', 'martin@comunas.fm', '4303', 'Löwenparking', 'T13','ST02-14','C35',2011,'Kastellstrasse 3','4303','Kaiseraugst','ch','chf',6907,0,2372,2011,'N','Parkuhr nicht im Versicherungswert enthalten'),</v>
      </c>
    </row>
    <row r="208" spans="1:22" x14ac:dyDescent="0.25">
      <c r="A208" s="18" t="s">
        <v>4</v>
      </c>
      <c r="B208" s="18" t="s">
        <v>20</v>
      </c>
      <c r="C208" s="6">
        <v>4303</v>
      </c>
      <c r="D208" s="18" t="s">
        <v>859</v>
      </c>
      <c r="E208" s="18" t="s">
        <v>275</v>
      </c>
      <c r="F208" s="18" t="s">
        <v>284</v>
      </c>
      <c r="G208" s="18" t="s">
        <v>285</v>
      </c>
      <c r="H208" s="6">
        <v>2013</v>
      </c>
      <c r="I208" s="18" t="s">
        <v>860</v>
      </c>
      <c r="J208" s="6">
        <v>4303</v>
      </c>
      <c r="K208" s="18" t="s">
        <v>851</v>
      </c>
      <c r="L208" s="18"/>
      <c r="M208" s="18" t="s">
        <v>93</v>
      </c>
      <c r="N208" s="18" t="s">
        <v>28</v>
      </c>
      <c r="O208" s="6">
        <v>1993</v>
      </c>
      <c r="P208" s="6">
        <v>0</v>
      </c>
      <c r="Q208" s="6">
        <v>1380</v>
      </c>
      <c r="R208" s="6">
        <v>2013</v>
      </c>
      <c r="S208" s="19" t="s">
        <v>252</v>
      </c>
      <c r="T208" s="18"/>
      <c r="V208" s="6" t="str">
        <f t="shared" si="3"/>
        <v>('demo', 'martin@comunas.fm', '4303', 'Kindergarten Dorf', 'T02','ST01-4','C8',2013,'Dorfstrasse 19','4303','Kaiseraugst','ch','chf',1993,0,1380,2013,'N',null),</v>
      </c>
    </row>
    <row r="209" spans="1:22" x14ac:dyDescent="0.25">
      <c r="A209" s="18" t="s">
        <v>4</v>
      </c>
      <c r="B209" s="18" t="s">
        <v>20</v>
      </c>
      <c r="C209" s="6">
        <v>4303</v>
      </c>
      <c r="D209" s="18" t="s">
        <v>861</v>
      </c>
      <c r="E209" s="18" t="s">
        <v>275</v>
      </c>
      <c r="F209" s="18" t="s">
        <v>862</v>
      </c>
      <c r="G209" s="18" t="s">
        <v>277</v>
      </c>
      <c r="H209" s="6">
        <v>2013</v>
      </c>
      <c r="I209" s="18" t="s">
        <v>860</v>
      </c>
      <c r="J209" s="6">
        <v>4303</v>
      </c>
      <c r="K209" s="18" t="s">
        <v>851</v>
      </c>
      <c r="L209" s="18"/>
      <c r="M209" s="18" t="s">
        <v>93</v>
      </c>
      <c r="N209" s="18" t="s">
        <v>28</v>
      </c>
      <c r="O209" s="6">
        <v>23</v>
      </c>
      <c r="P209" s="6">
        <v>0</v>
      </c>
      <c r="Q209" s="6">
        <v>10</v>
      </c>
      <c r="R209" s="6">
        <v>2013</v>
      </c>
      <c r="S209" s="19" t="s">
        <v>252</v>
      </c>
      <c r="T209" s="18"/>
      <c r="V209" s="6" t="str">
        <f t="shared" si="3"/>
        <v>('demo', 'martin@comunas.fm', '4303', 'Geräteschopf', 'T02','ST01-8','C0',2013,'Dorfstrasse 19','4303','Kaiseraugst','ch','chf',23,0,10,2013,'N',null),</v>
      </c>
    </row>
    <row r="210" spans="1:22" x14ac:dyDescent="0.25">
      <c r="A210" s="18" t="s">
        <v>4</v>
      </c>
      <c r="B210" s="18" t="s">
        <v>20</v>
      </c>
      <c r="C210" s="6">
        <v>4303</v>
      </c>
      <c r="D210" s="18" t="s">
        <v>863</v>
      </c>
      <c r="E210" s="18" t="s">
        <v>288</v>
      </c>
      <c r="F210" s="18" t="s">
        <v>289</v>
      </c>
      <c r="G210" s="18" t="s">
        <v>290</v>
      </c>
      <c r="H210" s="6">
        <v>1897</v>
      </c>
      <c r="I210" s="18" t="s">
        <v>864</v>
      </c>
      <c r="J210" s="6">
        <v>4303</v>
      </c>
      <c r="K210" s="18" t="s">
        <v>851</v>
      </c>
      <c r="L210" s="18"/>
      <c r="M210" s="18" t="s">
        <v>93</v>
      </c>
      <c r="N210" s="18" t="s">
        <v>28</v>
      </c>
      <c r="O210" s="6">
        <v>1156</v>
      </c>
      <c r="P210" s="6">
        <v>0</v>
      </c>
      <c r="Q210" s="6">
        <v>896</v>
      </c>
      <c r="R210" s="6">
        <v>1998</v>
      </c>
      <c r="S210" s="19" t="s">
        <v>252</v>
      </c>
      <c r="T210" s="18" t="s">
        <v>865</v>
      </c>
      <c r="V210" s="6" t="str">
        <f t="shared" si="3"/>
        <v>('demo', 'martin@comunas.fm', '4303', 'Wohnhaus Dorfstr. 27', 'T01','ST02-11','C7',1897,'Dorfstrasse 27','4303','Kaiseraugst','ch','chf',1156,0,896,1998,'N','3 Wohnungen\nWW wurde neu gemacht\nKaltwasser-Steigleitungen sind alt'),</v>
      </c>
    </row>
    <row r="211" spans="1:22" x14ac:dyDescent="0.25">
      <c r="A211" s="18" t="s">
        <v>4</v>
      </c>
      <c r="B211" s="18" t="s">
        <v>20</v>
      </c>
      <c r="C211" s="6">
        <v>4303</v>
      </c>
      <c r="D211" s="18" t="s">
        <v>866</v>
      </c>
      <c r="E211" s="18" t="s">
        <v>275</v>
      </c>
      <c r="F211" s="18" t="s">
        <v>276</v>
      </c>
      <c r="G211" s="18" t="s">
        <v>867</v>
      </c>
      <c r="H211" s="6">
        <v>1976</v>
      </c>
      <c r="I211" s="18" t="s">
        <v>868</v>
      </c>
      <c r="J211" s="6">
        <v>4303</v>
      </c>
      <c r="K211" s="18" t="s">
        <v>851</v>
      </c>
      <c r="L211" s="18"/>
      <c r="M211" s="18" t="s">
        <v>93</v>
      </c>
      <c r="N211" s="18" t="s">
        <v>28</v>
      </c>
      <c r="O211" s="6">
        <v>32195</v>
      </c>
      <c r="P211" s="6">
        <v>0</v>
      </c>
      <c r="Q211" s="6">
        <v>21393</v>
      </c>
      <c r="R211" s="6">
        <v>2015</v>
      </c>
      <c r="S211" s="19" t="s">
        <v>252</v>
      </c>
      <c r="T211" s="18" t="s">
        <v>869</v>
      </c>
      <c r="V211" s="6" t="str">
        <f t="shared" si="3"/>
        <v>('demo', 'martin@comunas.fm', '4303', 'Schulhaus Liebrüti', 'T02','ST02-12','C10',1976,'Hintere Liebrüti','4303','Kaiseraugst','ch','chf',32195,0,21393,2015,'N','HW: Udo Vici\nInteraktive Wandtafeln nicht im Versicherungswert eingerechnet'),</v>
      </c>
    </row>
    <row r="212" spans="1:22" x14ac:dyDescent="0.25">
      <c r="A212" s="18" t="s">
        <v>4</v>
      </c>
      <c r="B212" s="18" t="s">
        <v>20</v>
      </c>
      <c r="C212" s="6">
        <v>4303</v>
      </c>
      <c r="D212" s="18" t="s">
        <v>870</v>
      </c>
      <c r="E212" s="18" t="s">
        <v>275</v>
      </c>
      <c r="F212" s="18" t="s">
        <v>276</v>
      </c>
      <c r="G212" s="18" t="s">
        <v>294</v>
      </c>
      <c r="H212" s="6">
        <v>2009</v>
      </c>
      <c r="I212" s="18" t="s">
        <v>868</v>
      </c>
      <c r="J212" s="6">
        <v>4303</v>
      </c>
      <c r="K212" s="18" t="s">
        <v>851</v>
      </c>
      <c r="L212" s="18"/>
      <c r="M212" s="18" t="s">
        <v>93</v>
      </c>
      <c r="N212" s="18" t="s">
        <v>28</v>
      </c>
      <c r="O212" s="6">
        <v>2204</v>
      </c>
      <c r="P212" s="6">
        <v>0</v>
      </c>
      <c r="Q212" s="6">
        <v>1377</v>
      </c>
      <c r="R212" s="6">
        <v>2009</v>
      </c>
      <c r="S212" s="19" t="s">
        <v>252</v>
      </c>
      <c r="T212" s="18"/>
      <c r="V212" s="6" t="str">
        <f t="shared" si="3"/>
        <v>('demo', 'martin@comunas.fm', '4303', 'Pavillon Liebrüti', 'T02','ST02-12','C9',2009,'Hintere Liebrüti','4303','Kaiseraugst','ch','chf',2204,0,1377,2009,'N',null),</v>
      </c>
    </row>
    <row r="213" spans="1:22" x14ac:dyDescent="0.25">
      <c r="A213" s="18" t="s">
        <v>4</v>
      </c>
      <c r="B213" s="18" t="s">
        <v>20</v>
      </c>
      <c r="C213" s="6">
        <v>4303</v>
      </c>
      <c r="D213" s="18" t="s">
        <v>871</v>
      </c>
      <c r="E213" s="18" t="s">
        <v>304</v>
      </c>
      <c r="F213" s="18" t="s">
        <v>305</v>
      </c>
      <c r="G213" s="18" t="s">
        <v>427</v>
      </c>
      <c r="H213" s="6">
        <v>1976</v>
      </c>
      <c r="I213" s="18" t="s">
        <v>868</v>
      </c>
      <c r="J213" s="6">
        <v>4303</v>
      </c>
      <c r="K213" s="18" t="s">
        <v>851</v>
      </c>
      <c r="L213" s="18"/>
      <c r="M213" s="18" t="s">
        <v>93</v>
      </c>
      <c r="N213" s="18" t="s">
        <v>28</v>
      </c>
      <c r="O213" s="6">
        <v>23095</v>
      </c>
      <c r="P213" s="6">
        <v>0</v>
      </c>
      <c r="Q213" s="6">
        <v>12169</v>
      </c>
      <c r="R213" s="6">
        <v>2001</v>
      </c>
      <c r="S213" s="19" t="s">
        <v>252</v>
      </c>
      <c r="T213" s="18" t="s">
        <v>872</v>
      </c>
      <c r="V213" s="6" t="str">
        <f t="shared" si="3"/>
        <v>('demo', 'martin@comunas.fm', '4303', 'Turnhalle Liebrüti', 'T12','ST01-9','C33',1976,'Hintere Liebrüti','4303','Kaiseraugst','ch','chf',23095,0,12169,2001,'N','Erweiterung und Sanierung 1998'),</v>
      </c>
    </row>
    <row r="214" spans="1:22" x14ac:dyDescent="0.25">
      <c r="A214" s="18" t="s">
        <v>4</v>
      </c>
      <c r="B214" s="18" t="s">
        <v>20</v>
      </c>
      <c r="C214" s="6">
        <v>4303</v>
      </c>
      <c r="D214" s="18" t="s">
        <v>873</v>
      </c>
      <c r="E214" s="18" t="s">
        <v>304</v>
      </c>
      <c r="F214" s="18" t="s">
        <v>305</v>
      </c>
      <c r="G214" s="18" t="s">
        <v>277</v>
      </c>
      <c r="H214" s="6">
        <v>1977</v>
      </c>
      <c r="I214" s="18" t="s">
        <v>874</v>
      </c>
      <c r="J214" s="6">
        <v>4303</v>
      </c>
      <c r="K214" s="18" t="s">
        <v>851</v>
      </c>
      <c r="L214" s="18"/>
      <c r="M214" s="18" t="s">
        <v>93</v>
      </c>
      <c r="N214" s="18" t="s">
        <v>28</v>
      </c>
      <c r="O214" s="6">
        <v>289</v>
      </c>
      <c r="P214" s="6">
        <v>0</v>
      </c>
      <c r="Q214" s="6">
        <v>144</v>
      </c>
      <c r="R214" s="6">
        <v>2007</v>
      </c>
      <c r="S214" s="19" t="s">
        <v>252</v>
      </c>
      <c r="T214" s="18"/>
      <c r="V214" s="6" t="str">
        <f t="shared" si="3"/>
        <v>('demo', 'martin@comunas.fm', '4303', 'Gerätehaus Liebrüti', 'T12','ST01-9','C0',1977,'Hintere Liebrüti, Böttmeweg','4303','Kaiseraugst','ch','chf',289,0,144,2007,'N',null),</v>
      </c>
    </row>
    <row r="215" spans="1:22" x14ac:dyDescent="0.25">
      <c r="A215" s="18" t="s">
        <v>4</v>
      </c>
      <c r="B215" s="18" t="s">
        <v>20</v>
      </c>
      <c r="C215" s="6">
        <v>4950</v>
      </c>
      <c r="D215" s="18" t="s">
        <v>875</v>
      </c>
      <c r="E215" s="18" t="s">
        <v>275</v>
      </c>
      <c r="F215" s="18" t="s">
        <v>284</v>
      </c>
      <c r="G215" s="18" t="s">
        <v>285</v>
      </c>
      <c r="H215" s="6">
        <v>1957</v>
      </c>
      <c r="I215" s="18" t="s">
        <v>876</v>
      </c>
      <c r="J215" s="6">
        <v>4950</v>
      </c>
      <c r="K215" s="18" t="s">
        <v>661</v>
      </c>
      <c r="L215" s="18"/>
      <c r="M215" s="18" t="s">
        <v>93</v>
      </c>
      <c r="N215" s="18" t="s">
        <v>28</v>
      </c>
      <c r="O215" s="6">
        <v>1400</v>
      </c>
      <c r="P215" s="6">
        <v>0</v>
      </c>
      <c r="Q215" s="6">
        <v>10715</v>
      </c>
      <c r="R215" s="6">
        <v>1996</v>
      </c>
      <c r="S215" s="19" t="s">
        <v>252</v>
      </c>
      <c r="T215" s="18"/>
      <c r="V215" s="6" t="str">
        <f t="shared" si="3"/>
        <v>('demo', 'martin@comunas.fm', '4950', 'Kindergarten Heimstrasse', 'T02','ST01-4','C8',1957,'Heimstrasse 1','4950','Huttwil','ch','chf',1400,0,10715,1996,'N',null),</v>
      </c>
    </row>
    <row r="216" spans="1:22" x14ac:dyDescent="0.25">
      <c r="A216" s="18" t="s">
        <v>4</v>
      </c>
      <c r="B216" s="18" t="s">
        <v>20</v>
      </c>
      <c r="C216" s="6">
        <v>4303</v>
      </c>
      <c r="D216" s="18" t="s">
        <v>877</v>
      </c>
      <c r="E216" s="18" t="s">
        <v>275</v>
      </c>
      <c r="F216" s="18" t="s">
        <v>284</v>
      </c>
      <c r="G216" s="18" t="s">
        <v>285</v>
      </c>
      <c r="H216" s="6">
        <v>1976</v>
      </c>
      <c r="I216" s="18" t="s">
        <v>878</v>
      </c>
      <c r="J216" s="6">
        <v>4303</v>
      </c>
      <c r="K216" s="18" t="s">
        <v>851</v>
      </c>
      <c r="L216" s="18"/>
      <c r="M216" s="18" t="s">
        <v>93</v>
      </c>
      <c r="N216" s="18" t="s">
        <v>28</v>
      </c>
      <c r="O216" s="6">
        <v>6007</v>
      </c>
      <c r="P216" s="6">
        <v>0</v>
      </c>
      <c r="Q216" s="6">
        <v>3484</v>
      </c>
      <c r="R216" s="6">
        <v>2015</v>
      </c>
      <c r="S216" s="19" t="s">
        <v>252</v>
      </c>
      <c r="T216" s="18" t="s">
        <v>879</v>
      </c>
      <c r="V216" s="6" t="str">
        <f t="shared" si="3"/>
        <v>('demo', 'martin@comunas.fm', '4303', 'KIGA Schwarzackerstrasse', 'T02','ST01-4','C8',1976,'Schwarzackerstrasse 59','4303','Kaiseraugst','ch','chf',6007,0,3484,2015,'N','Das Flachdach konnte nicht besichtigt werden. Für alle Elemente der Gebäudehülle u.a. Elemente, deren Unterhalt über die Miete finanziert werden, sind die Reinvestationskosten für das ganze Gebäude enthalten. In der Regel werden diese Kosten von allen Mietern resp. vom Vermieter getragen.'),</v>
      </c>
    </row>
    <row r="217" spans="1:22" x14ac:dyDescent="0.25">
      <c r="A217" s="18" t="s">
        <v>4</v>
      </c>
      <c r="B217" s="18" t="s">
        <v>20</v>
      </c>
      <c r="C217" s="6">
        <v>4303</v>
      </c>
      <c r="D217" s="18" t="s">
        <v>880</v>
      </c>
      <c r="E217" s="18" t="s">
        <v>275</v>
      </c>
      <c r="F217" s="18" t="s">
        <v>284</v>
      </c>
      <c r="G217" s="18" t="s">
        <v>285</v>
      </c>
      <c r="H217" s="6">
        <v>1974</v>
      </c>
      <c r="I217" s="18" t="s">
        <v>881</v>
      </c>
      <c r="J217" s="6">
        <v>4303</v>
      </c>
      <c r="K217" s="18" t="s">
        <v>851</v>
      </c>
      <c r="L217" s="18"/>
      <c r="M217" s="18" t="s">
        <v>93</v>
      </c>
      <c r="N217" s="18" t="s">
        <v>28</v>
      </c>
      <c r="O217" s="6">
        <v>6566</v>
      </c>
      <c r="P217" s="6">
        <v>0</v>
      </c>
      <c r="Q217" s="6">
        <v>3905</v>
      </c>
      <c r="R217" s="6">
        <v>1998</v>
      </c>
      <c r="S217" s="19" t="s">
        <v>252</v>
      </c>
      <c r="T217" s="18" t="s">
        <v>882</v>
      </c>
      <c r="V217" s="6" t="str">
        <f t="shared" si="3"/>
        <v>('demo', 'martin@comunas.fm', '4303', 'KIGA Liebrütistrasse', 'T02','ST01-4','C8',1974,'Liebrütistrasse 14','4303','Kaiseraugst','ch','chf',6566,0,3905,1998,'N','Für alle Elemente der Gebäudehülle u.a. Elemente, deren Unterhalt über die Miete finanziert werden, sind die Reinvestationskosten für das ganze Gebäude enthalten. In der Regel werden diese Kosten von allen Mietern resp. vom Vermieter getragen.\nDas Flachdach konnte nicht besichtigt werden'),</v>
      </c>
    </row>
    <row r="218" spans="1:22" x14ac:dyDescent="0.25">
      <c r="A218" s="18" t="s">
        <v>4</v>
      </c>
      <c r="B218" s="18" t="s">
        <v>20</v>
      </c>
      <c r="C218" s="6">
        <v>8153</v>
      </c>
      <c r="D218" s="18" t="s">
        <v>619</v>
      </c>
      <c r="E218" s="18" t="s">
        <v>275</v>
      </c>
      <c r="F218" s="18" t="s">
        <v>276</v>
      </c>
      <c r="G218" s="18" t="s">
        <v>294</v>
      </c>
      <c r="H218" s="6">
        <v>1991</v>
      </c>
      <c r="I218" s="18" t="s">
        <v>883</v>
      </c>
      <c r="J218" s="6">
        <v>8153</v>
      </c>
      <c r="K218" s="18" t="s">
        <v>884</v>
      </c>
      <c r="L218" s="18"/>
      <c r="M218" s="18" t="s">
        <v>93</v>
      </c>
      <c r="N218" s="18" t="s">
        <v>28</v>
      </c>
      <c r="O218" s="6">
        <v>129</v>
      </c>
      <c r="P218" s="6">
        <v>0</v>
      </c>
      <c r="Q218" s="6">
        <v>141</v>
      </c>
      <c r="R218" s="6">
        <v>2017</v>
      </c>
      <c r="S218" s="19" t="s">
        <v>252</v>
      </c>
      <c r="T218" s="18"/>
      <c r="V218" s="6" t="str">
        <f t="shared" si="3"/>
        <v>('demo', 'martin@comunas.fm', '8153', 'Pavillon', 'T02','ST02-12','C9',1991,'Im Hui','8153','Rümlang','ch','chf',129,0,141,2017,'N',null),</v>
      </c>
    </row>
    <row r="219" spans="1:22" x14ac:dyDescent="0.25">
      <c r="A219" s="18" t="s">
        <v>4</v>
      </c>
      <c r="B219" s="18" t="s">
        <v>20</v>
      </c>
      <c r="C219" s="6">
        <v>4303</v>
      </c>
      <c r="D219" s="18" t="s">
        <v>885</v>
      </c>
      <c r="E219" s="18" t="s">
        <v>366</v>
      </c>
      <c r="F219" s="18" t="s">
        <v>886</v>
      </c>
      <c r="G219" s="18" t="s">
        <v>277</v>
      </c>
      <c r="H219" s="6">
        <v>1996</v>
      </c>
      <c r="I219" s="18" t="s">
        <v>887</v>
      </c>
      <c r="J219" s="6">
        <v>4303</v>
      </c>
      <c r="K219" s="18" t="s">
        <v>851</v>
      </c>
      <c r="L219" s="18"/>
      <c r="M219" s="18" t="s">
        <v>93</v>
      </c>
      <c r="N219" s="18" t="s">
        <v>28</v>
      </c>
      <c r="O219" s="6">
        <v>346</v>
      </c>
      <c r="P219" s="6">
        <v>0</v>
      </c>
      <c r="Q219" s="6">
        <v>150</v>
      </c>
      <c r="R219" s="6">
        <v>1996</v>
      </c>
      <c r="S219" s="19" t="s">
        <v>252</v>
      </c>
      <c r="T219" s="18" t="s">
        <v>888</v>
      </c>
      <c r="V219" s="6" t="str">
        <f t="shared" si="3"/>
        <v>('demo', 'martin@comunas.fm', '4303', '(Vereinshaus Kleingärten)', 'T10','ST05-32','C0',1996,'Im Liner','4303','Kaiseraugst','ch','chf',346,0,150,1996,'N','Objekt wurde nicht aufgenommen'),</v>
      </c>
    </row>
    <row r="220" spans="1:22" x14ac:dyDescent="0.25">
      <c r="A220" s="18" t="s">
        <v>4</v>
      </c>
      <c r="B220" s="18" t="s">
        <v>20</v>
      </c>
      <c r="C220" s="6">
        <v>4303</v>
      </c>
      <c r="D220" s="18" t="s">
        <v>889</v>
      </c>
      <c r="E220" s="18" t="s">
        <v>386</v>
      </c>
      <c r="F220" s="18" t="s">
        <v>387</v>
      </c>
      <c r="G220" s="18" t="s">
        <v>368</v>
      </c>
      <c r="H220" s="6">
        <v>1977</v>
      </c>
      <c r="I220" s="18" t="s">
        <v>890</v>
      </c>
      <c r="J220" s="6">
        <v>4303</v>
      </c>
      <c r="K220" s="18" t="s">
        <v>851</v>
      </c>
      <c r="L220" s="18"/>
      <c r="M220" s="18" t="s">
        <v>93</v>
      </c>
      <c r="N220" s="18" t="s">
        <v>28</v>
      </c>
      <c r="O220" s="6">
        <v>2090</v>
      </c>
      <c r="P220" s="6">
        <v>0</v>
      </c>
      <c r="Q220" s="6">
        <v>1481</v>
      </c>
      <c r="R220" s="6">
        <v>2010</v>
      </c>
      <c r="S220" s="19" t="s">
        <v>252</v>
      </c>
      <c r="T220" s="18" t="s">
        <v>891</v>
      </c>
      <c r="V220" s="6" t="str">
        <f t="shared" si="3"/>
        <v>('demo', 'martin@comunas.fm', '4303', 'Abdankungshalle', 'T09','ST03-18','C29',1977,'Friedhof','4303','Kaiseraugst','ch','chf',2090,0,1481,2010,'N','Erweiterungsbau 2011/12'),</v>
      </c>
    </row>
    <row r="221" spans="1:22" x14ac:dyDescent="0.25">
      <c r="A221" s="18" t="s">
        <v>4</v>
      </c>
      <c r="B221" s="18" t="s">
        <v>20</v>
      </c>
      <c r="C221" s="6">
        <v>4303</v>
      </c>
      <c r="D221" s="18" t="s">
        <v>892</v>
      </c>
      <c r="E221" s="18" t="s">
        <v>684</v>
      </c>
      <c r="F221" s="18" t="s">
        <v>862</v>
      </c>
      <c r="G221" s="18" t="s">
        <v>277</v>
      </c>
      <c r="H221" s="6">
        <v>1996</v>
      </c>
      <c r="I221" s="18" t="s">
        <v>890</v>
      </c>
      <c r="J221" s="6">
        <v>4303</v>
      </c>
      <c r="K221" s="18" t="s">
        <v>851</v>
      </c>
      <c r="L221" s="18"/>
      <c r="M221" s="18" t="s">
        <v>93</v>
      </c>
      <c r="N221" s="18" t="s">
        <v>28</v>
      </c>
      <c r="O221" s="6">
        <v>198</v>
      </c>
      <c r="P221" s="6">
        <v>0</v>
      </c>
      <c r="Q221" s="6">
        <v>45</v>
      </c>
      <c r="R221" s="6">
        <v>1997</v>
      </c>
      <c r="S221" s="19" t="s">
        <v>252</v>
      </c>
      <c r="T221" s="18"/>
      <c r="V221" s="6" t="str">
        <f t="shared" si="3"/>
        <v>('demo', 'martin@comunas.fm', '4303', 'Geräteraum', 'T05','ST01-8','C0',1996,'Friedhof','4303','Kaiseraugst','ch','chf',198,0,45,1997,'N',null),</v>
      </c>
    </row>
    <row r="222" spans="1:22" x14ac:dyDescent="0.25">
      <c r="A222" s="18" t="s">
        <v>4</v>
      </c>
      <c r="B222" s="18" t="s">
        <v>20</v>
      </c>
      <c r="C222" s="6">
        <v>4303</v>
      </c>
      <c r="D222" s="18" t="s">
        <v>893</v>
      </c>
      <c r="E222" s="18" t="s">
        <v>894</v>
      </c>
      <c r="F222" s="18" t="s">
        <v>895</v>
      </c>
      <c r="G222" s="18" t="s">
        <v>896</v>
      </c>
      <c r="H222" s="6">
        <v>1958</v>
      </c>
      <c r="I222" s="18" t="s">
        <v>897</v>
      </c>
      <c r="J222" s="6">
        <v>4303</v>
      </c>
      <c r="K222" s="18" t="s">
        <v>851</v>
      </c>
      <c r="L222" s="18"/>
      <c r="M222" s="18" t="s">
        <v>93</v>
      </c>
      <c r="N222" s="18" t="s">
        <v>28</v>
      </c>
      <c r="O222" s="6">
        <v>698</v>
      </c>
      <c r="P222" s="6">
        <v>0</v>
      </c>
      <c r="Q222" s="6">
        <v>316</v>
      </c>
      <c r="R222" s="6">
        <v>2010</v>
      </c>
      <c r="S222" s="19" t="s">
        <v>252</v>
      </c>
      <c r="T222" s="18" t="s">
        <v>898</v>
      </c>
      <c r="V222" s="6" t="str">
        <f t="shared" si="3"/>
        <v>('demo', 'martin@comunas.fm', '4303', 'Camping, Kiosk', 'T11','ST09-44','C30',1958,'Lochmatt, Strandbadweg 59','4303','Kaiseraugst','ch','chf',698,0,316,2010,'N','Kälteanlagen und mobile Kücheneinrichtungen sind nicht im Versicherungswert enthalten'),</v>
      </c>
    </row>
    <row r="223" spans="1:22" x14ac:dyDescent="0.25">
      <c r="A223" s="18" t="s">
        <v>4</v>
      </c>
      <c r="B223" s="18" t="s">
        <v>20</v>
      </c>
      <c r="C223" s="6">
        <v>4303</v>
      </c>
      <c r="D223" s="18" t="s">
        <v>899</v>
      </c>
      <c r="E223" s="18" t="s">
        <v>894</v>
      </c>
      <c r="F223" s="18" t="s">
        <v>895</v>
      </c>
      <c r="G223" s="18" t="s">
        <v>277</v>
      </c>
      <c r="H223" s="6">
        <v>1950</v>
      </c>
      <c r="I223" s="18" t="s">
        <v>900</v>
      </c>
      <c r="J223" s="6">
        <v>4303</v>
      </c>
      <c r="K223" s="18" t="s">
        <v>851</v>
      </c>
      <c r="L223" s="18"/>
      <c r="M223" s="18" t="s">
        <v>93</v>
      </c>
      <c r="N223" s="18" t="s">
        <v>28</v>
      </c>
      <c r="O223" s="6">
        <v>131</v>
      </c>
      <c r="P223" s="6">
        <v>0</v>
      </c>
      <c r="Q223" s="6">
        <v>88</v>
      </c>
      <c r="R223" s="6">
        <v>2006</v>
      </c>
      <c r="S223" s="19" t="s">
        <v>252</v>
      </c>
      <c r="T223" s="18"/>
      <c r="V223" s="6" t="str">
        <f t="shared" si="3"/>
        <v>('demo', 'martin@comunas.fm', '4303', 'WC-Gebäude', 'T11','ST09-44','C0',1950,'Lochmatt','4303','Kaiseraugst','ch','chf',131,0,88,2006,'N',null),</v>
      </c>
    </row>
    <row r="224" spans="1:22" x14ac:dyDescent="0.25">
      <c r="A224" s="18" t="s">
        <v>4</v>
      </c>
      <c r="B224" s="18" t="s">
        <v>20</v>
      </c>
      <c r="C224" s="6">
        <v>4303</v>
      </c>
      <c r="D224" s="18" t="s">
        <v>901</v>
      </c>
      <c r="E224" s="18" t="s">
        <v>894</v>
      </c>
      <c r="F224" s="18" t="s">
        <v>895</v>
      </c>
      <c r="G224" s="18" t="s">
        <v>507</v>
      </c>
      <c r="H224" s="6">
        <v>1929</v>
      </c>
      <c r="I224" s="18" t="s">
        <v>900</v>
      </c>
      <c r="J224" s="6">
        <v>4303</v>
      </c>
      <c r="K224" s="18" t="s">
        <v>851</v>
      </c>
      <c r="L224" s="18"/>
      <c r="M224" s="18" t="s">
        <v>93</v>
      </c>
      <c r="N224" s="18" t="s">
        <v>28</v>
      </c>
      <c r="O224" s="6">
        <v>304</v>
      </c>
      <c r="P224" s="6">
        <v>0</v>
      </c>
      <c r="Q224" s="6">
        <v>176</v>
      </c>
      <c r="R224" s="6">
        <v>2006</v>
      </c>
      <c r="S224" s="19" t="s">
        <v>252</v>
      </c>
      <c r="T224" s="18"/>
      <c r="V224" s="6" t="str">
        <f t="shared" si="3"/>
        <v>('demo', 'martin@comunas.fm', '4303', 'Garderobengebäude', 'T11','ST09-44','C37',1929,'Lochmatt','4303','Kaiseraugst','ch','chf',304,0,176,2006,'N',null),</v>
      </c>
    </row>
    <row r="225" spans="1:22" x14ac:dyDescent="0.25">
      <c r="A225" s="18" t="s">
        <v>4</v>
      </c>
      <c r="B225" s="18" t="s">
        <v>20</v>
      </c>
      <c r="C225" s="6">
        <v>4303</v>
      </c>
      <c r="D225" s="18" t="s">
        <v>582</v>
      </c>
      <c r="E225" s="18" t="s">
        <v>894</v>
      </c>
      <c r="F225" s="18" t="s">
        <v>895</v>
      </c>
      <c r="G225" s="18" t="s">
        <v>507</v>
      </c>
      <c r="H225" s="6">
        <v>1927</v>
      </c>
      <c r="I225" s="18" t="s">
        <v>900</v>
      </c>
      <c r="J225" s="6">
        <v>4303</v>
      </c>
      <c r="K225" s="18" t="s">
        <v>851</v>
      </c>
      <c r="L225" s="18"/>
      <c r="M225" s="18" t="s">
        <v>93</v>
      </c>
      <c r="N225" s="18" t="s">
        <v>28</v>
      </c>
      <c r="O225" s="6">
        <v>31</v>
      </c>
      <c r="P225" s="6">
        <v>0</v>
      </c>
      <c r="Q225" s="6">
        <v>17</v>
      </c>
      <c r="R225" s="6">
        <v>2006</v>
      </c>
      <c r="S225" s="19" t="s">
        <v>252</v>
      </c>
      <c r="T225" s="18" t="s">
        <v>902</v>
      </c>
      <c r="V225" s="6" t="str">
        <f t="shared" si="3"/>
        <v>('demo', 'martin@comunas.fm', '4303', 'Magazin', 'T11','ST09-44','C37',1927,'Lochmatt','4303','Kaiseraugst','ch','chf',31,0,17,2006,'N','Badmeisterhäuschen'),</v>
      </c>
    </row>
    <row r="226" spans="1:22" x14ac:dyDescent="0.25">
      <c r="A226" s="18" t="s">
        <v>4</v>
      </c>
      <c r="B226" s="18" t="s">
        <v>20</v>
      </c>
      <c r="C226" s="6">
        <v>4303</v>
      </c>
      <c r="D226" s="18" t="s">
        <v>903</v>
      </c>
      <c r="E226" s="18" t="s">
        <v>894</v>
      </c>
      <c r="F226" s="18" t="s">
        <v>895</v>
      </c>
      <c r="G226" s="18" t="s">
        <v>507</v>
      </c>
      <c r="H226" s="6">
        <v>1982</v>
      </c>
      <c r="I226" s="18" t="s">
        <v>900</v>
      </c>
      <c r="J226" s="6">
        <v>4303</v>
      </c>
      <c r="K226" s="18" t="s">
        <v>851</v>
      </c>
      <c r="L226" s="18"/>
      <c r="M226" s="18" t="s">
        <v>93</v>
      </c>
      <c r="N226" s="18" t="s">
        <v>28</v>
      </c>
      <c r="O226" s="6">
        <v>207</v>
      </c>
      <c r="P226" s="6">
        <v>0</v>
      </c>
      <c r="Q226" s="6">
        <v>445</v>
      </c>
      <c r="R226" s="6">
        <v>2006</v>
      </c>
      <c r="S226" s="19" t="s">
        <v>252</v>
      </c>
      <c r="T226" s="18"/>
      <c r="V226" s="6" t="str">
        <f t="shared" si="3"/>
        <v>('demo', 'martin@comunas.fm', '4303', 'Betriebsgebäude', 'T11','ST09-44','C37',1982,'Lochmatt','4303','Kaiseraugst','ch','chf',207,0,445,2006,'N',null),</v>
      </c>
    </row>
    <row r="227" spans="1:22" x14ac:dyDescent="0.25">
      <c r="A227" s="18" t="s">
        <v>4</v>
      </c>
      <c r="B227" s="18" t="s">
        <v>20</v>
      </c>
      <c r="C227" s="6">
        <v>9471</v>
      </c>
      <c r="D227" s="18" t="s">
        <v>342</v>
      </c>
      <c r="E227" s="18" t="s">
        <v>288</v>
      </c>
      <c r="F227" s="18" t="s">
        <v>289</v>
      </c>
      <c r="G227" s="18" t="s">
        <v>290</v>
      </c>
      <c r="H227" s="6">
        <v>1920</v>
      </c>
      <c r="I227" s="18" t="s">
        <v>473</v>
      </c>
      <c r="J227" s="6">
        <v>9471</v>
      </c>
      <c r="K227" s="18" t="s">
        <v>323</v>
      </c>
      <c r="L227" s="18"/>
      <c r="M227" s="18" t="s">
        <v>93</v>
      </c>
      <c r="N227" s="18" t="s">
        <v>28</v>
      </c>
      <c r="O227" s="6">
        <v>3736</v>
      </c>
      <c r="P227" s="6">
        <v>0</v>
      </c>
      <c r="Q227" s="6">
        <v>2614</v>
      </c>
      <c r="R227" s="6">
        <v>2014</v>
      </c>
      <c r="S227" s="19" t="s">
        <v>252</v>
      </c>
      <c r="T227" s="18" t="s">
        <v>904</v>
      </c>
      <c r="V227" s="6" t="str">
        <f t="shared" si="3"/>
        <v>('demo', 'martin@comunas.fm', '9471', 'Wohn- und Geschäftshaus', 'T01','ST02-11','C7',1920,'St. Gallerstrasse 6','9471','Buchs SG','ch','chf',3736,0,2614,2014,'N','Das Gebäude ist zumindest teilweise erhaltenswert (auch alte Beschläge und Radiatoren) und steht möglicherweise unter Denkmalschutz.\nTrafostation im UG gehört zu den Elektrizitätswerke Buchs SG\nDas Haus ist als Musikschule vermietet.\nDIe Teppiche bestehen überall aus Kugelgarn'),</v>
      </c>
    </row>
    <row r="228" spans="1:22" x14ac:dyDescent="0.25">
      <c r="A228" s="18" t="s">
        <v>4</v>
      </c>
      <c r="B228" s="18" t="s">
        <v>20</v>
      </c>
      <c r="C228" s="6">
        <v>9471</v>
      </c>
      <c r="D228" s="18" t="s">
        <v>905</v>
      </c>
      <c r="E228" s="18" t="s">
        <v>391</v>
      </c>
      <c r="F228" s="18" t="s">
        <v>906</v>
      </c>
      <c r="G228" s="18" t="s">
        <v>748</v>
      </c>
      <c r="H228" s="6">
        <v>1920</v>
      </c>
      <c r="I228" s="18" t="s">
        <v>907</v>
      </c>
      <c r="J228" s="6">
        <v>9471</v>
      </c>
      <c r="K228" s="18" t="s">
        <v>323</v>
      </c>
      <c r="L228" s="18"/>
      <c r="M228" s="18" t="s">
        <v>93</v>
      </c>
      <c r="N228" s="18" t="s">
        <v>28</v>
      </c>
      <c r="O228" s="6">
        <v>3309</v>
      </c>
      <c r="P228" s="6">
        <v>0</v>
      </c>
      <c r="Q228" s="6">
        <v>2234</v>
      </c>
      <c r="R228" s="6">
        <v>2011</v>
      </c>
      <c r="S228" s="19" t="s">
        <v>252</v>
      </c>
      <c r="T228" s="18" t="s">
        <v>908</v>
      </c>
      <c r="V228" s="6" t="str">
        <f t="shared" si="3"/>
        <v>('demo', 'martin@comunas.fm', '9471', 'Bibliothek und altes Pfarrhaus', 'T06','ST03-17','C22',1920,'Kirchgasse 2','9471','Buchs SG','ch','chf',3309,0,2234,2011,'N','Bibliothek mit Anbau von 1988'),</v>
      </c>
    </row>
    <row r="229" spans="1:22" x14ac:dyDescent="0.25">
      <c r="A229" s="18" t="s">
        <v>4</v>
      </c>
      <c r="B229" s="18" t="s">
        <v>20</v>
      </c>
      <c r="C229" s="6">
        <v>9471</v>
      </c>
      <c r="D229" s="18" t="s">
        <v>909</v>
      </c>
      <c r="E229" s="18" t="s">
        <v>288</v>
      </c>
      <c r="F229" s="18" t="s">
        <v>289</v>
      </c>
      <c r="G229" s="18" t="s">
        <v>290</v>
      </c>
      <c r="H229" s="6">
        <v>1920</v>
      </c>
      <c r="I229" s="18" t="s">
        <v>910</v>
      </c>
      <c r="J229" s="6">
        <v>9471</v>
      </c>
      <c r="K229" s="18" t="s">
        <v>323</v>
      </c>
      <c r="L229" s="18"/>
      <c r="M229" s="18" t="s">
        <v>93</v>
      </c>
      <c r="N229" s="18" t="s">
        <v>28</v>
      </c>
      <c r="O229" s="6">
        <v>1272</v>
      </c>
      <c r="P229" s="6">
        <v>0</v>
      </c>
      <c r="Q229" s="6">
        <v>712</v>
      </c>
      <c r="R229" s="6">
        <v>2012</v>
      </c>
      <c r="S229" s="19" t="s">
        <v>252</v>
      </c>
      <c r="T229" s="18" t="s">
        <v>911</v>
      </c>
      <c r="V229" s="6" t="str">
        <f t="shared" si="3"/>
        <v>('demo', 'martin@comunas.fm', '9471', 'Logopädie mit Wohnung', 'T01','ST02-11','C7',1920,'Schulhausstrasse 12','9471','Buchs SG','ch','chf',1272,0,712,2012,'N','Fenster sind niedrig eingesetzt'),</v>
      </c>
    </row>
    <row r="230" spans="1:22" x14ac:dyDescent="0.25">
      <c r="A230" s="18" t="s">
        <v>4</v>
      </c>
      <c r="B230" s="18" t="s">
        <v>20</v>
      </c>
      <c r="C230" s="6">
        <v>9471</v>
      </c>
      <c r="D230" s="18" t="s">
        <v>912</v>
      </c>
      <c r="E230" s="18" t="s">
        <v>505</v>
      </c>
      <c r="F230" s="18" t="s">
        <v>506</v>
      </c>
      <c r="G230" s="18" t="s">
        <v>507</v>
      </c>
      <c r="H230" s="6">
        <v>1965</v>
      </c>
      <c r="I230" s="18" t="s">
        <v>913</v>
      </c>
      <c r="J230" s="6">
        <v>9471</v>
      </c>
      <c r="K230" s="18" t="s">
        <v>323</v>
      </c>
      <c r="L230" s="18"/>
      <c r="M230" s="18" t="s">
        <v>93</v>
      </c>
      <c r="N230" s="18" t="s">
        <v>28</v>
      </c>
      <c r="O230" s="6">
        <v>18049</v>
      </c>
      <c r="P230" s="6">
        <v>0</v>
      </c>
      <c r="Q230" s="6">
        <v>7894</v>
      </c>
      <c r="R230" s="6">
        <v>2009</v>
      </c>
      <c r="S230" s="19" t="s">
        <v>252</v>
      </c>
      <c r="T230" s="18" t="s">
        <v>914</v>
      </c>
      <c r="V230" s="6" t="str">
        <f t="shared" si="3"/>
        <v>('demo', 'martin@comunas.fm', '9471', 'Feuerwehr- &amp; Zivilschutzanlage', 'T14','ST07-37','C37',1965,'Volksgartenstrasse 38','9471','Buchs SG','ch','chf',18049,0,7894,2009,'N','Gebäude vierteilig.\nMittelteil aus dem Jahr 1983'),</v>
      </c>
    </row>
    <row r="231" spans="1:22" x14ac:dyDescent="0.25">
      <c r="A231" s="18" t="s">
        <v>4</v>
      </c>
      <c r="B231" s="18" t="s">
        <v>20</v>
      </c>
      <c r="C231" s="6">
        <v>9471</v>
      </c>
      <c r="D231" s="18" t="s">
        <v>915</v>
      </c>
      <c r="E231" s="18" t="s">
        <v>275</v>
      </c>
      <c r="F231" s="18" t="s">
        <v>284</v>
      </c>
      <c r="G231" s="18" t="s">
        <v>285</v>
      </c>
      <c r="H231" s="6">
        <v>2013</v>
      </c>
      <c r="I231" s="18" t="s">
        <v>916</v>
      </c>
      <c r="J231" s="6">
        <v>9471</v>
      </c>
      <c r="K231" s="18" t="s">
        <v>323</v>
      </c>
      <c r="L231" s="18"/>
      <c r="M231" s="18" t="s">
        <v>93</v>
      </c>
      <c r="N231" s="18" t="s">
        <v>28</v>
      </c>
      <c r="O231" s="6">
        <v>4075</v>
      </c>
      <c r="P231" s="6">
        <v>0</v>
      </c>
      <c r="Q231" s="6">
        <v>2050</v>
      </c>
      <c r="R231" s="6">
        <v>2014</v>
      </c>
      <c r="S231" s="19" t="s">
        <v>252</v>
      </c>
      <c r="T231" s="18" t="s">
        <v>917</v>
      </c>
      <c r="V231" s="6" t="str">
        <f t="shared" si="3"/>
        <v>('demo', 'martin@comunas.fm', '9471', 'Kindertagesstätte und Pavillon', 'T02','ST01-4','C8',2013,'Aeulistrasse 12','9471','Buchs SG','ch','chf',4075,0,2050,2014,'N','nicht unterkellert\nRenovation Herbst 2013\nBeim alten Hausteil fehlt ein Blitzschutz'),</v>
      </c>
    </row>
    <row r="232" spans="1:22" x14ac:dyDescent="0.25">
      <c r="A232" s="18" t="s">
        <v>4</v>
      </c>
      <c r="B232" s="18" t="s">
        <v>20</v>
      </c>
      <c r="C232" s="6">
        <v>9471</v>
      </c>
      <c r="D232" s="18" t="s">
        <v>918</v>
      </c>
      <c r="E232" s="18" t="s">
        <v>275</v>
      </c>
      <c r="F232" s="18" t="s">
        <v>276</v>
      </c>
      <c r="G232" s="18" t="s">
        <v>294</v>
      </c>
      <c r="H232" s="6">
        <v>1964</v>
      </c>
      <c r="I232" s="18" t="s">
        <v>919</v>
      </c>
      <c r="J232" s="6">
        <v>9471</v>
      </c>
      <c r="K232" s="18" t="s">
        <v>323</v>
      </c>
      <c r="L232" s="18"/>
      <c r="M232" s="18" t="s">
        <v>93</v>
      </c>
      <c r="N232" s="18" t="s">
        <v>28</v>
      </c>
      <c r="O232" s="6">
        <v>4761</v>
      </c>
      <c r="P232" s="6">
        <v>0</v>
      </c>
      <c r="Q232" s="6">
        <v>2807</v>
      </c>
      <c r="R232" s="6">
        <v>2014</v>
      </c>
      <c r="S232" s="19" t="s">
        <v>252</v>
      </c>
      <c r="T232" s="18" t="s">
        <v>920</v>
      </c>
      <c r="V232" s="6" t="str">
        <f t="shared" si="3"/>
        <v>('demo', 'martin@comunas.fm', '9471', 'Internationale Schule Rheintal', 'T02','ST02-12','C9',1964,'Aeulistrasse 10','9471','Buchs SG','ch','chf',4761,0,2807,2014,'N','Schulanlage mit mehrere Gebäuden\nFenster im Treppenhaus sind nicht sicherheitskonform\nEinige Holzfenster sind veraltet\nProbleme mit Grundwasser, es wurden Betoninjektionen gemacht\nKlimagerät (Mieterausbau)\nGaragenbox'),</v>
      </c>
    </row>
    <row r="233" spans="1:22" x14ac:dyDescent="0.25">
      <c r="A233" s="18" t="s">
        <v>4</v>
      </c>
      <c r="B233" s="18" t="s">
        <v>20</v>
      </c>
      <c r="C233" s="6">
        <v>4303</v>
      </c>
      <c r="D233" s="18" t="s">
        <v>921</v>
      </c>
      <c r="E233" s="18" t="s">
        <v>391</v>
      </c>
      <c r="F233" s="18" t="s">
        <v>392</v>
      </c>
      <c r="G233" s="18" t="s">
        <v>748</v>
      </c>
      <c r="H233" s="6">
        <v>1968</v>
      </c>
      <c r="I233" s="18" t="s">
        <v>922</v>
      </c>
      <c r="J233" s="6">
        <v>4303</v>
      </c>
      <c r="K233" s="18" t="s">
        <v>851</v>
      </c>
      <c r="L233" s="18"/>
      <c r="M233" s="18" t="s">
        <v>93</v>
      </c>
      <c r="N233" s="18" t="s">
        <v>28</v>
      </c>
      <c r="O233" s="6">
        <v>10589</v>
      </c>
      <c r="P233" s="6">
        <v>0</v>
      </c>
      <c r="Q233" s="6">
        <v>9737</v>
      </c>
      <c r="R233" s="6">
        <v>1998</v>
      </c>
      <c r="S233" s="19" t="s">
        <v>252</v>
      </c>
      <c r="T233" s="18" t="s">
        <v>923</v>
      </c>
      <c r="V233" s="6" t="str">
        <f t="shared" si="3"/>
        <v>('demo', 'martin@comunas.fm', '4303', 'Gemeindehaus inkl. Wohnung Hauswart und Feuerwehrmagazin Dorf', 'T06','ST06-35','C22',1968,'Dorfstrasse 17','4303','Kaiseraugst','ch','chf',10589,0,9737,1998,'N','Altbau UG, ehem. LS-Raum: Feuchteproblem, OGA-Raum: Wassereintritt (wird behoben)\nWohnung: B: Keramik, Parkett, W, D: Putz, Fenster: IV 2-fach verglast\nWestfassade: Riss in Mauerwerk, Gefahr von Eindringen von Feuchtigkeit\nSanierungsarbeiten für 2019 budgetiert'),</v>
      </c>
    </row>
    <row r="234" spans="1:22" x14ac:dyDescent="0.25">
      <c r="A234" s="18" t="s">
        <v>4</v>
      </c>
      <c r="B234" s="18" t="s">
        <v>20</v>
      </c>
      <c r="C234" s="6">
        <v>4303</v>
      </c>
      <c r="D234" s="18" t="s">
        <v>924</v>
      </c>
      <c r="E234" s="18" t="s">
        <v>894</v>
      </c>
      <c r="F234" s="18" t="s">
        <v>895</v>
      </c>
      <c r="G234" s="18" t="s">
        <v>277</v>
      </c>
      <c r="H234" s="6">
        <v>1996</v>
      </c>
      <c r="I234" s="18" t="s">
        <v>900</v>
      </c>
      <c r="J234" s="6">
        <v>4303</v>
      </c>
      <c r="K234" s="18" t="s">
        <v>851</v>
      </c>
      <c r="L234" s="18"/>
      <c r="M234" s="18" t="s">
        <v>93</v>
      </c>
      <c r="N234" s="18" t="s">
        <v>28</v>
      </c>
      <c r="O234" s="6">
        <v>45</v>
      </c>
      <c r="P234" s="6">
        <v>0</v>
      </c>
      <c r="Q234" s="6">
        <v>25</v>
      </c>
      <c r="R234" s="6">
        <v>1996</v>
      </c>
      <c r="S234" s="19" t="s">
        <v>252</v>
      </c>
      <c r="T234" s="18"/>
      <c r="V234" s="6" t="str">
        <f t="shared" si="3"/>
        <v>('demo', 'martin@comunas.fm', '4303', 'Chlorgasgebäude', 'T11','ST09-44','C0',1996,'Lochmatt','4303','Kaiseraugst','ch','chf',45,0,25,1996,'N',null),</v>
      </c>
    </row>
    <row r="235" spans="1:22" x14ac:dyDescent="0.25">
      <c r="A235" s="18" t="s">
        <v>4</v>
      </c>
      <c r="B235" s="18" t="s">
        <v>20</v>
      </c>
      <c r="C235" s="6">
        <v>4303</v>
      </c>
      <c r="D235" s="18" t="s">
        <v>925</v>
      </c>
      <c r="E235" s="18" t="s">
        <v>288</v>
      </c>
      <c r="F235" s="18" t="s">
        <v>926</v>
      </c>
      <c r="G235" s="18" t="s">
        <v>290</v>
      </c>
      <c r="H235" s="6">
        <v>2007</v>
      </c>
      <c r="I235" s="18" t="s">
        <v>927</v>
      </c>
      <c r="J235" s="6">
        <v>4303</v>
      </c>
      <c r="K235" s="18" t="s">
        <v>851</v>
      </c>
      <c r="L235" s="18"/>
      <c r="M235" s="18" t="s">
        <v>93</v>
      </c>
      <c r="N235" s="18" t="s">
        <v>28</v>
      </c>
      <c r="O235" s="6">
        <v>2085</v>
      </c>
      <c r="P235" s="6">
        <v>0</v>
      </c>
      <c r="Q235" s="6">
        <v>1655</v>
      </c>
      <c r="R235" s="6">
        <v>2007</v>
      </c>
      <c r="S235" s="19" t="s">
        <v>252</v>
      </c>
      <c r="T235" s="18" t="s">
        <v>928</v>
      </c>
      <c r="V235" s="6" t="str">
        <f t="shared" si="3"/>
        <v>('demo', 'martin@comunas.fm', '4303', 'Asylbewerberunterkunft', 'T01','ST01-1','C7',2007,'Rinaustrasse 26','4303','Kaiseraugst','ch','chf',2085,0,1655,2007,'N','Für den laufenden Unterhalt ist eine externe Firma beauftragt (Servicevertrag).\nDas Mobiliar ist im Versicherungswert nicht enthalten.'),</v>
      </c>
    </row>
    <row r="236" spans="1:22" x14ac:dyDescent="0.25">
      <c r="A236" s="18" t="s">
        <v>4</v>
      </c>
      <c r="B236" s="18" t="s">
        <v>20</v>
      </c>
      <c r="C236" s="6">
        <v>4303</v>
      </c>
      <c r="D236" s="18" t="s">
        <v>925</v>
      </c>
      <c r="E236" s="18" t="s">
        <v>288</v>
      </c>
      <c r="F236" s="18" t="s">
        <v>926</v>
      </c>
      <c r="G236" s="18" t="s">
        <v>290</v>
      </c>
      <c r="H236" s="6">
        <v>0</v>
      </c>
      <c r="I236" s="18" t="s">
        <v>929</v>
      </c>
      <c r="J236" s="6">
        <v>4303</v>
      </c>
      <c r="K236" s="18" t="s">
        <v>851</v>
      </c>
      <c r="L236" s="18"/>
      <c r="M236" s="18" t="s">
        <v>93</v>
      </c>
      <c r="N236" s="18" t="s">
        <v>28</v>
      </c>
      <c r="O236" s="6">
        <v>407</v>
      </c>
      <c r="P236" s="6">
        <v>0</v>
      </c>
      <c r="Q236" s="6">
        <v>217</v>
      </c>
      <c r="R236" s="6">
        <v>2007</v>
      </c>
      <c r="S236" s="19" t="s">
        <v>252</v>
      </c>
      <c r="T236" s="18"/>
      <c r="V236" s="6" t="str">
        <f t="shared" si="3"/>
        <v>('demo', 'martin@comunas.fm', '4303', 'Asylbewerberunterkunft', 'T01','ST01-1','C7',0,'Rinaustrasse 28','4303','Kaiseraugst','ch','chf',407,0,217,2007,'N',null),</v>
      </c>
    </row>
    <row r="237" spans="1:22" x14ac:dyDescent="0.25">
      <c r="A237" s="18" t="s">
        <v>4</v>
      </c>
      <c r="B237" s="18" t="s">
        <v>20</v>
      </c>
      <c r="C237" s="6">
        <v>4303</v>
      </c>
      <c r="D237" s="18" t="s">
        <v>930</v>
      </c>
      <c r="E237" s="18" t="s">
        <v>288</v>
      </c>
      <c r="F237" s="18" t="s">
        <v>289</v>
      </c>
      <c r="G237" s="18" t="s">
        <v>290</v>
      </c>
      <c r="H237" s="6">
        <v>1800</v>
      </c>
      <c r="I237" s="18" t="s">
        <v>931</v>
      </c>
      <c r="J237" s="6">
        <v>4303</v>
      </c>
      <c r="K237" s="18" t="s">
        <v>851</v>
      </c>
      <c r="L237" s="18"/>
      <c r="M237" s="18" t="s">
        <v>93</v>
      </c>
      <c r="N237" s="18" t="s">
        <v>28</v>
      </c>
      <c r="O237" s="6">
        <v>820</v>
      </c>
      <c r="P237" s="6">
        <v>0</v>
      </c>
      <c r="Q237" s="6">
        <v>430</v>
      </c>
      <c r="R237" s="6">
        <v>2008</v>
      </c>
      <c r="S237" s="19" t="s">
        <v>252</v>
      </c>
      <c r="T237" s="18"/>
      <c r="V237" s="6" t="str">
        <f t="shared" si="3"/>
        <v>('demo', 'martin@comunas.fm', '4303', 'Wohnhaus', 'T01','ST02-11','C7',1800,'Allmendgasse 13','4303','Kaiseraugst','ch','chf',820,0,430,2008,'N',null),</v>
      </c>
    </row>
    <row r="238" spans="1:22" x14ac:dyDescent="0.25">
      <c r="A238" s="18" t="s">
        <v>4</v>
      </c>
      <c r="B238" s="18" t="s">
        <v>20</v>
      </c>
      <c r="C238" s="6">
        <v>4303</v>
      </c>
      <c r="D238" s="18" t="s">
        <v>932</v>
      </c>
      <c r="E238" s="18" t="s">
        <v>933</v>
      </c>
      <c r="F238" s="18" t="s">
        <v>862</v>
      </c>
      <c r="G238" s="18" t="s">
        <v>277</v>
      </c>
      <c r="H238" s="6">
        <v>1899</v>
      </c>
      <c r="I238" s="18" t="s">
        <v>934</v>
      </c>
      <c r="J238" s="6">
        <v>4303</v>
      </c>
      <c r="K238" s="18" t="s">
        <v>851</v>
      </c>
      <c r="L238" s="18"/>
      <c r="M238" s="18" t="s">
        <v>93</v>
      </c>
      <c r="N238" s="18" t="s">
        <v>28</v>
      </c>
      <c r="O238" s="6">
        <v>1600</v>
      </c>
      <c r="P238" s="6">
        <v>0</v>
      </c>
      <c r="Q238" s="6">
        <v>263</v>
      </c>
      <c r="R238" s="6">
        <v>1992</v>
      </c>
      <c r="S238" s="19" t="s">
        <v>252</v>
      </c>
      <c r="T238" s="18"/>
      <c r="V238" s="6" t="str">
        <f t="shared" si="3"/>
        <v>('demo', 'martin@comunas.fm', '4303', 'Lötscher-Scheune', 'T04','ST01-8','C0',1899,'Kirchgasse 21','4303','Kaiseraugst','ch','chf',1600,0,263,1992,'N',null),</v>
      </c>
    </row>
    <row r="239" spans="1:22" x14ac:dyDescent="0.25">
      <c r="A239" s="18" t="s">
        <v>4</v>
      </c>
      <c r="B239" s="18" t="s">
        <v>20</v>
      </c>
      <c r="C239" s="6">
        <v>4303</v>
      </c>
      <c r="D239" s="18" t="s">
        <v>935</v>
      </c>
      <c r="E239" s="18" t="s">
        <v>402</v>
      </c>
      <c r="F239" s="18" t="s">
        <v>936</v>
      </c>
      <c r="G239" s="18" t="s">
        <v>277</v>
      </c>
      <c r="H239" s="6">
        <v>1898</v>
      </c>
      <c r="I239" s="18" t="s">
        <v>937</v>
      </c>
      <c r="J239" s="6">
        <v>4303</v>
      </c>
      <c r="K239" s="18" t="s">
        <v>851</v>
      </c>
      <c r="L239" s="18"/>
      <c r="M239" s="18" t="s">
        <v>93</v>
      </c>
      <c r="N239" s="18" t="s">
        <v>28</v>
      </c>
      <c r="O239" s="6">
        <v>250</v>
      </c>
      <c r="P239" s="6">
        <v>0</v>
      </c>
      <c r="Q239" s="6">
        <v>130</v>
      </c>
      <c r="R239" s="6">
        <v>1992</v>
      </c>
      <c r="S239" s="19" t="s">
        <v>252</v>
      </c>
      <c r="T239" s="18" t="s">
        <v>938</v>
      </c>
      <c r="V239" s="6" t="str">
        <f t="shared" si="3"/>
        <v>('demo', 'martin@comunas.fm', '4303', 'Fährihäuschen / Stübli', 'T13','ST10-46','C0',1898,'Kirchgasse 19','4303','Kaiseraugst','ch','chf',250,0,130,1992,'N','Konnten das Dach nicht besichtigen.'),</v>
      </c>
    </row>
    <row r="240" spans="1:22" x14ac:dyDescent="0.25">
      <c r="A240" s="18" t="s">
        <v>4</v>
      </c>
      <c r="B240" s="18" t="s">
        <v>20</v>
      </c>
      <c r="C240" s="6">
        <v>4303</v>
      </c>
      <c r="D240" s="18" t="s">
        <v>939</v>
      </c>
      <c r="E240" s="18" t="s">
        <v>402</v>
      </c>
      <c r="F240" s="18" t="s">
        <v>940</v>
      </c>
      <c r="G240" s="18" t="s">
        <v>277</v>
      </c>
      <c r="H240" s="6">
        <v>1927</v>
      </c>
      <c r="I240" s="18" t="s">
        <v>941</v>
      </c>
      <c r="J240" s="6">
        <v>4303</v>
      </c>
      <c r="K240" s="18" t="s">
        <v>851</v>
      </c>
      <c r="L240" s="18"/>
      <c r="M240" s="18" t="s">
        <v>93</v>
      </c>
      <c r="N240" s="18" t="s">
        <v>28</v>
      </c>
      <c r="O240" s="6">
        <v>231</v>
      </c>
      <c r="P240" s="6">
        <v>0</v>
      </c>
      <c r="Q240" s="6">
        <v>79</v>
      </c>
      <c r="R240" s="6">
        <v>2007</v>
      </c>
      <c r="S240" s="19" t="s">
        <v>252</v>
      </c>
      <c r="T240" s="18"/>
      <c r="V240" s="6" t="str">
        <f t="shared" si="3"/>
        <v>('demo', 'martin@comunas.fm', '4303', 'Fährianlagestelle', 'T13','ST12-49','C0',1927,'Rheinuferweg','4303','Kaiseraugst','ch','chf',231,0,79,2007,'N',null),</v>
      </c>
    </row>
    <row r="241" spans="1:22" x14ac:dyDescent="0.25">
      <c r="A241" s="18" t="s">
        <v>4</v>
      </c>
      <c r="B241" s="18" t="s">
        <v>20</v>
      </c>
      <c r="C241" s="6">
        <v>4303</v>
      </c>
      <c r="D241" s="18" t="s">
        <v>942</v>
      </c>
      <c r="E241" s="18" t="s">
        <v>402</v>
      </c>
      <c r="F241" s="18" t="s">
        <v>943</v>
      </c>
      <c r="G241" s="18" t="s">
        <v>277</v>
      </c>
      <c r="H241" s="6">
        <v>1952</v>
      </c>
      <c r="I241" s="18" t="s">
        <v>941</v>
      </c>
      <c r="J241" s="6">
        <v>4303</v>
      </c>
      <c r="K241" s="18" t="s">
        <v>851</v>
      </c>
      <c r="L241" s="18"/>
      <c r="M241" s="18" t="s">
        <v>93</v>
      </c>
      <c r="N241" s="18" t="s">
        <v>28</v>
      </c>
      <c r="O241" s="6">
        <v>34</v>
      </c>
      <c r="P241" s="6">
        <v>0</v>
      </c>
      <c r="Q241" s="6">
        <v>21</v>
      </c>
      <c r="R241" s="6">
        <v>2010</v>
      </c>
      <c r="S241" s="19" t="s">
        <v>252</v>
      </c>
      <c r="T241" s="18" t="s">
        <v>944</v>
      </c>
      <c r="V241" s="6" t="str">
        <f t="shared" si="3"/>
        <v>('demo', 'martin@comunas.fm', '4303', 'Zollhaus', 'T13','ST06-34','C0',1952,'Rheinuferweg','4303','Kaiseraugst','ch','chf',34,0,21,2010,'N','SItzbank aus Holz'),</v>
      </c>
    </row>
    <row r="242" spans="1:22" x14ac:dyDescent="0.25">
      <c r="A242" s="18" t="s">
        <v>4</v>
      </c>
      <c r="B242" s="18" t="s">
        <v>20</v>
      </c>
      <c r="C242" s="6">
        <v>4303</v>
      </c>
      <c r="D242" s="18" t="s">
        <v>945</v>
      </c>
      <c r="E242" s="18" t="s">
        <v>684</v>
      </c>
      <c r="F242" s="18" t="s">
        <v>710</v>
      </c>
      <c r="G242" s="18" t="s">
        <v>277</v>
      </c>
      <c r="H242" s="6">
        <v>1912</v>
      </c>
      <c r="I242" s="18" t="s">
        <v>941</v>
      </c>
      <c r="J242" s="6">
        <v>4303</v>
      </c>
      <c r="K242" s="18" t="s">
        <v>851</v>
      </c>
      <c r="L242" s="18"/>
      <c r="M242" s="18" t="s">
        <v>93</v>
      </c>
      <c r="N242" s="18" t="s">
        <v>28</v>
      </c>
      <c r="O242" s="6">
        <v>38</v>
      </c>
      <c r="P242" s="6">
        <v>0</v>
      </c>
      <c r="Q242" s="6">
        <v>11</v>
      </c>
      <c r="R242" s="6">
        <v>2010</v>
      </c>
      <c r="S242" s="19" t="s">
        <v>252</v>
      </c>
      <c r="T242" s="18"/>
      <c r="V242" s="6" t="str">
        <f t="shared" si="3"/>
        <v>('demo', 'martin@comunas.fm', '4303', 'Pumpenhaus', 'T05','ST02-15','C0',1912,'Rheinuferweg','4303','Kaiseraugst','ch','chf',38,0,11,2010,'N',null),</v>
      </c>
    </row>
    <row r="243" spans="1:22" x14ac:dyDescent="0.25">
      <c r="A243" s="18" t="s">
        <v>4</v>
      </c>
      <c r="B243" s="18" t="s">
        <v>20</v>
      </c>
      <c r="C243" s="6">
        <v>4303</v>
      </c>
      <c r="D243" s="18" t="s">
        <v>946</v>
      </c>
      <c r="E243" s="18" t="s">
        <v>402</v>
      </c>
      <c r="F243" s="18" t="s">
        <v>947</v>
      </c>
      <c r="G243" s="18" t="s">
        <v>277</v>
      </c>
      <c r="H243" s="6">
        <v>1912</v>
      </c>
      <c r="I243" s="18" t="s">
        <v>941</v>
      </c>
      <c r="J243" s="6">
        <v>4303</v>
      </c>
      <c r="K243" s="18" t="s">
        <v>851</v>
      </c>
      <c r="L243" s="18"/>
      <c r="M243" s="18" t="s">
        <v>93</v>
      </c>
      <c r="N243" s="18" t="s">
        <v>28</v>
      </c>
      <c r="O243" s="6">
        <v>29</v>
      </c>
      <c r="P243" s="6">
        <v>0</v>
      </c>
      <c r="Q243" s="6">
        <v>6</v>
      </c>
      <c r="R243" s="6">
        <v>2007</v>
      </c>
      <c r="S243" s="19" t="s">
        <v>252</v>
      </c>
      <c r="T243" s="18" t="s">
        <v>948</v>
      </c>
      <c r="V243" s="6" t="str">
        <f t="shared" si="3"/>
        <v>('demo', 'martin@comunas.fm', '4303', 'Wartehäuschen Fähri / Werkhaus', 'T13','ST07-41','C0',1912,'Rheinuferweg','4303','Kaiseraugst','ch','chf',29,0,6,2007,'N','Das Gebäude konnte nicht besichtigt werden. Nutzung nicht genau bekannt; das Gebäude dient möglicherweise der Wartung des Fährbetriebs.'),</v>
      </c>
    </row>
    <row r="244" spans="1:22" x14ac:dyDescent="0.25">
      <c r="A244" s="18" t="s">
        <v>4</v>
      </c>
      <c r="B244" s="18" t="s">
        <v>20</v>
      </c>
      <c r="C244" s="6">
        <v>4303</v>
      </c>
      <c r="D244" s="18" t="s">
        <v>949</v>
      </c>
      <c r="E244" s="18" t="s">
        <v>288</v>
      </c>
      <c r="F244" s="18" t="s">
        <v>543</v>
      </c>
      <c r="G244" s="18" t="s">
        <v>599</v>
      </c>
      <c r="H244" s="6">
        <v>1913</v>
      </c>
      <c r="I244" s="18" t="s">
        <v>941</v>
      </c>
      <c r="J244" s="6">
        <v>4303</v>
      </c>
      <c r="K244" s="18" t="s">
        <v>851</v>
      </c>
      <c r="L244" s="18"/>
      <c r="M244" s="18" t="s">
        <v>93</v>
      </c>
      <c r="N244" s="18" t="s">
        <v>28</v>
      </c>
      <c r="O244" s="6">
        <v>638</v>
      </c>
      <c r="P244" s="6">
        <v>0</v>
      </c>
      <c r="Q244" s="6">
        <v>342</v>
      </c>
      <c r="R244" s="6">
        <v>2006</v>
      </c>
      <c r="S244" s="19" t="s">
        <v>252</v>
      </c>
      <c r="T244" s="18"/>
      <c r="V244" s="6" t="str">
        <f t="shared" si="3"/>
        <v>('demo', 'martin@comunas.fm', '4303', 'Pumpihaus Clubhaus Rheingenossen', 'T01','ST05-26','C6',1913,'Rheinuferweg','4303','Kaiseraugst','ch','chf',638,0,342,2006,'N',null),</v>
      </c>
    </row>
    <row r="245" spans="1:22" x14ac:dyDescent="0.25">
      <c r="A245" s="18" t="s">
        <v>4</v>
      </c>
      <c r="B245" s="18" t="s">
        <v>20</v>
      </c>
      <c r="C245" s="6">
        <v>4303</v>
      </c>
      <c r="D245" s="18" t="s">
        <v>950</v>
      </c>
      <c r="E245" s="18" t="s">
        <v>402</v>
      </c>
      <c r="F245" s="18" t="s">
        <v>631</v>
      </c>
      <c r="G245" s="18" t="s">
        <v>507</v>
      </c>
      <c r="H245" s="6">
        <v>1953</v>
      </c>
      <c r="I245" s="18" t="s">
        <v>951</v>
      </c>
      <c r="J245" s="6">
        <v>4303</v>
      </c>
      <c r="K245" s="18" t="s">
        <v>851</v>
      </c>
      <c r="L245" s="18"/>
      <c r="M245" s="18" t="s">
        <v>93</v>
      </c>
      <c r="N245" s="18" t="s">
        <v>28</v>
      </c>
      <c r="O245" s="6">
        <v>897</v>
      </c>
      <c r="P245" s="6">
        <v>0</v>
      </c>
      <c r="Q245" s="6">
        <v>63</v>
      </c>
      <c r="R245" s="6">
        <v>1992</v>
      </c>
      <c r="S245" s="19" t="s">
        <v>252</v>
      </c>
      <c r="T245" s="18"/>
      <c r="V245" s="6" t="str">
        <f t="shared" si="3"/>
        <v>('demo', 'martin@comunas.fm', '4303', 'Bootshaus Lochmatt', 'T13','ST05-31','C37',1953,'Rheinuferweg Ergolzbucht','4303','Kaiseraugst','ch','chf',897,0,63,1992,'N',null),</v>
      </c>
    </row>
    <row r="246" spans="1:22" x14ac:dyDescent="0.25">
      <c r="A246" s="18" t="s">
        <v>4</v>
      </c>
      <c r="B246" s="18" t="s">
        <v>20</v>
      </c>
      <c r="C246" s="6">
        <v>4303</v>
      </c>
      <c r="D246" s="18" t="s">
        <v>952</v>
      </c>
      <c r="E246" s="18" t="s">
        <v>894</v>
      </c>
      <c r="F246" s="18" t="s">
        <v>953</v>
      </c>
      <c r="G246" s="18" t="s">
        <v>896</v>
      </c>
      <c r="H246" s="6">
        <v>0</v>
      </c>
      <c r="I246" s="18" t="s">
        <v>954</v>
      </c>
      <c r="J246" s="6">
        <v>4303</v>
      </c>
      <c r="K246" s="18" t="s">
        <v>851</v>
      </c>
      <c r="L246" s="18"/>
      <c r="M246" s="18" t="s">
        <v>93</v>
      </c>
      <c r="N246" s="18" t="s">
        <v>28</v>
      </c>
      <c r="O246" s="6">
        <v>3043</v>
      </c>
      <c r="P246" s="6">
        <v>0</v>
      </c>
      <c r="Q246" s="6">
        <v>2726</v>
      </c>
      <c r="R246" s="6">
        <v>2017</v>
      </c>
      <c r="S246" s="19" t="s">
        <v>252</v>
      </c>
      <c r="T246" s="18" t="s">
        <v>955</v>
      </c>
      <c r="V246" s="6" t="str">
        <f t="shared" si="3"/>
        <v>('demo', 'martin@comunas.fm', '4303', 'Landgasthof Adler + Autounterstand', 'T11','ST01-7','C30',0,'Dorfstrasse 35','4303','Kaiseraugst','ch','chf',3043,0,2726,2017,'N','Im Keller: Wasser eindringung über Platz (Garage), feucht trotz Klimaanalage\nKühlzellen sind nicht im Versicherungswert enthalten'),</v>
      </c>
    </row>
    <row r="247" spans="1:22" x14ac:dyDescent="0.25">
      <c r="A247" s="18" t="s">
        <v>4</v>
      </c>
      <c r="B247" s="18" t="s">
        <v>20</v>
      </c>
      <c r="C247" s="6">
        <v>4303</v>
      </c>
      <c r="D247" s="18" t="s">
        <v>956</v>
      </c>
      <c r="E247" s="18" t="s">
        <v>275</v>
      </c>
      <c r="F247" s="18" t="s">
        <v>284</v>
      </c>
      <c r="G247" s="18" t="s">
        <v>285</v>
      </c>
      <c r="H247" s="6">
        <v>2013</v>
      </c>
      <c r="I247" s="18" t="s">
        <v>957</v>
      </c>
      <c r="J247" s="6">
        <v>4303</v>
      </c>
      <c r="K247" s="18" t="s">
        <v>851</v>
      </c>
      <c r="L247" s="18"/>
      <c r="M247" s="18" t="s">
        <v>93</v>
      </c>
      <c r="N247" s="18" t="s">
        <v>28</v>
      </c>
      <c r="O247" s="6">
        <v>2867</v>
      </c>
      <c r="P247" s="6">
        <v>0</v>
      </c>
      <c r="Q247" s="6">
        <v>1829</v>
      </c>
      <c r="R247" s="6">
        <v>2014</v>
      </c>
      <c r="S247" s="19" t="s">
        <v>252</v>
      </c>
      <c r="T247" s="18" t="s">
        <v>958</v>
      </c>
      <c r="V247" s="6" t="str">
        <f t="shared" si="3"/>
        <v>('demo', 'martin@comunas.fm', '4303', 'Kinderkrippe', 'T02','ST01-4','C8',2013,'Violahof','4303','Kaiseraugst','ch','chf',2867,0,1829,2014,'N','Küche: Gewerbliche Küche mit Lüftungsanlage, Wand: Keramikplatten Boden: Linol'),</v>
      </c>
    </row>
    <row r="248" spans="1:22" x14ac:dyDescent="0.25">
      <c r="A248" s="18" t="s">
        <v>4</v>
      </c>
      <c r="B248" s="18" t="s">
        <v>20</v>
      </c>
      <c r="C248" s="6">
        <v>4303</v>
      </c>
      <c r="D248" s="18" t="s">
        <v>959</v>
      </c>
      <c r="E248" s="18" t="s">
        <v>288</v>
      </c>
      <c r="F248" s="18" t="s">
        <v>960</v>
      </c>
      <c r="G248" s="18" t="s">
        <v>961</v>
      </c>
      <c r="H248" s="6">
        <v>1974</v>
      </c>
      <c r="I248" s="18" t="s">
        <v>957</v>
      </c>
      <c r="J248" s="6">
        <v>4303</v>
      </c>
      <c r="K248" s="18" t="s">
        <v>851</v>
      </c>
      <c r="L248" s="18"/>
      <c r="M248" s="18" t="s">
        <v>93</v>
      </c>
      <c r="N248" s="18" t="s">
        <v>28</v>
      </c>
      <c r="O248" s="6">
        <v>2542</v>
      </c>
      <c r="P248" s="6">
        <v>0</v>
      </c>
      <c r="Q248" s="6">
        <v>1667</v>
      </c>
      <c r="R248" s="6">
        <v>2008</v>
      </c>
      <c r="S248" s="19" t="s">
        <v>252</v>
      </c>
      <c r="T248" s="18" t="s">
        <v>962</v>
      </c>
      <c r="V248" s="6" t="str">
        <f t="shared" si="3"/>
        <v>('demo', 'martin@comunas.fm', '4303', 'Jugendhaus inkl. ehemaliger Polizeiposten', 'T01','ST08-42','C23',1974,'Violahof','4303','Kaiseraugst','ch','chf',2542,0,1667,2008,'N','Flachdach konnte nicht besichtigt werden'),</v>
      </c>
    </row>
    <row r="249" spans="1:22" x14ac:dyDescent="0.25">
      <c r="A249" s="18" t="s">
        <v>4</v>
      </c>
      <c r="B249" s="18" t="s">
        <v>20</v>
      </c>
      <c r="C249" s="6">
        <v>4303</v>
      </c>
      <c r="D249" s="18" t="s">
        <v>963</v>
      </c>
      <c r="E249" s="18" t="s">
        <v>366</v>
      </c>
      <c r="F249" s="18" t="s">
        <v>886</v>
      </c>
      <c r="G249" s="18" t="s">
        <v>277</v>
      </c>
      <c r="H249" s="6">
        <v>1932</v>
      </c>
      <c r="I249" s="18" t="s">
        <v>957</v>
      </c>
      <c r="J249" s="6">
        <v>4303</v>
      </c>
      <c r="K249" s="18" t="s">
        <v>851</v>
      </c>
      <c r="L249" s="18"/>
      <c r="M249" s="18" t="s">
        <v>93</v>
      </c>
      <c r="N249" s="18" t="s">
        <v>28</v>
      </c>
      <c r="O249" s="6">
        <v>1239</v>
      </c>
      <c r="P249" s="6">
        <v>0</v>
      </c>
      <c r="Q249" s="6">
        <v>855</v>
      </c>
      <c r="R249" s="6">
        <v>2003</v>
      </c>
      <c r="S249" s="19" t="s">
        <v>252</v>
      </c>
      <c r="T249" s="18" t="s">
        <v>964</v>
      </c>
      <c r="V249" s="6" t="str">
        <f t="shared" si="3"/>
        <v>('demo', 'martin@comunas.fm', '4303', 'Pfadihaus', 'T10','ST05-32','C0',1932,'Violahof','4303','Kaiseraugst','ch','chf',1239,0,855,2003,'N','Wassereintritt vorhanden, ungeklärt bei Balken'),</v>
      </c>
    </row>
    <row r="250" spans="1:22" x14ac:dyDescent="0.25">
      <c r="A250" s="18" t="s">
        <v>4</v>
      </c>
      <c r="B250" s="18" t="s">
        <v>20</v>
      </c>
      <c r="C250" s="6">
        <v>4303</v>
      </c>
      <c r="D250" s="18" t="s">
        <v>822</v>
      </c>
      <c r="E250" s="18" t="s">
        <v>505</v>
      </c>
      <c r="F250" s="18" t="s">
        <v>506</v>
      </c>
      <c r="G250" s="18" t="s">
        <v>507</v>
      </c>
      <c r="H250" s="6">
        <v>0</v>
      </c>
      <c r="I250" s="18" t="s">
        <v>957</v>
      </c>
      <c r="J250" s="6">
        <v>4303</v>
      </c>
      <c r="K250" s="18" t="s">
        <v>851</v>
      </c>
      <c r="L250" s="18"/>
      <c r="M250" s="18" t="s">
        <v>93</v>
      </c>
      <c r="N250" s="18" t="s">
        <v>28</v>
      </c>
      <c r="O250" s="6">
        <v>1879</v>
      </c>
      <c r="P250" s="6">
        <v>0</v>
      </c>
      <c r="Q250" s="6">
        <v>1249</v>
      </c>
      <c r="R250" s="6">
        <v>2015</v>
      </c>
      <c r="S250" s="19" t="s">
        <v>252</v>
      </c>
      <c r="T250" s="18"/>
      <c r="V250" s="6" t="str">
        <f t="shared" si="3"/>
        <v>('demo', 'martin@comunas.fm', '4303', 'Feuerwehrmagazin', 'T14','ST07-37','C37',0,'Violahof','4303','Kaiseraugst','ch','chf',1879,0,1249,2015,'N',null),</v>
      </c>
    </row>
    <row r="251" spans="1:22" x14ac:dyDescent="0.25">
      <c r="A251" s="18" t="s">
        <v>4</v>
      </c>
      <c r="B251" s="18" t="s">
        <v>20</v>
      </c>
      <c r="C251" s="6">
        <v>4303</v>
      </c>
      <c r="D251" s="18" t="s">
        <v>965</v>
      </c>
      <c r="E251" s="18" t="s">
        <v>275</v>
      </c>
      <c r="F251" s="18" t="s">
        <v>284</v>
      </c>
      <c r="G251" s="18" t="s">
        <v>285</v>
      </c>
      <c r="H251" s="6">
        <v>1998</v>
      </c>
      <c r="I251" s="18" t="s">
        <v>966</v>
      </c>
      <c r="J251" s="6">
        <v>4303</v>
      </c>
      <c r="K251" s="18" t="s">
        <v>851</v>
      </c>
      <c r="L251" s="18"/>
      <c r="M251" s="18" t="s">
        <v>93</v>
      </c>
      <c r="N251" s="18" t="s">
        <v>28</v>
      </c>
      <c r="O251" s="6">
        <v>8501</v>
      </c>
      <c r="P251" s="6">
        <v>0</v>
      </c>
      <c r="Q251" s="6">
        <v>4898</v>
      </c>
      <c r="R251" s="6">
        <v>2008</v>
      </c>
      <c r="S251" s="19" t="s">
        <v>252</v>
      </c>
      <c r="T251" s="18" t="s">
        <v>967</v>
      </c>
      <c r="V251" s="6" t="str">
        <f t="shared" si="3"/>
        <v>('demo', 'martin@comunas.fm', '4303', 'KIGA Rosenweg', 'T02','ST01-4','C8',1998,'Rosenweg 18','4303','Kaiseraugst','ch','chf',8501,0,4898,2008,'N','Das Dach konnte nicht besichtigt werden. Für alle Elemente der Gebäudehülle u.a. Elemente, deren Unterhalt über die Miete finanziert werden, sind die Reinvestationskosten für das ganze Gebäude enthalten. In der Regel werden diese Kosten von allen Miteigentümern gemeinsam getragen.'),</v>
      </c>
    </row>
    <row r="252" spans="1:22" x14ac:dyDescent="0.25">
      <c r="A252" s="18" t="s">
        <v>4</v>
      </c>
      <c r="B252" s="18" t="s">
        <v>20</v>
      </c>
      <c r="C252" s="6">
        <v>8556</v>
      </c>
      <c r="D252" s="18" t="s">
        <v>753</v>
      </c>
      <c r="E252" s="18" t="s">
        <v>304</v>
      </c>
      <c r="F252" s="18" t="s">
        <v>305</v>
      </c>
      <c r="G252" s="18" t="s">
        <v>427</v>
      </c>
      <c r="H252" s="6">
        <v>1939</v>
      </c>
      <c r="I252" s="18" t="s">
        <v>968</v>
      </c>
      <c r="J252" s="6">
        <v>8556</v>
      </c>
      <c r="K252" s="18" t="s">
        <v>525</v>
      </c>
      <c r="L252" s="18"/>
      <c r="M252" s="18" t="s">
        <v>93</v>
      </c>
      <c r="N252" s="18" t="s">
        <v>28</v>
      </c>
      <c r="O252" s="6">
        <v>2842</v>
      </c>
      <c r="P252" s="6">
        <v>0</v>
      </c>
      <c r="Q252" s="6">
        <v>1457</v>
      </c>
      <c r="R252" s="6">
        <v>2014</v>
      </c>
      <c r="S252" s="19" t="s">
        <v>252</v>
      </c>
      <c r="T252" s="18"/>
      <c r="V252" s="6" t="str">
        <f t="shared" si="3"/>
        <v>('demo', 'martin@comunas.fm', '8556', 'Mehrzweckhalle', 'T12','ST01-9','C33',1939,'Käsereistrasse 10','8556','Wigoltingen','ch','chf',2842,0,1457,2014,'N',null),</v>
      </c>
    </row>
    <row r="253" spans="1:22" x14ac:dyDescent="0.25">
      <c r="A253" s="18" t="s">
        <v>4</v>
      </c>
      <c r="B253" s="18" t="s">
        <v>20</v>
      </c>
      <c r="C253" s="6">
        <v>8556</v>
      </c>
      <c r="D253" s="18" t="s">
        <v>969</v>
      </c>
      <c r="E253" s="18" t="s">
        <v>275</v>
      </c>
      <c r="F253" s="18" t="s">
        <v>276</v>
      </c>
      <c r="G253" s="18" t="s">
        <v>294</v>
      </c>
      <c r="H253" s="6">
        <v>1958</v>
      </c>
      <c r="I253" s="18" t="s">
        <v>968</v>
      </c>
      <c r="J253" s="6">
        <v>8556</v>
      </c>
      <c r="K253" s="18" t="s">
        <v>525</v>
      </c>
      <c r="L253" s="18"/>
      <c r="M253" s="18" t="s">
        <v>93</v>
      </c>
      <c r="N253" s="18" t="s">
        <v>28</v>
      </c>
      <c r="O253" s="6">
        <v>4409</v>
      </c>
      <c r="P253" s="6">
        <v>0</v>
      </c>
      <c r="Q253" s="6">
        <v>2894</v>
      </c>
      <c r="R253" s="6">
        <v>2014</v>
      </c>
      <c r="S253" s="19" t="s">
        <v>252</v>
      </c>
      <c r="T253" s="18" t="s">
        <v>970</v>
      </c>
      <c r="V253" s="6" t="str">
        <f t="shared" si="3"/>
        <v>('demo', 'martin@comunas.fm', '8556', 'Primarschule Wigoltingen', 'T02','ST02-12','C9',1958,'Käsereistrasse 10','8556','Wigoltingen','ch','chf',4409,0,2894,2014,'N','Grund für den Wassereintritt war ein defekter Ziegel.\nKindergartenraum neu (Frühling 2019), ausser Beleuchtung.'),</v>
      </c>
    </row>
    <row r="254" spans="1:22" x14ac:dyDescent="0.25">
      <c r="A254" s="18" t="s">
        <v>4</v>
      </c>
      <c r="B254" s="18" t="s">
        <v>20</v>
      </c>
      <c r="C254" s="6">
        <v>8335</v>
      </c>
      <c r="D254" s="18" t="s">
        <v>971</v>
      </c>
      <c r="E254" s="18" t="s">
        <v>288</v>
      </c>
      <c r="F254" s="18" t="s">
        <v>972</v>
      </c>
      <c r="G254" s="18" t="s">
        <v>973</v>
      </c>
      <c r="H254" s="6">
        <v>1892</v>
      </c>
      <c r="I254" s="18" t="s">
        <v>974</v>
      </c>
      <c r="J254" s="6">
        <v>8335</v>
      </c>
      <c r="K254" s="18" t="s">
        <v>740</v>
      </c>
      <c r="L254" s="18"/>
      <c r="M254" s="18" t="s">
        <v>93</v>
      </c>
      <c r="N254" s="18" t="s">
        <v>28</v>
      </c>
      <c r="O254" s="6">
        <v>1804</v>
      </c>
      <c r="P254" s="6">
        <v>0</v>
      </c>
      <c r="Q254" s="6">
        <v>1820</v>
      </c>
      <c r="R254" s="6">
        <v>2019</v>
      </c>
      <c r="S254" s="19" t="s">
        <v>252</v>
      </c>
      <c r="T254" s="18" t="s">
        <v>975</v>
      </c>
      <c r="V254" s="6" t="str">
        <f t="shared" si="3"/>
        <v>('demo', 'martin@comunas.fm', '8335', 'Altersheim und Gartenhaus', 'T01','ST06-33','C28',1892,'Oberdorfstrsse 91','8335','Hittnau','ch','chf',1804,0,1820,2019,'N','Treppenlift,\nVentilation des Wc''s im 2. Stock ist defekt.\nDer Keller ist feucht und der Verputz ist abgeplatzt\nDas Gartenhäuschen ist in einem schlechten Zustand\nNachtrag zum Zustand während der Besichtigung: Nach Entfernung der Kletterpflanzen stürzte eine Ecke des Mauerwerks (Fassade) ein.'),</v>
      </c>
    </row>
    <row r="255" spans="1:22" x14ac:dyDescent="0.25">
      <c r="A255" s="18" t="s">
        <v>4</v>
      </c>
      <c r="B255" s="18" t="s">
        <v>20</v>
      </c>
      <c r="C255" s="6">
        <v>8335</v>
      </c>
      <c r="D255" s="18" t="s">
        <v>976</v>
      </c>
      <c r="E255" s="18" t="s">
        <v>505</v>
      </c>
      <c r="F255" s="18" t="s">
        <v>613</v>
      </c>
      <c r="G255" s="18" t="s">
        <v>659</v>
      </c>
      <c r="H255" s="6">
        <v>1987</v>
      </c>
      <c r="I255" s="18" t="s">
        <v>977</v>
      </c>
      <c r="J255" s="6">
        <v>8335</v>
      </c>
      <c r="K255" s="18" t="s">
        <v>740</v>
      </c>
      <c r="L255" s="18"/>
      <c r="M255" s="18" t="s">
        <v>93</v>
      </c>
      <c r="N255" s="18" t="s">
        <v>28</v>
      </c>
      <c r="O255" s="6">
        <v>478</v>
      </c>
      <c r="P255" s="6">
        <v>0</v>
      </c>
      <c r="Q255" s="6">
        <v>359</v>
      </c>
      <c r="R255" s="6">
        <v>2015</v>
      </c>
      <c r="S255" s="19" t="s">
        <v>252</v>
      </c>
      <c r="T255" s="18"/>
      <c r="V255" s="6" t="str">
        <f t="shared" si="3"/>
        <v>('demo', 'martin@comunas.fm', '8335', 'Schutzraum', 'T14','ST03-19','C38',1987,'Schulhausstrasse 2 bei 2','8335','Hittnau','ch','chf',478,0,359,2015,'N',null),</v>
      </c>
    </row>
    <row r="256" spans="1:22" x14ac:dyDescent="0.25">
      <c r="A256" s="18" t="s">
        <v>4</v>
      </c>
      <c r="B256" s="18" t="s">
        <v>20</v>
      </c>
      <c r="C256" s="6">
        <v>4303</v>
      </c>
      <c r="D256" s="18" t="s">
        <v>978</v>
      </c>
      <c r="E256" s="18" t="s">
        <v>386</v>
      </c>
      <c r="F256" s="18" t="s">
        <v>979</v>
      </c>
      <c r="G256" s="18" t="s">
        <v>277</v>
      </c>
      <c r="H256" s="6">
        <v>1300</v>
      </c>
      <c r="I256" s="18" t="s">
        <v>980</v>
      </c>
      <c r="J256" s="6">
        <v>4303</v>
      </c>
      <c r="K256" s="18" t="s">
        <v>851</v>
      </c>
      <c r="L256" s="18"/>
      <c r="M256" s="18" t="s">
        <v>93</v>
      </c>
      <c r="N256" s="18" t="s">
        <v>28</v>
      </c>
      <c r="O256" s="6">
        <v>583</v>
      </c>
      <c r="P256" s="6">
        <v>0</v>
      </c>
      <c r="Q256" s="6">
        <v>808</v>
      </c>
      <c r="R256" s="6">
        <v>2007</v>
      </c>
      <c r="S256" s="19" t="s">
        <v>252</v>
      </c>
      <c r="T256" s="18"/>
      <c r="V256" s="6" t="str">
        <f t="shared" si="3"/>
        <v>('demo', 'martin@comunas.fm', '4303', 'Kirchturm', 'T09','ST01-5','C0',1300,'Kirchgasse','4303','Kaiseraugst','ch','chf',583,0,808,2007,'N',null),</v>
      </c>
    </row>
    <row r="257" spans="1:22" x14ac:dyDescent="0.25">
      <c r="A257" s="18" t="s">
        <v>4</v>
      </c>
      <c r="B257" s="18" t="s">
        <v>20</v>
      </c>
      <c r="C257" s="6">
        <v>8335</v>
      </c>
      <c r="D257" s="18" t="s">
        <v>981</v>
      </c>
      <c r="E257" s="18" t="s">
        <v>386</v>
      </c>
      <c r="F257" s="18" t="s">
        <v>387</v>
      </c>
      <c r="G257" s="18" t="s">
        <v>368</v>
      </c>
      <c r="H257" s="6">
        <v>1986</v>
      </c>
      <c r="I257" s="18" t="s">
        <v>982</v>
      </c>
      <c r="J257" s="6">
        <v>8335</v>
      </c>
      <c r="K257" s="18" t="s">
        <v>740</v>
      </c>
      <c r="L257" s="18"/>
      <c r="M257" s="18" t="s">
        <v>93</v>
      </c>
      <c r="N257" s="18" t="s">
        <v>28</v>
      </c>
      <c r="O257" s="6">
        <v>91</v>
      </c>
      <c r="P257" s="6">
        <v>0</v>
      </c>
      <c r="Q257" s="6">
        <v>160</v>
      </c>
      <c r="R257" s="6">
        <v>2011</v>
      </c>
      <c r="S257" s="19" t="s">
        <v>252</v>
      </c>
      <c r="T257" s="18"/>
      <c r="V257" s="6" t="str">
        <f t="shared" si="3"/>
        <v>('demo', 'martin@comunas.fm', '8335', 'Friedhofsgebäude', 'T09','ST03-18','C29',1986,'Ghangetrietstrasse','8335','Hittnau','ch','chf',91,0,160,2011,'N',null),</v>
      </c>
    </row>
    <row r="258" spans="1:22" x14ac:dyDescent="0.25">
      <c r="A258" s="18" t="s">
        <v>4</v>
      </c>
      <c r="B258" s="18" t="s">
        <v>20</v>
      </c>
      <c r="C258" s="6">
        <v>8335</v>
      </c>
      <c r="D258" s="18" t="s">
        <v>981</v>
      </c>
      <c r="E258" s="18" t="s">
        <v>386</v>
      </c>
      <c r="F258" s="18" t="s">
        <v>387</v>
      </c>
      <c r="G258" s="18" t="s">
        <v>368</v>
      </c>
      <c r="H258" s="6">
        <v>1986</v>
      </c>
      <c r="I258" s="18" t="s">
        <v>982</v>
      </c>
      <c r="J258" s="6">
        <v>8335</v>
      </c>
      <c r="K258" s="18" t="s">
        <v>740</v>
      </c>
      <c r="L258" s="18"/>
      <c r="M258" s="18" t="s">
        <v>93</v>
      </c>
      <c r="N258" s="18" t="s">
        <v>28</v>
      </c>
      <c r="O258" s="6">
        <v>705</v>
      </c>
      <c r="P258" s="6">
        <v>0</v>
      </c>
      <c r="Q258" s="6">
        <v>530</v>
      </c>
      <c r="R258" s="6">
        <v>2011</v>
      </c>
      <c r="S258" s="19" t="s">
        <v>252</v>
      </c>
      <c r="T258" s="18" t="s">
        <v>983</v>
      </c>
      <c r="V258" s="6" t="str">
        <f t="shared" si="3"/>
        <v>('demo', 'martin@comunas.fm', '8335', 'Friedhofsgebäude', 'T09','ST03-18','C29',1986,'Ghangetrietstrasse','8335','Hittnau','ch','chf',705,0,530,2011,'N','Hauswart: Herr Caminada'),</v>
      </c>
    </row>
    <row r="259" spans="1:22" x14ac:dyDescent="0.25">
      <c r="A259" s="18" t="s">
        <v>4</v>
      </c>
      <c r="B259" s="18" t="s">
        <v>20</v>
      </c>
      <c r="C259" s="6">
        <v>8335</v>
      </c>
      <c r="D259" s="18" t="s">
        <v>658</v>
      </c>
      <c r="E259" s="18" t="s">
        <v>505</v>
      </c>
      <c r="F259" s="18" t="s">
        <v>613</v>
      </c>
      <c r="G259" s="18" t="s">
        <v>659</v>
      </c>
      <c r="H259" s="6">
        <v>1987</v>
      </c>
      <c r="I259" s="18" t="s">
        <v>984</v>
      </c>
      <c r="J259" s="6">
        <v>8335</v>
      </c>
      <c r="K259" s="18" t="s">
        <v>740</v>
      </c>
      <c r="L259" s="18"/>
      <c r="M259" s="18" t="s">
        <v>93</v>
      </c>
      <c r="N259" s="18" t="s">
        <v>28</v>
      </c>
      <c r="O259" s="6">
        <v>907</v>
      </c>
      <c r="P259" s="6">
        <v>0</v>
      </c>
      <c r="Q259" s="6">
        <v>600</v>
      </c>
      <c r="R259" s="6">
        <v>2015</v>
      </c>
      <c r="S259" s="19" t="s">
        <v>252</v>
      </c>
      <c r="T259" s="18"/>
      <c r="V259" s="6" t="str">
        <f t="shared" si="3"/>
        <v>('demo', 'martin@comunas.fm', '8335', 'Zivilschutzanlage', 'T14','ST03-19','C38',1987,'Dürstellenstrasse 8 bei 8','8335','Hittnau','ch','chf',907,0,600,2015,'N',null),</v>
      </c>
    </row>
    <row r="260" spans="1:22" x14ac:dyDescent="0.25">
      <c r="A260" s="18" t="s">
        <v>4</v>
      </c>
      <c r="B260" s="18" t="s">
        <v>20</v>
      </c>
      <c r="C260" s="6">
        <v>8335</v>
      </c>
      <c r="D260" s="18" t="s">
        <v>658</v>
      </c>
      <c r="E260" s="18" t="s">
        <v>505</v>
      </c>
      <c r="F260" s="18" t="s">
        <v>613</v>
      </c>
      <c r="G260" s="18" t="s">
        <v>659</v>
      </c>
      <c r="H260" s="6">
        <v>1983</v>
      </c>
      <c r="I260" s="18" t="s">
        <v>985</v>
      </c>
      <c r="J260" s="6">
        <v>8335</v>
      </c>
      <c r="K260" s="18" t="s">
        <v>740</v>
      </c>
      <c r="L260" s="18"/>
      <c r="M260" s="18" t="s">
        <v>93</v>
      </c>
      <c r="N260" s="18" t="s">
        <v>28</v>
      </c>
      <c r="O260" s="6">
        <v>1799</v>
      </c>
      <c r="P260" s="6">
        <v>0</v>
      </c>
      <c r="Q260" s="6">
        <v>1162</v>
      </c>
      <c r="R260" s="6">
        <v>2019</v>
      </c>
      <c r="S260" s="19" t="s">
        <v>252</v>
      </c>
      <c r="T260" s="18"/>
      <c r="V260" s="6" t="str">
        <f t="shared" si="3"/>
        <v>('demo', 'martin@comunas.fm', '8335', 'Zivilschutzanlage', 'T14','ST03-19','C38',1983,'Hermetsbüel','8335','Hittnau','ch','chf',1799,0,1162,2019,'N',null),</v>
      </c>
    </row>
    <row r="261" spans="1:22" x14ac:dyDescent="0.25">
      <c r="A261" s="18" t="s">
        <v>4</v>
      </c>
      <c r="B261" s="18" t="s">
        <v>20</v>
      </c>
      <c r="C261" s="6">
        <v>8335</v>
      </c>
      <c r="D261" s="18" t="s">
        <v>986</v>
      </c>
      <c r="E261" s="18" t="s">
        <v>275</v>
      </c>
      <c r="F261" s="18" t="s">
        <v>276</v>
      </c>
      <c r="G261" s="18" t="s">
        <v>290</v>
      </c>
      <c r="H261" s="6">
        <v>1843</v>
      </c>
      <c r="I261" s="18" t="s">
        <v>987</v>
      </c>
      <c r="J261" s="6">
        <v>8335</v>
      </c>
      <c r="K261" s="18" t="s">
        <v>740</v>
      </c>
      <c r="L261" s="18"/>
      <c r="M261" s="18" t="s">
        <v>93</v>
      </c>
      <c r="N261" s="18" t="s">
        <v>28</v>
      </c>
      <c r="O261" s="6">
        <v>1903</v>
      </c>
      <c r="P261" s="6">
        <v>0</v>
      </c>
      <c r="Q261" s="6">
        <v>1316</v>
      </c>
      <c r="R261" s="6">
        <v>2012</v>
      </c>
      <c r="S261" s="19" t="s">
        <v>252</v>
      </c>
      <c r="T261" s="18" t="s">
        <v>988</v>
      </c>
      <c r="V261" s="6" t="str">
        <f t="shared" ref="V261:V302" si="4">"('"&amp;A261&amp;"', '"&amp;B261&amp;"', '"&amp;C261&amp;"', '"&amp;D261&amp;"', "&amp;IF(ISBLANK(E261),"null","'"&amp;E261&amp;"'")&amp;","&amp;IF(ISBLANK(F261),"null","'"&amp;F261&amp;"'")&amp;","&amp;IF(ISBLANK(G261),"null","'"&amp;G261&amp;"'")&amp;","&amp;IF(ISBLANK(H261),"null",H261)&amp;","&amp;IF(ISBLANK(I261),"null","'"&amp;I261&amp;"'")&amp;","&amp;IF(ISBLANK(J261),"null","'"&amp;J261&amp;"'")&amp;","&amp;IF(ISBLANK(K261),"null","'"&amp;K261&amp;"'")&amp;","&amp;IF(ISBLANK(M261),"null","'"&amp;M261&amp;"'")&amp;","&amp;IF(ISBLANK(N261),"null","'"&amp;N261&amp;"'")&amp;","&amp;IF(ISBLANK(O261),"null",O261)&amp;","&amp;IF(ISBLANK(P261),"null",P261)&amp;","&amp;IF(ISBLANK(Q261),"null",Q261)&amp;","&amp;IF(ISBLANK(R261),"null",R261)&amp;","&amp;IF(ISBLANK(S261),"null","'"&amp;S261&amp;"'")&amp;","&amp;IF(ISBLANK(T261),"null","'"&amp;T261&amp;"'")&amp;"),"</f>
        <v>('demo', 'martin@comunas.fm', '8335', 'Altes Sekundarschulhaus inkl. Gerätehaus und Garagengebäude', 'T02','ST02-12','C7',1843,'Jakob Stuz-Strasse 54 bei 54','8335','Hittnau','ch','chf',1903,0,1316,2012,'N','In den Garagengebäude sowie Gerätehäuschen sind keine Sanitär-Apparate noch Sanitär-Leitungen vorhanden.'),</v>
      </c>
    </row>
    <row r="262" spans="1:22" x14ac:dyDescent="0.25">
      <c r="A262" s="18" t="s">
        <v>4</v>
      </c>
      <c r="B262" s="18" t="s">
        <v>20</v>
      </c>
      <c r="C262" s="6">
        <v>8556</v>
      </c>
      <c r="D262" s="18" t="s">
        <v>989</v>
      </c>
      <c r="E262" s="18" t="s">
        <v>304</v>
      </c>
      <c r="F262" s="18" t="s">
        <v>305</v>
      </c>
      <c r="G262" s="18" t="s">
        <v>427</v>
      </c>
      <c r="H262" s="6">
        <v>1973</v>
      </c>
      <c r="I262" s="18" t="s">
        <v>968</v>
      </c>
      <c r="J262" s="6">
        <v>8556</v>
      </c>
      <c r="K262" s="18" t="s">
        <v>525</v>
      </c>
      <c r="L262" s="18"/>
      <c r="M262" s="18" t="s">
        <v>93</v>
      </c>
      <c r="N262" s="18" t="s">
        <v>28</v>
      </c>
      <c r="O262" s="6">
        <v>4326</v>
      </c>
      <c r="P262" s="6">
        <v>0</v>
      </c>
      <c r="Q262" s="6">
        <v>2462</v>
      </c>
      <c r="R262" s="6">
        <v>2014</v>
      </c>
      <c r="S262" s="19" t="s">
        <v>252</v>
      </c>
      <c r="T262" s="18"/>
      <c r="V262" s="6" t="str">
        <f t="shared" si="4"/>
        <v>('demo', 'martin@comunas.fm', '8556', 'Turnhalle (Sarnahalle)', 'T12','ST01-9','C33',1973,'Käsereistrasse 10','8556','Wigoltingen','ch','chf',4326,0,2462,2014,'N',null),</v>
      </c>
    </row>
    <row r="263" spans="1:22" x14ac:dyDescent="0.25">
      <c r="A263" s="18" t="s">
        <v>4</v>
      </c>
      <c r="B263" s="18" t="s">
        <v>20</v>
      </c>
      <c r="C263" s="6">
        <v>8556</v>
      </c>
      <c r="D263" s="18" t="s">
        <v>990</v>
      </c>
      <c r="E263" s="18" t="s">
        <v>275</v>
      </c>
      <c r="F263" s="18" t="s">
        <v>276</v>
      </c>
      <c r="G263" s="18" t="s">
        <v>294</v>
      </c>
      <c r="H263" s="6">
        <v>1973</v>
      </c>
      <c r="I263" s="18" t="s">
        <v>991</v>
      </c>
      <c r="J263" s="6">
        <v>8556</v>
      </c>
      <c r="K263" s="18" t="s">
        <v>525</v>
      </c>
      <c r="L263" s="18"/>
      <c r="M263" s="18" t="s">
        <v>93</v>
      </c>
      <c r="N263" s="18" t="s">
        <v>28</v>
      </c>
      <c r="O263" s="6">
        <v>7617</v>
      </c>
      <c r="P263" s="6">
        <v>0</v>
      </c>
      <c r="Q263" s="6">
        <v>4901</v>
      </c>
      <c r="R263" s="6">
        <v>2014</v>
      </c>
      <c r="S263" s="19" t="s">
        <v>252</v>
      </c>
      <c r="T263" s="18" t="s">
        <v>992</v>
      </c>
      <c r="V263" s="6" t="str">
        <f t="shared" si="4"/>
        <v>('demo', 'martin@comunas.fm', '8556', 'Werkzentrum', 'T02','ST02-12','C9',1973,'Bahnhofstrasse 40','8556','Wigoltingen','ch','chf',7617,0,4901,2014,'N','Die Gebäudenhülle wurde ca ''08 renoviert.\nDie Fernwärme für die Primarschule, Mehrzweckhalle und Turnhalle werden von diesem Gebäude (Werkzentrum) aus gesteuert.'),</v>
      </c>
    </row>
    <row r="264" spans="1:22" x14ac:dyDescent="0.25">
      <c r="A264" s="18" t="s">
        <v>4</v>
      </c>
      <c r="B264" s="18" t="s">
        <v>20</v>
      </c>
      <c r="C264" s="6">
        <v>8335</v>
      </c>
      <c r="D264" s="18" t="s">
        <v>993</v>
      </c>
      <c r="E264" s="18" t="s">
        <v>275</v>
      </c>
      <c r="F264" s="18" t="s">
        <v>276</v>
      </c>
      <c r="G264" s="18" t="s">
        <v>294</v>
      </c>
      <c r="H264" s="6">
        <v>1961</v>
      </c>
      <c r="I264" s="18" t="s">
        <v>994</v>
      </c>
      <c r="J264" s="6">
        <v>8335</v>
      </c>
      <c r="K264" s="18" t="s">
        <v>740</v>
      </c>
      <c r="L264" s="18"/>
      <c r="M264" s="18" t="s">
        <v>93</v>
      </c>
      <c r="N264" s="18" t="s">
        <v>28</v>
      </c>
      <c r="O264" s="6">
        <v>8453</v>
      </c>
      <c r="P264" s="6">
        <v>0</v>
      </c>
      <c r="Q264" s="6">
        <v>6067</v>
      </c>
      <c r="R264" s="6">
        <v>2017</v>
      </c>
      <c r="S264" s="19" t="s">
        <v>252</v>
      </c>
      <c r="T264" s="18" t="s">
        <v>995</v>
      </c>
      <c r="V264" s="6" t="str">
        <f t="shared" si="4"/>
        <v>('demo', 'martin@comunas.fm', '8335', 'Hermetsbüel Oberstufe', 'T02','ST02-12','C9',1961,'Hermetsbüelweg 10','8335','Hittnau','ch','chf',8453,0,6067,2017,'N','Totalsanierung 1993\nSchulküche - Metalltür verzogen, undicht.\nAnbau Spez.-Trakt 1993\n\n*Wassereintritt bei der Dachuntersicht, möglicherweise von der darüber liegenden Rinne.'),</v>
      </c>
    </row>
    <row r="265" spans="1:22" x14ac:dyDescent="0.25">
      <c r="A265" s="18" t="s">
        <v>4</v>
      </c>
      <c r="B265" s="18" t="s">
        <v>20</v>
      </c>
      <c r="C265" s="6">
        <v>8335</v>
      </c>
      <c r="D265" s="18" t="s">
        <v>996</v>
      </c>
      <c r="E265" s="18" t="s">
        <v>275</v>
      </c>
      <c r="F265" s="18" t="s">
        <v>284</v>
      </c>
      <c r="G265" s="18" t="s">
        <v>285</v>
      </c>
      <c r="H265" s="6">
        <v>1950</v>
      </c>
      <c r="I265" s="18" t="s">
        <v>997</v>
      </c>
      <c r="J265" s="6">
        <v>8335</v>
      </c>
      <c r="K265" s="18" t="s">
        <v>740</v>
      </c>
      <c r="L265" s="18"/>
      <c r="M265" s="18" t="s">
        <v>93</v>
      </c>
      <c r="N265" s="18" t="s">
        <v>28</v>
      </c>
      <c r="O265" s="6">
        <v>680</v>
      </c>
      <c r="P265" s="6">
        <v>0</v>
      </c>
      <c r="Q265" s="6">
        <v>600</v>
      </c>
      <c r="R265" s="6">
        <v>2012</v>
      </c>
      <c r="S265" s="19" t="s">
        <v>252</v>
      </c>
      <c r="T265" s="18" t="s">
        <v>998</v>
      </c>
      <c r="V265" s="6" t="str">
        <f t="shared" si="4"/>
        <v>('demo', 'martin@comunas.fm', '8335', 'Kiga Oberdorf', 'T02','ST01-4','C8',1950,'Oberdoftstrasse 21','8335','Hittnau','ch','chf',680,0,600,2012,'N','Renovation 1999'),</v>
      </c>
    </row>
    <row r="266" spans="1:22" x14ac:dyDescent="0.25">
      <c r="A266" s="18" t="s">
        <v>4</v>
      </c>
      <c r="B266" s="18" t="s">
        <v>20</v>
      </c>
      <c r="C266" s="6">
        <v>8477</v>
      </c>
      <c r="D266" s="18" t="s">
        <v>359</v>
      </c>
      <c r="E266" s="18" t="s">
        <v>275</v>
      </c>
      <c r="F266" s="18" t="s">
        <v>276</v>
      </c>
      <c r="G266" s="18" t="s">
        <v>294</v>
      </c>
      <c r="H266" s="6">
        <v>1868</v>
      </c>
      <c r="I266" s="18" t="s">
        <v>999</v>
      </c>
      <c r="J266" s="6">
        <v>8477</v>
      </c>
      <c r="K266" s="18" t="s">
        <v>722</v>
      </c>
      <c r="L266" s="18"/>
      <c r="M266" s="18" t="s">
        <v>93</v>
      </c>
      <c r="N266" s="18" t="s">
        <v>28</v>
      </c>
      <c r="O266" s="6">
        <v>8114</v>
      </c>
      <c r="P266" s="6">
        <v>0</v>
      </c>
      <c r="Q266" s="6">
        <v>5587</v>
      </c>
      <c r="R266" s="6">
        <v>2008</v>
      </c>
      <c r="S266" s="19" t="s">
        <v>252</v>
      </c>
      <c r="T266" s="18" t="s">
        <v>1000</v>
      </c>
      <c r="V266" s="6" t="str">
        <f t="shared" si="4"/>
        <v>('demo', 'martin@comunas.fm', '8477', 'Schulhaus', 'T02','ST02-12','C9',1868,'Hauptstrasse 15','8477','Oberstammheim','ch','chf',8114,0,5587,2008,'N','- Baujahre der drei Gebäudeteile: Schulhaus 1868 / Anbau 1930 / Anbau 1993\n- Teilsanierung 1995: Lavabo in KZ: Beleuchtung, Starkstrom\n- Verbindungsgang im UG: Sichtbetonwände und Luftschutztüre, Boden wurde neu gestrichen, da Wasser eintrat, Wand im Heizkeller: Wasserschaden\n- Treppe: Stahlträger und Glasbausteine\n- in allen Räumen LED-Lampen (ausser im Werkraum &amp; Handarbeit)'),</v>
      </c>
    </row>
    <row r="267" spans="1:22" x14ac:dyDescent="0.25">
      <c r="A267" s="18" t="s">
        <v>4</v>
      </c>
      <c r="B267" s="18" t="s">
        <v>20</v>
      </c>
      <c r="C267" s="6">
        <v>8588</v>
      </c>
      <c r="D267" s="18" t="s">
        <v>1001</v>
      </c>
      <c r="E267" s="18" t="s">
        <v>275</v>
      </c>
      <c r="F267" s="18" t="s">
        <v>276</v>
      </c>
      <c r="G267" s="18" t="s">
        <v>427</v>
      </c>
      <c r="H267" s="6">
        <v>1986</v>
      </c>
      <c r="I267" s="18" t="s">
        <v>467</v>
      </c>
      <c r="J267" s="6">
        <v>8588</v>
      </c>
      <c r="K267" s="18" t="s">
        <v>468</v>
      </c>
      <c r="L267" s="18"/>
      <c r="M267" s="18" t="s">
        <v>93</v>
      </c>
      <c r="N267" s="18" t="s">
        <v>28</v>
      </c>
      <c r="O267" s="6">
        <v>7217</v>
      </c>
      <c r="P267" s="6">
        <v>0</v>
      </c>
      <c r="Q267" s="6">
        <v>3006</v>
      </c>
      <c r="R267" s="6">
        <v>2011</v>
      </c>
      <c r="S267" s="19" t="s">
        <v>252</v>
      </c>
      <c r="T267" s="18" t="s">
        <v>1002</v>
      </c>
      <c r="V267" s="6" t="str">
        <f t="shared" si="4"/>
        <v>('demo', 'martin@comunas.fm', '8588', 'Primarschulanlage Mehrzweckhalle', 'T02','ST02-12','C33',1986,'Kirchstrasse','8588','Zihlschlacht','ch','chf',7217,0,3006,2011,'N','In der Fluchtröhre sammelt sich Wasser an und fliesst nicht ab. Aula beinhaltet Audioanlage und eine Beleuchtungsanlage. Ausserdem befand sich in den Bodenhülsen der Turnhalle Wasser.'),</v>
      </c>
    </row>
    <row r="268" spans="1:22" x14ac:dyDescent="0.25">
      <c r="A268" s="18" t="s">
        <v>4</v>
      </c>
      <c r="B268" s="18" t="s">
        <v>20</v>
      </c>
      <c r="C268" s="6">
        <v>9220</v>
      </c>
      <c r="D268" s="18" t="s">
        <v>691</v>
      </c>
      <c r="E268" s="18" t="s">
        <v>391</v>
      </c>
      <c r="F268" s="18" t="s">
        <v>689</v>
      </c>
      <c r="G268" s="18" t="s">
        <v>393</v>
      </c>
      <c r="H268" s="6">
        <v>1901</v>
      </c>
      <c r="I268" s="18" t="s">
        <v>1003</v>
      </c>
      <c r="J268" s="6">
        <v>9220</v>
      </c>
      <c r="K268" s="18" t="s">
        <v>439</v>
      </c>
      <c r="L268" s="18"/>
      <c r="M268" s="18" t="s">
        <v>93</v>
      </c>
      <c r="N268" s="18" t="s">
        <v>28</v>
      </c>
      <c r="O268" s="6">
        <v>2139</v>
      </c>
      <c r="P268" s="6">
        <v>0</v>
      </c>
      <c r="Q268" s="6">
        <v>1534</v>
      </c>
      <c r="R268" s="6">
        <v>2011</v>
      </c>
      <c r="S268" s="19" t="s">
        <v>252</v>
      </c>
      <c r="T268" s="18" t="s">
        <v>1004</v>
      </c>
      <c r="V268" s="6" t="str">
        <f t="shared" si="4"/>
        <v>('demo', 'martin@comunas.fm', '9220', 'Verwaltungsgebäude', 'T06','ST05-30','C21',1901,'Sandbänkli 5','9220','Bischofszell','ch','chf',2139,0,1534,2011,'N','Dieses Gebäude steht unter Denkmalschutz.'),</v>
      </c>
    </row>
    <row r="269" spans="1:22" x14ac:dyDescent="0.25">
      <c r="A269" s="18" t="s">
        <v>4</v>
      </c>
      <c r="B269" s="18" t="s">
        <v>20</v>
      </c>
      <c r="C269" s="6">
        <v>8022</v>
      </c>
      <c r="D269" s="18" t="s">
        <v>1005</v>
      </c>
      <c r="E269" s="18" t="s">
        <v>391</v>
      </c>
      <c r="F269" s="18" t="s">
        <v>1006</v>
      </c>
      <c r="G269" s="18" t="s">
        <v>748</v>
      </c>
      <c r="H269" s="6">
        <v>1887</v>
      </c>
      <c r="I269" s="18" t="s">
        <v>1007</v>
      </c>
      <c r="J269" s="6">
        <v>8022</v>
      </c>
      <c r="K269" s="18"/>
      <c r="L269" s="18"/>
      <c r="M269" s="18" t="s">
        <v>93</v>
      </c>
      <c r="N269" s="18" t="s">
        <v>28</v>
      </c>
      <c r="O269" s="6">
        <v>30260</v>
      </c>
      <c r="P269" s="6">
        <v>0</v>
      </c>
      <c r="Q269" s="6">
        <v>38671</v>
      </c>
      <c r="R269" s="6">
        <v>2004</v>
      </c>
      <c r="S269" s="19" t="s">
        <v>252</v>
      </c>
      <c r="T269" s="18" t="s">
        <v>1008</v>
      </c>
      <c r="V269" s="6" t="str">
        <f t="shared" si="4"/>
        <v>('demo', 'martin@comunas.fm', '8022', 'SNB', 'T06','ST04-23','C22',1887,'Fraumünsterstrasse 8 und Stadthausquai 3,5,7','8022',null,'ch','chf',30260,0,38671,2004,'N','Elektroanlagen:\n\nStarkstromanlagen:\nBeleuchtung im Innenhof nach Wasserschaden defekt (Bodenleuchten)\n\nGem. Stefan Bauer:\n- Für die Videoüberwachung sind keine Ersatzteile mehr erhältlich!\n- Max. Lebensdauer der BMA ca. 16 Jahre\n- Die Evakuationsanlage muss bald ersetzt werden.\n\nGemäss GVZ-Ausweis: Brandmeldeanlage: CHF 284''700.-\n\nGemäss IT-Abt.:\nReinvestitionsbedarf (ca. alle 5 Jahre):\n- IT Aktivkomponenten: ca. CHF 400''000.-\n- Telefonie: ca. CHF 100''000.-'),</v>
      </c>
    </row>
    <row r="270" spans="1:22" x14ac:dyDescent="0.25">
      <c r="A270" s="18" t="s">
        <v>4</v>
      </c>
      <c r="B270" s="18" t="s">
        <v>20</v>
      </c>
      <c r="C270" s="6">
        <v>4303</v>
      </c>
      <c r="D270" s="18" t="s">
        <v>1009</v>
      </c>
      <c r="E270" s="18" t="s">
        <v>275</v>
      </c>
      <c r="F270" s="18" t="s">
        <v>284</v>
      </c>
      <c r="G270" s="18" t="s">
        <v>285</v>
      </c>
      <c r="H270" s="6">
        <v>1977</v>
      </c>
      <c r="I270" s="18" t="s">
        <v>1010</v>
      </c>
      <c r="J270" s="6">
        <v>4303</v>
      </c>
      <c r="K270" s="18" t="s">
        <v>851</v>
      </c>
      <c r="L270" s="18"/>
      <c r="M270" s="18" t="s">
        <v>93</v>
      </c>
      <c r="N270" s="18" t="s">
        <v>28</v>
      </c>
      <c r="O270" s="6">
        <v>7344</v>
      </c>
      <c r="P270" s="6">
        <v>0</v>
      </c>
      <c r="Q270" s="6">
        <v>4000</v>
      </c>
      <c r="R270" s="6">
        <v>2011</v>
      </c>
      <c r="S270" s="19" t="s">
        <v>252</v>
      </c>
      <c r="T270" s="18" t="s">
        <v>1011</v>
      </c>
      <c r="V270" s="6" t="str">
        <f t="shared" si="4"/>
        <v>('demo', 'martin@comunas.fm', '4303', 'KIGA Violaweg', 'T02','ST01-4','C8',1977,'Violaweg 75','4303','Kaiseraugst','ch','chf',7344,0,4000,2011,'N','Der Versicherungswert wurde über das Gebäudevolumen anteilmässig am Gesamtwert geschätzt. Das Flachdach konnte nicht besichtigt werden.\nFür alle Elemente der Gebäudehülle u.a. Elemente, deren Unterhalt über die Miete finanziert werden, sind die Reinvestationskosten für das ganze Gebäude enthalten. In der Regel werden diese Kosten von allen Mietern resp. vom Vermieter getragen.'),</v>
      </c>
    </row>
    <row r="271" spans="1:22" x14ac:dyDescent="0.25">
      <c r="A271" s="18" t="s">
        <v>4</v>
      </c>
      <c r="B271" s="18" t="s">
        <v>20</v>
      </c>
      <c r="C271" s="6">
        <v>4303</v>
      </c>
      <c r="D271" s="18" t="s">
        <v>1012</v>
      </c>
      <c r="E271" s="18" t="s">
        <v>304</v>
      </c>
      <c r="F271" s="18" t="s">
        <v>1013</v>
      </c>
      <c r="G271" s="18" t="s">
        <v>277</v>
      </c>
      <c r="H271" s="6">
        <v>1983</v>
      </c>
      <c r="I271" s="18" t="s">
        <v>1014</v>
      </c>
      <c r="J271" s="6">
        <v>4303</v>
      </c>
      <c r="K271" s="18" t="s">
        <v>851</v>
      </c>
      <c r="L271" s="18"/>
      <c r="M271" s="18" t="s">
        <v>93</v>
      </c>
      <c r="N271" s="18" t="s">
        <v>28</v>
      </c>
      <c r="O271" s="6">
        <v>607</v>
      </c>
      <c r="P271" s="6">
        <v>0</v>
      </c>
      <c r="Q271" s="6">
        <v>294</v>
      </c>
      <c r="R271" s="6">
        <v>2006</v>
      </c>
      <c r="S271" s="19" t="s">
        <v>252</v>
      </c>
      <c r="T271" s="18"/>
      <c r="V271" s="6" t="str">
        <f t="shared" si="4"/>
        <v>('demo', 'martin@comunas.fm', '4303', 'Waldhütte', 'T12','ST11-48','C0',1983,'Stelliweg','4303','Kaiseraugst','ch','chf',607,0,294,2006,'N',null),</v>
      </c>
    </row>
    <row r="272" spans="1:22" x14ac:dyDescent="0.25">
      <c r="A272" s="18" t="s">
        <v>4</v>
      </c>
      <c r="B272" s="18" t="s">
        <v>20</v>
      </c>
      <c r="C272" s="6">
        <v>8153</v>
      </c>
      <c r="D272" s="18" t="s">
        <v>1015</v>
      </c>
      <c r="E272" s="18" t="s">
        <v>275</v>
      </c>
      <c r="F272" s="18" t="s">
        <v>276</v>
      </c>
      <c r="G272" s="18" t="s">
        <v>867</v>
      </c>
      <c r="H272" s="6">
        <v>1957</v>
      </c>
      <c r="I272" s="18" t="s">
        <v>1016</v>
      </c>
      <c r="J272" s="6">
        <v>8153</v>
      </c>
      <c r="K272" s="18" t="s">
        <v>884</v>
      </c>
      <c r="L272" s="18"/>
      <c r="M272" s="18" t="s">
        <v>93</v>
      </c>
      <c r="N272" s="18" t="s">
        <v>28</v>
      </c>
      <c r="O272" s="6">
        <v>15732</v>
      </c>
      <c r="P272" s="6">
        <v>0</v>
      </c>
      <c r="Q272" s="6">
        <v>14110</v>
      </c>
      <c r="R272" s="6">
        <v>2017</v>
      </c>
      <c r="S272" s="19" t="s">
        <v>252</v>
      </c>
      <c r="T272" s="18" t="s">
        <v>1017</v>
      </c>
      <c r="V272" s="6" t="str">
        <f t="shared" si="4"/>
        <v>('demo', 'martin@comunas.fm', '8153', 'Sekundarschulhaus Rümlang', 'T02','ST02-12','C10',1957,'Katzenrütistrasse 4','8153','Rümlang','ch','chf',15732,0,14110,2017,'N','-Hauswart: Herr Buchli\n-Boden (Linol) wird erneuert dieses Jahr im Trakt A alle 4 Zimmer'),</v>
      </c>
    </row>
    <row r="273" spans="1:22" x14ac:dyDescent="0.25">
      <c r="A273" s="18" t="s">
        <v>4</v>
      </c>
      <c r="B273" s="18" t="s">
        <v>20</v>
      </c>
      <c r="C273" s="6">
        <v>8153</v>
      </c>
      <c r="D273" s="18" t="s">
        <v>1018</v>
      </c>
      <c r="E273" s="18" t="s">
        <v>275</v>
      </c>
      <c r="F273" s="18" t="s">
        <v>276</v>
      </c>
      <c r="G273" s="18" t="s">
        <v>294</v>
      </c>
      <c r="H273" s="6">
        <v>1915</v>
      </c>
      <c r="I273" s="18" t="s">
        <v>1019</v>
      </c>
      <c r="J273" s="6">
        <v>8153</v>
      </c>
      <c r="K273" s="18" t="s">
        <v>884</v>
      </c>
      <c r="L273" s="18"/>
      <c r="M273" s="18" t="s">
        <v>93</v>
      </c>
      <c r="N273" s="18" t="s">
        <v>28</v>
      </c>
      <c r="O273" s="6">
        <v>14846</v>
      </c>
      <c r="P273" s="6">
        <v>0</v>
      </c>
      <c r="Q273" s="6">
        <v>13200</v>
      </c>
      <c r="R273" s="6">
        <v>2018</v>
      </c>
      <c r="S273" s="19" t="s">
        <v>252</v>
      </c>
      <c r="T273" s="18" t="s">
        <v>1020</v>
      </c>
      <c r="V273" s="6" t="str">
        <f t="shared" si="4"/>
        <v>('demo', 'martin@comunas.fm', '8153', 'Primarschulhaus Rümlang inkl. Turnhalle', 'T02','ST02-12','C9',1915,'Katzenrütistrasse bei 6','8153','Rümlang','ch','chf',14846,0,13200,2018,'N','-Normale Zuluft in dem Geimeindesaal bei der Turnhalle\n-Neue Trennwände bei Herren Dusche/Garderobe'),</v>
      </c>
    </row>
    <row r="274" spans="1:22" x14ac:dyDescent="0.25">
      <c r="A274" s="18" t="s">
        <v>4</v>
      </c>
      <c r="B274" s="18" t="s">
        <v>20</v>
      </c>
      <c r="C274" s="6">
        <v>8556</v>
      </c>
      <c r="D274" s="18" t="s">
        <v>1021</v>
      </c>
      <c r="E274" s="18" t="s">
        <v>275</v>
      </c>
      <c r="F274" s="18" t="s">
        <v>276</v>
      </c>
      <c r="G274" s="18" t="s">
        <v>294</v>
      </c>
      <c r="H274" s="6">
        <v>1995</v>
      </c>
      <c r="I274" s="18" t="s">
        <v>1022</v>
      </c>
      <c r="J274" s="6">
        <v>8556</v>
      </c>
      <c r="K274" s="18" t="s">
        <v>525</v>
      </c>
      <c r="L274" s="18"/>
      <c r="M274" s="18" t="s">
        <v>93</v>
      </c>
      <c r="N274" s="18" t="s">
        <v>28</v>
      </c>
      <c r="O274" s="6">
        <v>18276</v>
      </c>
      <c r="P274" s="6">
        <v>0</v>
      </c>
      <c r="Q274" s="6">
        <v>11895</v>
      </c>
      <c r="R274" s="6">
        <v>2014</v>
      </c>
      <c r="S274" s="19" t="s">
        <v>252</v>
      </c>
      <c r="T274" s="18" t="s">
        <v>1023</v>
      </c>
      <c r="V274" s="6" t="str">
        <f t="shared" si="4"/>
        <v>('demo', 'martin@comunas.fm', '8556', 'Sekundarschulgebäude', 'T02','ST02-12','C9',1995,'Kirchstrasse 12a','8556','Wigoltingen','ch','chf',18276,0,11895,2014,'N','-Problem der Feuchtigkeit im Chemieraum wurde behoben.\n-Keine Lüftung im Singsaal\ns.a. Bestandesaufnahmen vom März 2018'),</v>
      </c>
    </row>
    <row r="275" spans="1:22" x14ac:dyDescent="0.25">
      <c r="A275" s="18" t="s">
        <v>4</v>
      </c>
      <c r="B275" s="18" t="s">
        <v>20</v>
      </c>
      <c r="C275" s="6">
        <v>8556</v>
      </c>
      <c r="D275" s="18" t="s">
        <v>1024</v>
      </c>
      <c r="E275" s="18" t="s">
        <v>275</v>
      </c>
      <c r="F275" s="18" t="s">
        <v>276</v>
      </c>
      <c r="G275" s="18" t="s">
        <v>294</v>
      </c>
      <c r="H275" s="6">
        <v>1899</v>
      </c>
      <c r="I275" s="18" t="s">
        <v>360</v>
      </c>
      <c r="J275" s="6">
        <v>8556</v>
      </c>
      <c r="K275" s="18" t="s">
        <v>1025</v>
      </c>
      <c r="L275" s="18"/>
      <c r="M275" s="18" t="s">
        <v>93</v>
      </c>
      <c r="N275" s="18" t="s">
        <v>28</v>
      </c>
      <c r="O275" s="6">
        <v>2834</v>
      </c>
      <c r="P275" s="6">
        <v>0</v>
      </c>
      <c r="Q275" s="6">
        <v>1839</v>
      </c>
      <c r="R275" s="6">
        <v>2011</v>
      </c>
      <c r="S275" s="19" t="s">
        <v>252</v>
      </c>
      <c r="T275" s="18"/>
      <c r="V275" s="6" t="str">
        <f t="shared" si="4"/>
        <v>('demo', 'martin@comunas.fm', '8556', 'Primarschule Raperswilen, Altbau inkl. Whg', 'T02','ST02-12','C9',1899,'Schulstrasse 7','8556','Raperswilen','ch','chf',2834,0,1839,2011,'N',null),</v>
      </c>
    </row>
    <row r="276" spans="1:22" x14ac:dyDescent="0.25">
      <c r="A276" s="18" t="s">
        <v>4</v>
      </c>
      <c r="B276" s="18" t="s">
        <v>20</v>
      </c>
      <c r="C276" s="6">
        <v>5318</v>
      </c>
      <c r="D276" s="18" t="s">
        <v>1026</v>
      </c>
      <c r="E276" s="18" t="s">
        <v>288</v>
      </c>
      <c r="F276" s="18" t="s">
        <v>543</v>
      </c>
      <c r="G276" s="18" t="s">
        <v>599</v>
      </c>
      <c r="H276" s="6">
        <v>1868</v>
      </c>
      <c r="I276" s="18" t="s">
        <v>1027</v>
      </c>
      <c r="J276" s="6">
        <v>5318</v>
      </c>
      <c r="K276" s="18" t="s">
        <v>1028</v>
      </c>
      <c r="L276" s="18"/>
      <c r="M276" s="18" t="s">
        <v>93</v>
      </c>
      <c r="N276" s="18" t="s">
        <v>28</v>
      </c>
      <c r="O276" s="6">
        <v>670</v>
      </c>
      <c r="P276" s="6">
        <v>0</v>
      </c>
      <c r="Q276" s="6">
        <v>502</v>
      </c>
      <c r="R276" s="6">
        <v>2008</v>
      </c>
      <c r="S276" s="19" t="s">
        <v>252</v>
      </c>
      <c r="T276" s="18"/>
      <c r="V276" s="6" t="str">
        <f t="shared" si="4"/>
        <v>('demo', 'martin@comunas.fm', '5318', 'EFH', 'T01','ST05-26','C6',1868,'Hauptstrasse 46','5318','Mandach','ch','chf',670,0,502,2008,'N',null),</v>
      </c>
    </row>
    <row r="277" spans="1:22" x14ac:dyDescent="0.25">
      <c r="A277" s="18" t="s">
        <v>4</v>
      </c>
      <c r="B277" s="18" t="s">
        <v>20</v>
      </c>
      <c r="C277" s="6">
        <v>5318</v>
      </c>
      <c r="D277" s="18" t="s">
        <v>589</v>
      </c>
      <c r="E277" s="18" t="s">
        <v>288</v>
      </c>
      <c r="F277" s="18" t="s">
        <v>289</v>
      </c>
      <c r="G277" s="18" t="s">
        <v>290</v>
      </c>
      <c r="H277" s="6">
        <v>1923</v>
      </c>
      <c r="I277" s="18" t="s">
        <v>1029</v>
      </c>
      <c r="J277" s="6">
        <v>5318</v>
      </c>
      <c r="K277" s="18" t="s">
        <v>1028</v>
      </c>
      <c r="L277" s="18"/>
      <c r="M277" s="18" t="s">
        <v>93</v>
      </c>
      <c r="N277" s="18" t="s">
        <v>28</v>
      </c>
      <c r="O277" s="6">
        <v>842</v>
      </c>
      <c r="P277" s="6">
        <v>0</v>
      </c>
      <c r="Q277" s="6">
        <v>646</v>
      </c>
      <c r="R277" s="6">
        <v>2008</v>
      </c>
      <c r="S277" s="19" t="s">
        <v>252</v>
      </c>
      <c r="T277" s="18" t="s">
        <v>1030</v>
      </c>
      <c r="V277" s="6" t="str">
        <f t="shared" si="4"/>
        <v>('demo', 'martin@comunas.fm', '5318', 'MFH', 'T01','ST02-11','C7',1923,'Hauptstrasse 108','5318','Mandach','ch','chf',842,0,646,2008,'N','*Schimmelbildung im Anschluss Decke-Aussenwand'),</v>
      </c>
    </row>
    <row r="278" spans="1:22" x14ac:dyDescent="0.25">
      <c r="A278" s="18" t="s">
        <v>4</v>
      </c>
      <c r="B278" s="18" t="s">
        <v>20</v>
      </c>
      <c r="C278" s="6">
        <v>5318</v>
      </c>
      <c r="D278" s="18" t="s">
        <v>1031</v>
      </c>
      <c r="E278" s="18" t="s">
        <v>933</v>
      </c>
      <c r="F278" s="18" t="s">
        <v>862</v>
      </c>
      <c r="G278" s="18" t="s">
        <v>797</v>
      </c>
      <c r="H278" s="6">
        <v>1911</v>
      </c>
      <c r="I278" s="18" t="s">
        <v>1032</v>
      </c>
      <c r="J278" s="6">
        <v>5318</v>
      </c>
      <c r="K278" s="18" t="s">
        <v>1028</v>
      </c>
      <c r="L278" s="18"/>
      <c r="M278" s="18" t="s">
        <v>93</v>
      </c>
      <c r="N278" s="18" t="s">
        <v>28</v>
      </c>
      <c r="O278" s="6">
        <v>1294</v>
      </c>
      <c r="P278" s="6">
        <v>0</v>
      </c>
      <c r="Q278" s="6">
        <v>209</v>
      </c>
      <c r="R278" s="6">
        <v>2013</v>
      </c>
      <c r="S278" s="19" t="s">
        <v>252</v>
      </c>
      <c r="T278" s="18" t="s">
        <v>1033</v>
      </c>
      <c r="V278" s="6" t="str">
        <f t="shared" si="4"/>
        <v>('demo', 'martin@comunas.fm', '5318', 'Scheune', 'T04','ST01-8','C14',1911,'Mitteldorf 45','5318','Mandach','ch','chf',1294,0,209,2013,'N','An-/Umbau ~1955\nWelleternit wahrscheinlich asbesthaltig'),</v>
      </c>
    </row>
    <row r="279" spans="1:22" x14ac:dyDescent="0.25">
      <c r="A279" s="18" t="s">
        <v>4</v>
      </c>
      <c r="B279" s="18" t="s">
        <v>20</v>
      </c>
      <c r="C279" s="6">
        <v>5318</v>
      </c>
      <c r="D279" s="18" t="s">
        <v>1034</v>
      </c>
      <c r="E279" s="18" t="s">
        <v>933</v>
      </c>
      <c r="F279" s="18" t="s">
        <v>1035</v>
      </c>
      <c r="G279" s="18" t="s">
        <v>277</v>
      </c>
      <c r="H279" s="6">
        <v>1953</v>
      </c>
      <c r="I279" s="18" t="s">
        <v>1036</v>
      </c>
      <c r="J279" s="6">
        <v>5318</v>
      </c>
      <c r="K279" s="18" t="s">
        <v>1028</v>
      </c>
      <c r="L279" s="18"/>
      <c r="M279" s="18" t="s">
        <v>93</v>
      </c>
      <c r="N279" s="18" t="s">
        <v>28</v>
      </c>
      <c r="O279" s="6">
        <v>668</v>
      </c>
      <c r="P279" s="6">
        <v>0</v>
      </c>
      <c r="Q279" s="6">
        <v>112</v>
      </c>
      <c r="R279" s="6">
        <v>2008</v>
      </c>
      <c r="S279" s="19" t="s">
        <v>252</v>
      </c>
      <c r="T279" s="18"/>
      <c r="V279" s="6" t="str">
        <f t="shared" si="4"/>
        <v>('demo', 'martin@comunas.fm', '5318', 'Schopf mit Garage', 'T04','ST03-21','C0',1953,'Mitteldorf 47','5318','Mandach','ch','chf',668,0,112,2008,'N',null),</v>
      </c>
    </row>
    <row r="280" spans="1:22" x14ac:dyDescent="0.25">
      <c r="A280" s="18" t="s">
        <v>4</v>
      </c>
      <c r="B280" s="18" t="s">
        <v>20</v>
      </c>
      <c r="C280" s="6">
        <v>4303</v>
      </c>
      <c r="D280" s="18" t="s">
        <v>706</v>
      </c>
      <c r="E280" s="18" t="s">
        <v>402</v>
      </c>
      <c r="F280" s="18" t="s">
        <v>631</v>
      </c>
      <c r="G280" s="18" t="s">
        <v>507</v>
      </c>
      <c r="H280" s="6">
        <v>1991</v>
      </c>
      <c r="I280" s="18" t="s">
        <v>1037</v>
      </c>
      <c r="J280" s="6">
        <v>4303</v>
      </c>
      <c r="K280" s="18" t="s">
        <v>851</v>
      </c>
      <c r="L280" s="18"/>
      <c r="M280" s="18" t="s">
        <v>93</v>
      </c>
      <c r="N280" s="18" t="s">
        <v>28</v>
      </c>
      <c r="O280" s="6">
        <v>4728</v>
      </c>
      <c r="P280" s="6">
        <v>0</v>
      </c>
      <c r="Q280" s="6">
        <v>2983</v>
      </c>
      <c r="R280" s="6">
        <v>2010</v>
      </c>
      <c r="S280" s="19" t="s">
        <v>252</v>
      </c>
      <c r="T280" s="18" t="s">
        <v>1038</v>
      </c>
      <c r="V280" s="6" t="str">
        <f t="shared" si="4"/>
        <v>('demo', 'martin@comunas.fm', '4303', 'Werkhof', 'T13','ST05-31','C37',1991,'Guggeregge 1','4303','Kaiseraugst','ch','chf',4728,0,2983,2010,'N','Nicht im GV-Wert (und somit auch nicht in Stratus) eingerechnete Bauteile:\n- Steuergeräte Wasserversorgung\n- Dieseltankanlage mit Zapfsäulen\n- Autolifte\n- Druckluftanlagen\n- Salzsilo\n- Altölentsorgungsstelle'),</v>
      </c>
    </row>
    <row r="281" spans="1:22" x14ac:dyDescent="0.25">
      <c r="A281" s="18" t="s">
        <v>4</v>
      </c>
      <c r="B281" s="18" t="s">
        <v>20</v>
      </c>
      <c r="C281" s="6">
        <v>4303</v>
      </c>
      <c r="D281" s="18" t="s">
        <v>1039</v>
      </c>
      <c r="E281" s="18" t="s">
        <v>304</v>
      </c>
      <c r="F281" s="18" t="s">
        <v>1040</v>
      </c>
      <c r="G281" s="18" t="s">
        <v>427</v>
      </c>
      <c r="H281" s="6">
        <v>2009</v>
      </c>
      <c r="I281" s="18" t="s">
        <v>1041</v>
      </c>
      <c r="J281" s="6">
        <v>4303</v>
      </c>
      <c r="K281" s="18" t="s">
        <v>851</v>
      </c>
      <c r="L281" s="18"/>
      <c r="M281" s="18" t="s">
        <v>93</v>
      </c>
      <c r="N281" s="18" t="s">
        <v>28</v>
      </c>
      <c r="O281" s="6">
        <v>1660</v>
      </c>
      <c r="P281" s="6">
        <v>0</v>
      </c>
      <c r="Q281" s="6">
        <v>1138</v>
      </c>
      <c r="R281" s="6">
        <v>2009</v>
      </c>
      <c r="S281" s="19" t="s">
        <v>252</v>
      </c>
      <c r="T281" s="18" t="s">
        <v>1042</v>
      </c>
      <c r="V281" s="6" t="str">
        <f t="shared" si="4"/>
        <v>('demo', 'martin@comunas.fm', '4303', 'Sportplatz im Liner', 'T12','ST02-13','C33',2009,'Im Liner, Römerweg','4303','Kaiseraugst','ch','chf',1660,0,1138,2009,'N','Wasserdruckerhöhungsanlage, Bewässerungsanlage, Druckluftanlage sind im Versicherungswert nicht enthalten'),</v>
      </c>
    </row>
    <row r="282" spans="1:22" x14ac:dyDescent="0.25">
      <c r="A282" s="18" t="s">
        <v>4</v>
      </c>
      <c r="B282" s="18" t="s">
        <v>20</v>
      </c>
      <c r="C282" s="6">
        <v>5425</v>
      </c>
      <c r="D282" s="18" t="s">
        <v>1043</v>
      </c>
      <c r="E282" s="18" t="s">
        <v>505</v>
      </c>
      <c r="F282" s="18" t="s">
        <v>506</v>
      </c>
      <c r="G282" s="18" t="s">
        <v>507</v>
      </c>
      <c r="H282" s="6">
        <v>1982</v>
      </c>
      <c r="I282" s="18" t="s">
        <v>1044</v>
      </c>
      <c r="J282" s="6">
        <v>5425</v>
      </c>
      <c r="K282" s="18" t="s">
        <v>1045</v>
      </c>
      <c r="L282" s="18"/>
      <c r="M282" s="18" t="s">
        <v>93</v>
      </c>
      <c r="N282" s="18" t="s">
        <v>28</v>
      </c>
      <c r="O282" s="6">
        <v>5948</v>
      </c>
      <c r="P282" s="6">
        <v>0</v>
      </c>
      <c r="Q282" s="6">
        <v>2428</v>
      </c>
      <c r="R282" s="6">
        <v>2006</v>
      </c>
      <c r="S282" s="19" t="s">
        <v>252</v>
      </c>
      <c r="T282" s="18"/>
      <c r="V282" s="6" t="str">
        <f t="shared" si="4"/>
        <v>('demo', 'martin@comunas.fm', '5425', 'Feuerwehrlokal, Bauamt, Zivilschutzgebäude', 'T14','ST07-37','C37',1982,'Widenstrasse','5425','Schneisingen','ch','chf',5948,0,2428,2006,'N',null),</v>
      </c>
    </row>
    <row r="283" spans="1:22" x14ac:dyDescent="0.25">
      <c r="A283" s="18" t="s">
        <v>4</v>
      </c>
      <c r="B283" s="18" t="s">
        <v>20</v>
      </c>
      <c r="C283" s="6">
        <v>8564</v>
      </c>
      <c r="D283" s="18" t="s">
        <v>1046</v>
      </c>
      <c r="E283" s="18" t="s">
        <v>275</v>
      </c>
      <c r="F283" s="18" t="s">
        <v>276</v>
      </c>
      <c r="G283" s="18" t="s">
        <v>294</v>
      </c>
      <c r="H283" s="6">
        <v>1970</v>
      </c>
      <c r="I283" s="18" t="s">
        <v>1047</v>
      </c>
      <c r="J283" s="6">
        <v>8564</v>
      </c>
      <c r="K283" s="18" t="s">
        <v>1048</v>
      </c>
      <c r="L283" s="18"/>
      <c r="M283" s="18" t="s">
        <v>93</v>
      </c>
      <c r="N283" s="18" t="s">
        <v>28</v>
      </c>
      <c r="O283" s="6">
        <v>4808</v>
      </c>
      <c r="P283" s="6">
        <v>0</v>
      </c>
      <c r="Q283" s="6">
        <v>2582</v>
      </c>
      <c r="R283" s="6">
        <v>2011</v>
      </c>
      <c r="S283" s="19" t="s">
        <v>252</v>
      </c>
      <c r="T283" s="18" t="s">
        <v>1049</v>
      </c>
      <c r="V283" s="6" t="str">
        <f t="shared" si="4"/>
        <v>('demo', 'martin@comunas.fm', '8564', 'Primarschule Sonterswil  Erweiterungsbau', 'T02','ST02-12','C9',1970,'Schulstrasse 1','8564','Sonterswil','ch','chf',4808,0,2582,2011,'N','-Gemäss Hauswart ist der Dachraum trocken und ohne bekannte Mängel'),</v>
      </c>
    </row>
    <row r="284" spans="1:22" x14ac:dyDescent="0.25">
      <c r="A284" s="18" t="s">
        <v>4</v>
      </c>
      <c r="B284" s="18" t="s">
        <v>20</v>
      </c>
      <c r="C284" s="6">
        <v>4303</v>
      </c>
      <c r="D284" s="18" t="s">
        <v>1012</v>
      </c>
      <c r="E284" s="18" t="s">
        <v>304</v>
      </c>
      <c r="F284" s="18" t="s">
        <v>1013</v>
      </c>
      <c r="G284" s="18" t="s">
        <v>277</v>
      </c>
      <c r="H284" s="6">
        <v>1936</v>
      </c>
      <c r="I284" s="18" t="s">
        <v>1050</v>
      </c>
      <c r="J284" s="6">
        <v>4303</v>
      </c>
      <c r="K284" s="18" t="s">
        <v>851</v>
      </c>
      <c r="L284" s="18"/>
      <c r="M284" s="18" t="s">
        <v>93</v>
      </c>
      <c r="N284" s="18" t="s">
        <v>28</v>
      </c>
      <c r="O284" s="6">
        <v>108</v>
      </c>
      <c r="P284" s="6">
        <v>0</v>
      </c>
      <c r="Q284" s="6">
        <v>40</v>
      </c>
      <c r="R284" s="6">
        <v>1996</v>
      </c>
      <c r="S284" s="19" t="s">
        <v>252</v>
      </c>
      <c r="T284" s="18" t="s">
        <v>1051</v>
      </c>
      <c r="V284" s="6" t="str">
        <f t="shared" si="4"/>
        <v>('demo', 'martin@comunas.fm', '4303', 'Waldhütte', 'T12','ST11-48','C0',1936,'Rifälderhübel','4303','Kaiseraugst','ch','chf',108,0,40,1996,'N','*nicht im Versicherungswert inbegriffen'),</v>
      </c>
    </row>
    <row r="285" spans="1:22" x14ac:dyDescent="0.25">
      <c r="A285" s="18" t="s">
        <v>4</v>
      </c>
      <c r="B285" s="18" t="s">
        <v>20</v>
      </c>
      <c r="C285" s="6">
        <v>4303</v>
      </c>
      <c r="D285" s="18" t="s">
        <v>1052</v>
      </c>
      <c r="E285" s="18" t="s">
        <v>366</v>
      </c>
      <c r="F285" s="18" t="s">
        <v>1053</v>
      </c>
      <c r="G285" s="18" t="s">
        <v>368</v>
      </c>
      <c r="H285" s="6">
        <v>2007</v>
      </c>
      <c r="I285" s="18" t="s">
        <v>957</v>
      </c>
      <c r="J285" s="6">
        <v>4303</v>
      </c>
      <c r="K285" s="18" t="s">
        <v>851</v>
      </c>
      <c r="L285" s="18"/>
      <c r="M285" s="18" t="s">
        <v>93</v>
      </c>
      <c r="N285" s="18" t="s">
        <v>28</v>
      </c>
      <c r="O285" s="6">
        <v>4600</v>
      </c>
      <c r="P285" s="6">
        <v>0</v>
      </c>
      <c r="Q285" s="6">
        <v>3542</v>
      </c>
      <c r="R285" s="6">
        <v>2008</v>
      </c>
      <c r="S285" s="19" t="s">
        <v>252</v>
      </c>
      <c r="T285" s="18" t="s">
        <v>1054</v>
      </c>
      <c r="V285" s="6" t="str">
        <f t="shared" si="4"/>
        <v>('demo', 'martin@comunas.fm', '4303', 'Jugend- und Kulturzentrum Violahof', 'T10','ST07-39','C29',2007,'Violahof','4303','Kaiseraugst','ch','chf',4600,0,3542,2008,'N','- Personenlift, 2007\n- Umbau Fenster OG (Holz)\n- Unterstand gehört dazu\n- Luftschutzraum gehört Pfadi'),</v>
      </c>
    </row>
    <row r="286" spans="1:22" x14ac:dyDescent="0.25">
      <c r="A286" s="18" t="s">
        <v>4</v>
      </c>
      <c r="B286" s="18" t="s">
        <v>20</v>
      </c>
      <c r="C286" s="6">
        <v>8335</v>
      </c>
      <c r="D286" s="18" t="s">
        <v>976</v>
      </c>
      <c r="E286" s="18" t="s">
        <v>505</v>
      </c>
      <c r="F286" s="18" t="s">
        <v>613</v>
      </c>
      <c r="G286" s="18" t="s">
        <v>659</v>
      </c>
      <c r="H286" s="6">
        <v>1989</v>
      </c>
      <c r="I286" s="18" t="s">
        <v>1055</v>
      </c>
      <c r="J286" s="6">
        <v>8335</v>
      </c>
      <c r="K286" s="18" t="s">
        <v>740</v>
      </c>
      <c r="L286" s="18"/>
      <c r="M286" s="18" t="s">
        <v>93</v>
      </c>
      <c r="N286" s="18" t="s">
        <v>28</v>
      </c>
      <c r="O286" s="6">
        <v>436</v>
      </c>
      <c r="P286" s="6">
        <v>0</v>
      </c>
      <c r="Q286" s="6">
        <v>389</v>
      </c>
      <c r="R286" s="6">
        <v>2015</v>
      </c>
      <c r="S286" s="19" t="s">
        <v>252</v>
      </c>
      <c r="T286" s="18"/>
      <c r="V286" s="6" t="str">
        <f t="shared" si="4"/>
        <v>('demo', 'martin@comunas.fm', '8335', 'Schutzraum', 'T14','ST03-19','C38',1989,'Loweidstrasse','8335','Hittnau','ch','chf',436,0,389,2015,'N',null),</v>
      </c>
    </row>
    <row r="287" spans="1:22" x14ac:dyDescent="0.25">
      <c r="A287" s="18" t="s">
        <v>4</v>
      </c>
      <c r="B287" s="18" t="s">
        <v>20</v>
      </c>
      <c r="C287" s="6">
        <v>8335</v>
      </c>
      <c r="D287" s="18" t="s">
        <v>1056</v>
      </c>
      <c r="E287" s="18" t="s">
        <v>505</v>
      </c>
      <c r="F287" s="18" t="s">
        <v>506</v>
      </c>
      <c r="G287" s="18" t="s">
        <v>507</v>
      </c>
      <c r="H287" s="6">
        <v>1936</v>
      </c>
      <c r="I287" s="18" t="s">
        <v>1057</v>
      </c>
      <c r="J287" s="6">
        <v>8335</v>
      </c>
      <c r="K287" s="18" t="s">
        <v>740</v>
      </c>
      <c r="L287" s="18"/>
      <c r="M287" s="18" t="s">
        <v>93</v>
      </c>
      <c r="N287" s="18" t="s">
        <v>28</v>
      </c>
      <c r="O287" s="6">
        <v>102</v>
      </c>
      <c r="P287" s="6">
        <v>0</v>
      </c>
      <c r="Q287" s="6">
        <v>71</v>
      </c>
      <c r="R287" s="6">
        <v>2004</v>
      </c>
      <c r="S287" s="19" t="s">
        <v>252</v>
      </c>
      <c r="T287" s="18"/>
      <c r="V287" s="6" t="str">
        <f t="shared" si="4"/>
        <v>('demo', 'martin@comunas.fm', '8335', 'Feuerwehrgebäude', 'T14','ST07-37','C37',1936,'Dürstelen','8335','Hittnau','ch','chf',102,0,71,2004,'N',null),</v>
      </c>
    </row>
    <row r="288" spans="1:22" x14ac:dyDescent="0.25">
      <c r="A288" s="18" t="s">
        <v>4</v>
      </c>
      <c r="B288" s="18" t="s">
        <v>20</v>
      </c>
      <c r="C288" s="6">
        <v>8335</v>
      </c>
      <c r="D288" s="18" t="s">
        <v>930</v>
      </c>
      <c r="E288" s="18" t="s">
        <v>288</v>
      </c>
      <c r="F288" s="18" t="s">
        <v>289</v>
      </c>
      <c r="G288" s="18" t="s">
        <v>290</v>
      </c>
      <c r="H288" s="6">
        <v>1918</v>
      </c>
      <c r="I288" s="18" t="s">
        <v>1058</v>
      </c>
      <c r="J288" s="6">
        <v>8335</v>
      </c>
      <c r="K288" s="18" t="s">
        <v>1059</v>
      </c>
      <c r="L288" s="18"/>
      <c r="M288" s="18" t="s">
        <v>93</v>
      </c>
      <c r="N288" s="18" t="s">
        <v>28</v>
      </c>
      <c r="O288" s="6">
        <v>1122</v>
      </c>
      <c r="P288" s="6">
        <v>0</v>
      </c>
      <c r="Q288" s="6">
        <v>905</v>
      </c>
      <c r="R288" s="6">
        <v>2015</v>
      </c>
      <c r="S288" s="19" t="s">
        <v>252</v>
      </c>
      <c r="T288" s="18"/>
      <c r="V288" s="6" t="str">
        <f t="shared" si="4"/>
        <v>('demo', 'martin@comunas.fm', '8335', 'Wohnhaus', 'T01','ST02-11','C7',1918,'Dürstelenstrasse 73','8335','HIttnau','ch','chf',1122,0,905,2015,'N',null),</v>
      </c>
    </row>
    <row r="289" spans="1:22" x14ac:dyDescent="0.25">
      <c r="A289" s="18" t="s">
        <v>4</v>
      </c>
      <c r="B289" s="18" t="s">
        <v>20</v>
      </c>
      <c r="C289" s="6">
        <v>8335</v>
      </c>
      <c r="D289" s="18" t="s">
        <v>930</v>
      </c>
      <c r="E289" s="18" t="s">
        <v>288</v>
      </c>
      <c r="F289" s="18" t="s">
        <v>289</v>
      </c>
      <c r="G289" s="18" t="s">
        <v>290</v>
      </c>
      <c r="H289" s="6">
        <v>0</v>
      </c>
      <c r="I289" s="18" t="s">
        <v>1060</v>
      </c>
      <c r="J289" s="6">
        <v>8335</v>
      </c>
      <c r="K289" s="18" t="s">
        <v>740</v>
      </c>
      <c r="L289" s="18"/>
      <c r="M289" s="18" t="s">
        <v>93</v>
      </c>
      <c r="N289" s="18" t="s">
        <v>28</v>
      </c>
      <c r="O289" s="6">
        <v>1156</v>
      </c>
      <c r="P289" s="6">
        <v>0</v>
      </c>
      <c r="Q289" s="6">
        <v>900</v>
      </c>
      <c r="R289" s="6">
        <v>2019</v>
      </c>
      <c r="S289" s="19" t="s">
        <v>252</v>
      </c>
      <c r="T289" s="18" t="s">
        <v>1061</v>
      </c>
      <c r="V289" s="6" t="str">
        <f t="shared" si="4"/>
        <v>('demo', 'martin@comunas.fm', '8335', 'Wohnhaus', 'T01','ST02-11','C7',0,'Oberdorfstrasse 95','8335','Hittnau','ch','chf',1156,0,900,2019,'N','Im Heizraum : Feuchtigkeit von der Aussenwand'),</v>
      </c>
    </row>
    <row r="290" spans="1:22" x14ac:dyDescent="0.25">
      <c r="A290" s="18" t="s">
        <v>4</v>
      </c>
      <c r="B290" s="18" t="s">
        <v>20</v>
      </c>
      <c r="C290" s="6">
        <v>8556</v>
      </c>
      <c r="D290" s="18" t="s">
        <v>1062</v>
      </c>
      <c r="E290" s="18" t="s">
        <v>304</v>
      </c>
      <c r="F290" s="18" t="s">
        <v>305</v>
      </c>
      <c r="G290" s="18" t="s">
        <v>294</v>
      </c>
      <c r="H290" s="6">
        <v>1996</v>
      </c>
      <c r="I290" s="18" t="s">
        <v>1022</v>
      </c>
      <c r="J290" s="6">
        <v>8556</v>
      </c>
      <c r="K290" s="18" t="s">
        <v>525</v>
      </c>
      <c r="L290" s="18"/>
      <c r="M290" s="18" t="s">
        <v>93</v>
      </c>
      <c r="N290" s="18" t="s">
        <v>28</v>
      </c>
      <c r="O290" s="6">
        <v>4933</v>
      </c>
      <c r="P290" s="6">
        <v>0</v>
      </c>
      <c r="Q290" s="6">
        <v>1874</v>
      </c>
      <c r="R290" s="6">
        <v>2014</v>
      </c>
      <c r="S290" s="19" t="s">
        <v>252</v>
      </c>
      <c r="T290" s="18" t="s">
        <v>1063</v>
      </c>
      <c r="V290" s="6" t="str">
        <f t="shared" si="4"/>
        <v>('demo', 'martin@comunas.fm', '8556', 'Turnhallengebäude Sekundarschule', 'T12','ST01-9','C9',1996,'Kirchstrasse 12a','8556','Wigoltingen','ch','chf',4933,0,1874,2014,'N','-zwei Abläufe (ein Ablauf musste ersetzt werden beim Flachdach Bereich)'),</v>
      </c>
    </row>
    <row r="291" spans="1:22" x14ac:dyDescent="0.25">
      <c r="A291" s="18" t="s">
        <v>4</v>
      </c>
      <c r="B291" s="18" t="s">
        <v>20</v>
      </c>
      <c r="C291" s="6">
        <v>4303</v>
      </c>
      <c r="D291" s="18" t="s">
        <v>1064</v>
      </c>
      <c r="E291" s="18" t="s">
        <v>288</v>
      </c>
      <c r="F291" s="18" t="s">
        <v>972</v>
      </c>
      <c r="G291" s="18" t="s">
        <v>290</v>
      </c>
      <c r="H291" s="6">
        <v>0</v>
      </c>
      <c r="I291" s="18" t="s">
        <v>937</v>
      </c>
      <c r="J291" s="6">
        <v>4303</v>
      </c>
      <c r="K291" s="18" t="s">
        <v>851</v>
      </c>
      <c r="L291" s="18"/>
      <c r="M291" s="18" t="s">
        <v>93</v>
      </c>
      <c r="N291" s="18" t="s">
        <v>28</v>
      </c>
      <c r="O291" s="6">
        <v>3172</v>
      </c>
      <c r="P291" s="6">
        <v>0</v>
      </c>
      <c r="Q291" s="6">
        <v>2171</v>
      </c>
      <c r="R291" s="6">
        <v>1993</v>
      </c>
      <c r="S291" s="19" t="s">
        <v>252</v>
      </c>
      <c r="T291" s="18" t="s">
        <v>1065</v>
      </c>
      <c r="V291" s="6" t="str">
        <f t="shared" si="4"/>
        <v>('demo', 'martin@comunas.fm', '4303', 'Alterswohnungen 6 Stk. inkl. Bürgerkeller', 'T01','ST06-33','C7',0,'Kirchgasse 19','4303','Kaiseraugst','ch','chf',3172,0,2171,1993,'N','Der Bürgerkeller ist sehr feucht, Akustikdecke und Klimagerät vorhanden. Boden aus Keramik mit Bodenheizung und Küche (gewerbliche Küche mit Geschirrspüler)'),</v>
      </c>
    </row>
    <row r="292" spans="1:22" x14ac:dyDescent="0.25">
      <c r="A292" s="18" t="s">
        <v>4</v>
      </c>
      <c r="B292" s="18" t="s">
        <v>20</v>
      </c>
      <c r="C292" s="6">
        <v>4303</v>
      </c>
      <c r="D292" s="18" t="s">
        <v>1066</v>
      </c>
      <c r="E292" s="18" t="s">
        <v>894</v>
      </c>
      <c r="F292" s="18" t="s">
        <v>895</v>
      </c>
      <c r="G292" s="18" t="s">
        <v>421</v>
      </c>
      <c r="H292" s="6">
        <v>1968</v>
      </c>
      <c r="I292" s="18" t="s">
        <v>1067</v>
      </c>
      <c r="J292" s="6">
        <v>4303</v>
      </c>
      <c r="K292" s="18" t="s">
        <v>851</v>
      </c>
      <c r="L292" s="18"/>
      <c r="M292" s="18" t="s">
        <v>93</v>
      </c>
      <c r="N292" s="18" t="s">
        <v>28</v>
      </c>
      <c r="O292" s="6">
        <v>90</v>
      </c>
      <c r="P292" s="6">
        <v>0</v>
      </c>
      <c r="Q292" s="6">
        <v>33</v>
      </c>
      <c r="R292" s="6">
        <v>2006</v>
      </c>
      <c r="S292" s="19" t="s">
        <v>252</v>
      </c>
      <c r="T292" s="18"/>
      <c r="V292" s="6" t="str">
        <f t="shared" si="4"/>
        <v>('demo', 'martin@comunas.fm', '4303', 'Materialraum', 'T11','ST09-44','C16',1968,'Strandbad','4303','Kaiseraugst','ch','chf',90,0,33,2006,'N',null),</v>
      </c>
    </row>
    <row r="293" spans="1:22" x14ac:dyDescent="0.25">
      <c r="A293" s="18" t="s">
        <v>4</v>
      </c>
      <c r="B293" s="18" t="s">
        <v>20</v>
      </c>
      <c r="C293" s="6">
        <v>8556</v>
      </c>
      <c r="D293" s="18" t="s">
        <v>1068</v>
      </c>
      <c r="E293" s="18" t="s">
        <v>288</v>
      </c>
      <c r="F293" s="18" t="s">
        <v>289</v>
      </c>
      <c r="G293" s="18" t="s">
        <v>290</v>
      </c>
      <c r="H293" s="6">
        <v>0</v>
      </c>
      <c r="I293" s="18" t="s">
        <v>1069</v>
      </c>
      <c r="J293" s="6">
        <v>8556</v>
      </c>
      <c r="K293" s="18" t="s">
        <v>525</v>
      </c>
      <c r="L293" s="18"/>
      <c r="M293" s="18" t="s">
        <v>93</v>
      </c>
      <c r="N293" s="18" t="s">
        <v>28</v>
      </c>
      <c r="O293" s="6">
        <v>697</v>
      </c>
      <c r="P293" s="6">
        <v>0</v>
      </c>
      <c r="Q293" s="6">
        <v>473</v>
      </c>
      <c r="R293" s="6">
        <v>2014</v>
      </c>
      <c r="S293" s="19" t="s">
        <v>252</v>
      </c>
      <c r="T293" s="18" t="s">
        <v>1070</v>
      </c>
      <c r="V293" s="6" t="str">
        <f t="shared" si="4"/>
        <v>('demo', 'martin@comunas.fm', '8556', 'Wohnhaus &amp; Garage', 'T01','ST02-11','C7',0,'Kirchstrasse 10','8556','Wigoltingen','ch','chf',697,0,473,2014,'N','- Garage konnte nicht besichtigt werden'),</v>
      </c>
    </row>
    <row r="294" spans="1:22" x14ac:dyDescent="0.25">
      <c r="A294" s="18" t="s">
        <v>4</v>
      </c>
      <c r="B294" s="18" t="s">
        <v>20</v>
      </c>
      <c r="C294" s="6">
        <v>8556</v>
      </c>
      <c r="D294" s="18" t="s">
        <v>1071</v>
      </c>
      <c r="E294" s="18" t="s">
        <v>275</v>
      </c>
      <c r="F294" s="18" t="s">
        <v>276</v>
      </c>
      <c r="G294" s="18" t="s">
        <v>294</v>
      </c>
      <c r="H294" s="6">
        <v>1870</v>
      </c>
      <c r="I294" s="18" t="s">
        <v>1072</v>
      </c>
      <c r="J294" s="6">
        <v>8556</v>
      </c>
      <c r="K294" s="18" t="s">
        <v>525</v>
      </c>
      <c r="L294" s="18"/>
      <c r="M294" s="18" t="s">
        <v>93</v>
      </c>
      <c r="N294" s="18" t="s">
        <v>28</v>
      </c>
      <c r="O294" s="6">
        <v>2737</v>
      </c>
      <c r="P294" s="6">
        <v>0</v>
      </c>
      <c r="Q294" s="6">
        <v>2289</v>
      </c>
      <c r="R294" s="6">
        <v>2014</v>
      </c>
      <c r="S294" s="19" t="s">
        <v>252</v>
      </c>
      <c r="T294" s="18" t="s">
        <v>1073</v>
      </c>
      <c r="V294" s="6" t="str">
        <f t="shared" si="4"/>
        <v>('demo', 'martin@comunas.fm', '8556', 'Primarschule Wigoltingen, Altbau', 'T02','ST02-12','C9',1870,'Käsereistrasse 12','8556','Wigoltingen','ch','chf',2737,0,2289,2014,'N','- Radon verdacht im Keller, Messungen wurden von Studenten gemacht (Messungen nicht erfahren)\n- Feuchtigkeit von Unten nach Oben'),</v>
      </c>
    </row>
    <row r="295" spans="1:22" x14ac:dyDescent="0.25">
      <c r="A295" s="18" t="s">
        <v>4</v>
      </c>
      <c r="B295" s="18" t="s">
        <v>20</v>
      </c>
      <c r="C295" s="6">
        <v>8556</v>
      </c>
      <c r="D295" s="18" t="s">
        <v>1074</v>
      </c>
      <c r="E295" s="18" t="s">
        <v>275</v>
      </c>
      <c r="F295" s="18" t="s">
        <v>284</v>
      </c>
      <c r="G295" s="18" t="s">
        <v>294</v>
      </c>
      <c r="H295" s="6">
        <v>1938</v>
      </c>
      <c r="I295" s="18" t="s">
        <v>1075</v>
      </c>
      <c r="J295" s="6">
        <v>8556</v>
      </c>
      <c r="K295" s="18" t="s">
        <v>525</v>
      </c>
      <c r="L295" s="18"/>
      <c r="M295" s="18" t="s">
        <v>93</v>
      </c>
      <c r="N295" s="18" t="s">
        <v>28</v>
      </c>
      <c r="O295" s="6">
        <v>1500</v>
      </c>
      <c r="P295" s="6">
        <v>0</v>
      </c>
      <c r="Q295" s="6">
        <v>1411</v>
      </c>
      <c r="R295" s="6">
        <v>2014</v>
      </c>
      <c r="S295" s="19" t="s">
        <v>252</v>
      </c>
      <c r="T295" s="18" t="s">
        <v>1076</v>
      </c>
      <c r="V295" s="6" t="str">
        <f t="shared" si="4"/>
        <v>('demo', 'martin@comunas.fm', '8556', 'Kindergarten Haldengüetli, m Gge', 'T02','ST01-4','C9',1938,'Bernrainstrasse 26','8556','Wigoltingen','ch','chf',1500,0,1411,2014,'N','-Feuchtigkeitsproblem bei dem Raum unter der Treppe\n-Fluchtweg nicht gewehrleistet\n-Keine Lüftung'),</v>
      </c>
    </row>
    <row r="296" spans="1:22" x14ac:dyDescent="0.25">
      <c r="A296" s="18" t="s">
        <v>4</v>
      </c>
      <c r="B296" s="18" t="s">
        <v>20</v>
      </c>
      <c r="C296" s="6">
        <v>8564</v>
      </c>
      <c r="D296" s="18" t="s">
        <v>1077</v>
      </c>
      <c r="E296" s="18" t="s">
        <v>304</v>
      </c>
      <c r="F296" s="18" t="s">
        <v>305</v>
      </c>
      <c r="G296" s="18" t="s">
        <v>294</v>
      </c>
      <c r="H296" s="6">
        <v>1970</v>
      </c>
      <c r="I296" s="18" t="s">
        <v>1078</v>
      </c>
      <c r="J296" s="6">
        <v>8564</v>
      </c>
      <c r="K296" s="18" t="s">
        <v>1048</v>
      </c>
      <c r="L296" s="18"/>
      <c r="M296" s="18" t="s">
        <v>93</v>
      </c>
      <c r="N296" s="18" t="s">
        <v>28</v>
      </c>
      <c r="O296" s="6">
        <v>3008</v>
      </c>
      <c r="P296" s="6">
        <v>0</v>
      </c>
      <c r="Q296" s="6">
        <v>1430</v>
      </c>
      <c r="R296" s="6">
        <v>2011</v>
      </c>
      <c r="S296" s="19" t="s">
        <v>252</v>
      </c>
      <c r="T296" s="18"/>
      <c r="V296" s="6" t="str">
        <f t="shared" si="4"/>
        <v>('demo', 'martin@comunas.fm', '8564', 'Mehrzweckhalle &amp; Turnhalle Sonterswil', 'T12','ST01-9','C9',1970,'Schulstrasse','8564','Sonterswil','ch','chf',3008,0,1430,2011,'N',null),</v>
      </c>
    </row>
    <row r="297" spans="1:22" x14ac:dyDescent="0.25">
      <c r="A297" s="18" t="s">
        <v>4</v>
      </c>
      <c r="B297" s="18" t="s">
        <v>20</v>
      </c>
      <c r="C297" s="6">
        <v>8564</v>
      </c>
      <c r="D297" s="18" t="s">
        <v>321</v>
      </c>
      <c r="E297" s="18" t="s">
        <v>304</v>
      </c>
      <c r="F297" s="18" t="s">
        <v>305</v>
      </c>
      <c r="G297" s="18" t="s">
        <v>294</v>
      </c>
      <c r="H297" s="6">
        <v>0</v>
      </c>
      <c r="I297" s="18" t="s">
        <v>1047</v>
      </c>
      <c r="J297" s="6">
        <v>8564</v>
      </c>
      <c r="K297" s="18" t="s">
        <v>1048</v>
      </c>
      <c r="L297" s="18"/>
      <c r="M297" s="18" t="s">
        <v>93</v>
      </c>
      <c r="N297" s="18" t="s">
        <v>28</v>
      </c>
      <c r="O297" s="6">
        <v>4267</v>
      </c>
      <c r="P297" s="6">
        <v>0</v>
      </c>
      <c r="Q297" s="6">
        <v>1746</v>
      </c>
      <c r="R297" s="6">
        <v>2011</v>
      </c>
      <c r="S297" s="19" t="s">
        <v>252</v>
      </c>
      <c r="T297" s="18" t="s">
        <v>1079</v>
      </c>
      <c r="V297" s="6" t="str">
        <f t="shared" si="4"/>
        <v>('demo', 'martin@comunas.fm', '8564', 'Turnhalle', 'T12','ST01-9','C9',0,'Schulstrasse 1','8564','Sonterswil','ch','chf',4267,0,1746,2011,'N','Wassereintritt'),</v>
      </c>
    </row>
    <row r="298" spans="1:22" x14ac:dyDescent="0.25">
      <c r="A298" s="18" t="s">
        <v>4</v>
      </c>
      <c r="B298" s="18" t="s">
        <v>20</v>
      </c>
      <c r="C298" s="6">
        <v>8564</v>
      </c>
      <c r="D298" s="18" t="s">
        <v>1068</v>
      </c>
      <c r="E298" s="18" t="s">
        <v>288</v>
      </c>
      <c r="F298" s="18" t="s">
        <v>289</v>
      </c>
      <c r="G298" s="18" t="s">
        <v>290</v>
      </c>
      <c r="H298" s="6">
        <v>1970</v>
      </c>
      <c r="I298" s="18" t="s">
        <v>1047</v>
      </c>
      <c r="J298" s="6">
        <v>8564</v>
      </c>
      <c r="K298" s="18" t="s">
        <v>1048</v>
      </c>
      <c r="L298" s="18"/>
      <c r="M298" s="18" t="s">
        <v>93</v>
      </c>
      <c r="N298" s="18" t="s">
        <v>28</v>
      </c>
      <c r="O298" s="6">
        <v>1307</v>
      </c>
      <c r="P298" s="6">
        <v>0</v>
      </c>
      <c r="Q298" s="6">
        <v>773</v>
      </c>
      <c r="R298" s="6">
        <v>2011</v>
      </c>
      <c r="S298" s="19" t="s">
        <v>252</v>
      </c>
      <c r="T298" s="18" t="s">
        <v>1080</v>
      </c>
      <c r="V298" s="6" t="str">
        <f t="shared" si="4"/>
        <v>('demo', 'martin@comunas.fm', '8564', 'Wohnhaus &amp; Garage', 'T01','ST02-11','C7',1970,'Schulstrasse 1','8564','Sonterswil','ch','chf',1307,0,773,2011,'N','Eine Wohnung wurde neu renoviert'),</v>
      </c>
    </row>
    <row r="299" spans="1:22" x14ac:dyDescent="0.25">
      <c r="A299" s="18" t="s">
        <v>4</v>
      </c>
      <c r="B299" s="18" t="s">
        <v>20</v>
      </c>
      <c r="C299" s="6">
        <v>8558</v>
      </c>
      <c r="D299" s="18" t="s">
        <v>1081</v>
      </c>
      <c r="E299" s="18" t="s">
        <v>275</v>
      </c>
      <c r="F299" s="18" t="s">
        <v>276</v>
      </c>
      <c r="G299" s="18" t="s">
        <v>867</v>
      </c>
      <c r="H299" s="6">
        <v>1965</v>
      </c>
      <c r="I299" s="18" t="s">
        <v>360</v>
      </c>
      <c r="J299" s="6">
        <v>8558</v>
      </c>
      <c r="K299" s="18" t="s">
        <v>1025</v>
      </c>
      <c r="L299" s="18"/>
      <c r="M299" s="18" t="s">
        <v>93</v>
      </c>
      <c r="N299" s="18" t="s">
        <v>28</v>
      </c>
      <c r="O299" s="6">
        <v>3405</v>
      </c>
      <c r="P299" s="6">
        <v>0</v>
      </c>
      <c r="Q299" s="6">
        <v>2087</v>
      </c>
      <c r="R299" s="6">
        <v>2011</v>
      </c>
      <c r="S299" s="19" t="s">
        <v>252</v>
      </c>
      <c r="T299" s="18" t="s">
        <v>1082</v>
      </c>
      <c r="V299" s="6" t="str">
        <f t="shared" si="4"/>
        <v>('demo', 'martin@comunas.fm', '8558', 'Mittelstufe Raperswilen Neubau', 'T02','ST02-12','C10',1965,'Schulstrasse 7','8558','Raperswilen','ch','chf',3405,0,2087,2011,'N','-WC, Garderobe und Hauswartraum wurde im 2013 renoviert'),</v>
      </c>
    </row>
    <row r="300" spans="1:22" x14ac:dyDescent="0.25">
      <c r="A300" s="18" t="s">
        <v>4</v>
      </c>
      <c r="B300" s="18" t="s">
        <v>20</v>
      </c>
      <c r="C300" s="6">
        <v>8558</v>
      </c>
      <c r="D300" s="18" t="s">
        <v>1083</v>
      </c>
      <c r="E300" s="18" t="s">
        <v>288</v>
      </c>
      <c r="F300" s="18" t="s">
        <v>289</v>
      </c>
      <c r="G300" s="18" t="s">
        <v>290</v>
      </c>
      <c r="H300" s="6">
        <v>1965</v>
      </c>
      <c r="I300" s="18" t="s">
        <v>360</v>
      </c>
      <c r="J300" s="6">
        <v>8558</v>
      </c>
      <c r="K300" s="18" t="s">
        <v>1025</v>
      </c>
      <c r="L300" s="18"/>
      <c r="M300" s="18" t="s">
        <v>93</v>
      </c>
      <c r="N300" s="18" t="s">
        <v>28</v>
      </c>
      <c r="O300" s="6">
        <v>1301</v>
      </c>
      <c r="P300" s="6">
        <v>0</v>
      </c>
      <c r="Q300" s="6">
        <v>886</v>
      </c>
      <c r="R300" s="6">
        <v>2011</v>
      </c>
      <c r="S300" s="19" t="s">
        <v>252</v>
      </c>
      <c r="T300" s="18"/>
      <c r="V300" s="6" t="str">
        <f t="shared" si="4"/>
        <v>('demo', 'martin@comunas.fm', '8558', 'Wohnhaus- Garage', 'T01','ST02-11','C7',1965,'Schulstrasse 7','8558','Raperswilen','ch','chf',1301,0,886,2011,'N',null),</v>
      </c>
    </row>
    <row r="301" spans="1:22" x14ac:dyDescent="0.25">
      <c r="A301" s="18" t="s">
        <v>4</v>
      </c>
      <c r="B301" s="18" t="s">
        <v>20</v>
      </c>
      <c r="C301" s="6">
        <v>5425</v>
      </c>
      <c r="D301" s="18" t="s">
        <v>1084</v>
      </c>
      <c r="E301" s="18" t="s">
        <v>275</v>
      </c>
      <c r="F301" s="18" t="s">
        <v>276</v>
      </c>
      <c r="G301" s="18" t="s">
        <v>294</v>
      </c>
      <c r="H301" s="6">
        <v>1971</v>
      </c>
      <c r="I301" s="18" t="s">
        <v>1085</v>
      </c>
      <c r="J301" s="6">
        <v>5425</v>
      </c>
      <c r="K301" s="18" t="s">
        <v>1045</v>
      </c>
      <c r="L301" s="18"/>
      <c r="M301" s="18" t="s">
        <v>93</v>
      </c>
      <c r="N301" s="18" t="s">
        <v>28</v>
      </c>
      <c r="O301" s="6">
        <v>8521</v>
      </c>
      <c r="P301" s="6">
        <v>0</v>
      </c>
      <c r="Q301" s="6">
        <v>5401</v>
      </c>
      <c r="R301" s="6">
        <v>2015</v>
      </c>
      <c r="S301" s="19" t="s">
        <v>252</v>
      </c>
      <c r="T301" s="18" t="s">
        <v>1086</v>
      </c>
      <c r="V301" s="6" t="str">
        <f t="shared" si="4"/>
        <v>('demo', 'martin@comunas.fm', '5425', 'Schulhaus, Zwischenbau, Pausenhalle', 'T02','ST02-12','C9',1971,'Aemmert, Schladstrasse 21','5425','Schneisingen','ch','chf',8521,0,5401,2015,'N','Turnhalle (gem. Geb.-Vers.: Mehrzweckhalle) mit Mehrzweckraum (Aemmertsaal)\nZivilschutzanlage mit Küche, Porphyrplatten\n\n*siehe Foto Dachraum\n\nAnbau: 2000, 2014(?), 2017\n\nPV-Anlage gehört nicht der Gemeinde.\nUmgebung und zusätzlich versicherte Bauteile und Elemente gem. Versicherungsausweis sind nicht in Stratus enthalten.\n\nHauswart: Alois Meier'),</v>
      </c>
    </row>
    <row r="302" spans="1:22" x14ac:dyDescent="0.25">
      <c r="A302" s="18" t="s">
        <v>4</v>
      </c>
      <c r="B302" s="18" t="s">
        <v>20</v>
      </c>
      <c r="C302" s="6">
        <v>5425</v>
      </c>
      <c r="D302" s="18" t="s">
        <v>753</v>
      </c>
      <c r="E302" s="18" t="s">
        <v>304</v>
      </c>
      <c r="F302" s="18" t="s">
        <v>305</v>
      </c>
      <c r="G302" s="18" t="s">
        <v>294</v>
      </c>
      <c r="H302" s="6">
        <v>1971</v>
      </c>
      <c r="I302" s="18" t="s">
        <v>1085</v>
      </c>
      <c r="J302" s="6">
        <v>5425</v>
      </c>
      <c r="K302" s="18" t="s">
        <v>1045</v>
      </c>
      <c r="L302" s="18"/>
      <c r="M302" s="18" t="s">
        <v>93</v>
      </c>
      <c r="N302" s="18" t="s">
        <v>28</v>
      </c>
      <c r="O302" s="6">
        <v>6029</v>
      </c>
      <c r="P302" s="6">
        <v>0</v>
      </c>
      <c r="Q302" s="6">
        <v>2915</v>
      </c>
      <c r="R302" s="6">
        <v>2001</v>
      </c>
      <c r="S302" s="19" t="s">
        <v>252</v>
      </c>
      <c r="T302" s="18" t="s">
        <v>1087</v>
      </c>
      <c r="V302" s="6" t="str">
        <f t="shared" si="4"/>
        <v>('demo', 'martin@comunas.fm', '5425', 'Mehrzweckhalle', 'T12','ST01-9','C9',1971,'Aemmert, Schladstrasse 21','5425','Schneisingen','ch','chf',6029,0,2915,2001,'N','Keine Lüftung in Duschen/Garderoben: Schimmelpilzbildung an Decke über Fenster (Oblichter)\n\n*PV-Anlage nicht im GV-Wert enthalten (Eigentümerin: IG Solar Schneisingen)'),</v>
      </c>
    </row>
    <row r="303" spans="1:22" x14ac:dyDescent="0.25">
      <c r="A303" s="18" t="s">
        <v>6</v>
      </c>
      <c r="B303" s="23" t="s">
        <v>4088</v>
      </c>
      <c r="C303" s="6">
        <v>5620</v>
      </c>
      <c r="D303" s="18" t="s">
        <v>501</v>
      </c>
      <c r="E303" s="18" t="s">
        <v>304</v>
      </c>
      <c r="F303" s="18" t="s">
        <v>305</v>
      </c>
      <c r="G303" s="18" t="s">
        <v>294</v>
      </c>
      <c r="H303" s="6">
        <v>1938</v>
      </c>
      <c r="I303" s="18" t="s">
        <v>4091</v>
      </c>
      <c r="J303" s="6">
        <v>5620</v>
      </c>
      <c r="K303" s="18" t="s">
        <v>316</v>
      </c>
      <c r="L303" s="18"/>
      <c r="M303" s="18" t="s">
        <v>93</v>
      </c>
      <c r="N303" s="18" t="s">
        <v>28</v>
      </c>
      <c r="O303" s="6">
        <v>4816</v>
      </c>
      <c r="P303" s="6">
        <v>0</v>
      </c>
      <c r="Q303" s="6">
        <v>2302</v>
      </c>
      <c r="R303" s="6">
        <v>2000</v>
      </c>
      <c r="S303" s="19" t="s">
        <v>252</v>
      </c>
      <c r="T303" s="18" t="s">
        <v>4092</v>
      </c>
      <c r="V303" s="6" t="str">
        <f t="shared" ref="V303" si="5">"('"&amp;A303&amp;"', '"&amp;B303&amp;"', '"&amp;C303&amp;"', '"&amp;D303&amp;"', "&amp;IF(ISBLANK(E303),"null","'"&amp;E303&amp;"'")&amp;","&amp;IF(ISBLANK(F303),"null","'"&amp;F303&amp;"'")&amp;","&amp;IF(ISBLANK(G303),"null","'"&amp;G303&amp;"'")&amp;","&amp;IF(ISBLANK(H303),"null",H303)&amp;","&amp;IF(ISBLANK(I303),"null","'"&amp;I303&amp;"'")&amp;","&amp;IF(ISBLANK(J303),"null","'"&amp;J303&amp;"'")&amp;","&amp;IF(ISBLANK(K303),"null","'"&amp;K303&amp;"'")&amp;","&amp;IF(ISBLANK(M303),"null","'"&amp;M303&amp;"'")&amp;","&amp;IF(ISBLANK(N303),"null","'"&amp;N303&amp;"'")&amp;","&amp;IF(ISBLANK(O303),"null",O303)&amp;","&amp;IF(ISBLANK(P303),"null",P303)&amp;","&amp;IF(ISBLANK(Q303),"null",Q303)&amp;","&amp;IF(ISBLANK(R303),"null",R303)&amp;","&amp;IF(ISBLANK(S303),"null","'"&amp;S303&amp;"'")&amp;","&amp;IF(ISBLANK(T303),"null","'"&amp;T303&amp;"'")&amp;"),"</f>
        <v>('comunas', 'info@comunas.ch', '5620', 'Reussbrücke-Saal, Zwischenbau', 'T12','ST01-9','C9',1938,'Wohlerstrasse 1','5620','Bremgarten','ch','chf',4816,0,2302,2000,'N','Umbau/Sanierung '99\nDachraum gem. Hauswart i.O.'),</v>
      </c>
    </row>
  </sheetData>
  <hyperlinks>
    <hyperlink ref="B2" r:id="rId1" xr:uid="{00000000-0004-0000-0D00-000000000000}"/>
    <hyperlink ref="B303" r:id="rId2" xr:uid="{C848CC23-3338-4193-B606-75847A16BA25}"/>
  </hyperlinks>
  <pageMargins left="0.7" right="0.7" top="0.78749999999999998" bottom="0.78749999999999998" header="0.51180555555555496" footer="0.51180555555555496"/>
  <pageSetup paperSize="9" orientation="portrait" horizontalDpi="300" verticalDpi="300"/>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4841"/>
  <sheetViews>
    <sheetView topLeftCell="A33" zoomScaleNormal="100" workbookViewId="0">
      <selection activeCell="A5" sqref="A5"/>
    </sheetView>
  </sheetViews>
  <sheetFormatPr defaultColWidth="10.85546875" defaultRowHeight="15" x14ac:dyDescent="0.25"/>
  <cols>
    <col min="1" max="1" width="81.140625" customWidth="1"/>
    <col min="2" max="5" width="11.140625" customWidth="1"/>
    <col min="6" max="6" width="81.140625" customWidth="1"/>
    <col min="7" max="7" width="11.140625" customWidth="1"/>
    <col min="8" max="8" width="81.140625" customWidth="1"/>
    <col min="10" max="10" width="145.42578125" customWidth="1"/>
  </cols>
  <sheetData>
    <row r="1" spans="1:10" x14ac:dyDescent="0.25">
      <c r="A1" s="1" t="s">
        <v>1088</v>
      </c>
      <c r="B1" s="1" t="s">
        <v>1089</v>
      </c>
      <c r="C1" s="1" t="s">
        <v>1090</v>
      </c>
      <c r="D1" s="1" t="s">
        <v>1091</v>
      </c>
      <c r="E1" s="1" t="s">
        <v>1092</v>
      </c>
      <c r="F1" s="1" t="s">
        <v>98</v>
      </c>
      <c r="H1" s="6" t="s">
        <v>1093</v>
      </c>
    </row>
    <row r="2" spans="1:10" s="21" customFormat="1" x14ac:dyDescent="0.25">
      <c r="A2" s="20"/>
      <c r="B2" s="20"/>
      <c r="C2" s="20"/>
      <c r="D2" s="20"/>
      <c r="E2" s="20"/>
      <c r="F2" s="20"/>
      <c r="G2" s="20"/>
      <c r="H2" s="20" t="str">
        <f>"(nextval('obj_part_id_seq'), (select id from obj_building_v where zip||'|'||street||'|'||name||'|'||volume = '"&amp;A2&amp;"'), '"&amp;B2&amp;"', "&amp;C2&amp;", "&amp;D2&amp;", "&amp;IF(ISBLANK(E2),"null",E2)&amp;","&amp;IF(ISBLANK(F2),"null","'"&amp;F2&amp;"'")&amp;"),"</f>
        <v>(nextval('obj_part_id_seq'), (select id from obj_building_v where zip||'|'||street||'|'||name||'|'||volume = ''), '', , , null,null),</v>
      </c>
      <c r="J2" s="22"/>
    </row>
    <row r="4" spans="1:10" x14ac:dyDescent="0.25">
      <c r="A4" s="9" t="s">
        <v>254</v>
      </c>
      <c r="B4" s="9" t="s">
        <v>255</v>
      </c>
      <c r="C4" s="9" t="s">
        <v>256</v>
      </c>
      <c r="D4" s="9" t="s">
        <v>257</v>
      </c>
      <c r="E4" s="9" t="s">
        <v>258</v>
      </c>
      <c r="F4" s="9" t="s">
        <v>259</v>
      </c>
    </row>
    <row r="5" spans="1:10" x14ac:dyDescent="0.25">
      <c r="A5" s="9" t="s">
        <v>1094</v>
      </c>
      <c r="B5" s="9" t="s">
        <v>1095</v>
      </c>
      <c r="C5">
        <v>35</v>
      </c>
      <c r="D5">
        <v>80</v>
      </c>
      <c r="E5">
        <v>2010</v>
      </c>
      <c r="F5" s="9" t="s">
        <v>1096</v>
      </c>
      <c r="H5" s="20" t="str">
        <f t="shared" ref="H5:H68" si="0">"(nextval('obj_part_id_seq'), (select id from obj_building_v where zip||'|'||street||'|'||name||'|'||volume = '"&amp;A5&amp;"'), '"&amp;B5&amp;"', "&amp;C5&amp;", "&amp;D5&amp;", "&amp;IF(ISBLANK(E5),"null",E5)&amp;","&amp;IF(ISBLANK(F5),"null","'"&amp;F5&amp;"'")&amp;"),"</f>
        <v>(nextval('obj_part_id_seq'), (select id from obj_building_v where zip||'|'||street||'|'||name||'|'||volume = '8253|Schulstrasse 5|best. Schulhaus Zentrum|13886.00'), 'P1', 35, 80, 2010,'Stahlbetondecken, Mauerwerk'),</v>
      </c>
    </row>
    <row r="6" spans="1:10" x14ac:dyDescent="0.25">
      <c r="A6" s="9" t="s">
        <v>1094</v>
      </c>
      <c r="B6" s="9" t="s">
        <v>1097</v>
      </c>
      <c r="C6">
        <v>4</v>
      </c>
      <c r="D6">
        <v>50</v>
      </c>
      <c r="E6">
        <v>2010</v>
      </c>
      <c r="F6" s="9" t="s">
        <v>1098</v>
      </c>
      <c r="H6" s="20" t="str">
        <f t="shared" si="0"/>
        <v>(nextval('obj_part_id_seq'), (select id from obj_building_v where zip||'|'||street||'|'||name||'|'||volume = '8253|Schulstrasse 5|best. Schulhaus Zentrum|13886.00'), 'P2', 4, 50, 2010,'Ziegeleindeckung, schadhaft'),</v>
      </c>
    </row>
    <row r="7" spans="1:10" x14ac:dyDescent="0.25">
      <c r="A7" s="9" t="s">
        <v>1094</v>
      </c>
      <c r="B7" s="9" t="s">
        <v>1099</v>
      </c>
      <c r="C7">
        <v>0</v>
      </c>
      <c r="D7" t="s">
        <v>4080</v>
      </c>
      <c r="E7">
        <v>2010</v>
      </c>
      <c r="F7" s="9"/>
      <c r="H7" s="20" t="str">
        <f t="shared" si="0"/>
        <v>(nextval('obj_part_id_seq'), (select id from obj_building_v where zip||'|'||street||'|'||name||'|'||volume = '8253|Schulstrasse 5|best. Schulhaus Zentrum|13886.00'), 'P3', 0, null, 2010,null),</v>
      </c>
    </row>
    <row r="8" spans="1:10" x14ac:dyDescent="0.25">
      <c r="A8" s="9" t="s">
        <v>1094</v>
      </c>
      <c r="B8" s="9" t="s">
        <v>1100</v>
      </c>
      <c r="C8">
        <v>8</v>
      </c>
      <c r="D8">
        <v>85</v>
      </c>
      <c r="E8">
        <v>2010</v>
      </c>
      <c r="F8" s="9" t="s">
        <v>1101</v>
      </c>
      <c r="H8" s="20" t="str">
        <f t="shared" si="0"/>
        <v>(nextval('obj_part_id_seq'), (select id from obj_building_v where zip||'|'||street||'|'||name||'|'||volume = '8253|Schulstrasse 5|best. Schulhaus Zentrum|13886.00'), 'P4', 8, 85, 2010,'Doppelschaliges Mauerwerk, verputzt'),</v>
      </c>
    </row>
    <row r="9" spans="1:10" x14ac:dyDescent="0.25">
      <c r="A9" s="9" t="s">
        <v>1094</v>
      </c>
      <c r="B9" s="9" t="s">
        <v>1102</v>
      </c>
      <c r="C9">
        <v>8</v>
      </c>
      <c r="D9">
        <v>75</v>
      </c>
      <c r="E9">
        <v>2010</v>
      </c>
      <c r="F9" s="9" t="s">
        <v>1103</v>
      </c>
      <c r="H9" s="20" t="str">
        <f t="shared" si="0"/>
        <v>(nextval('obj_part_id_seq'), (select id from obj_building_v where zip||'|'||street||'|'||name||'|'||volume = '8253|Schulstrasse 5|best. Schulhaus Zentrum|13886.00'), 'P5', 8, 75, 2010,'Holzfenster, Eingangstüren Stahl'),</v>
      </c>
    </row>
    <row r="10" spans="1:10" x14ac:dyDescent="0.25">
      <c r="A10" s="9" t="s">
        <v>1094</v>
      </c>
      <c r="B10" s="9" t="s">
        <v>1104</v>
      </c>
      <c r="C10">
        <v>1</v>
      </c>
      <c r="D10">
        <v>85</v>
      </c>
      <c r="E10">
        <v>2010</v>
      </c>
      <c r="F10" s="9" t="s">
        <v>1105</v>
      </c>
      <c r="H10" s="20" t="str">
        <f t="shared" si="0"/>
        <v>(nextval('obj_part_id_seq'), (select id from obj_building_v where zip||'|'||street||'|'||name||'|'||volume = '8253|Schulstrasse 5|best. Schulhaus Zentrum|13886.00'), 'P6', 1, 85, 2010,'Fernwärme vom Nachbargebäude (altes SH, san.)'),</v>
      </c>
    </row>
    <row r="11" spans="1:10" x14ac:dyDescent="0.25">
      <c r="A11" s="9" t="s">
        <v>1094</v>
      </c>
      <c r="B11" s="9" t="s">
        <v>1106</v>
      </c>
      <c r="C11">
        <v>2</v>
      </c>
      <c r="D11">
        <v>80</v>
      </c>
      <c r="E11">
        <v>2010</v>
      </c>
      <c r="F11" s="9" t="s">
        <v>1107</v>
      </c>
      <c r="H11" s="20" t="str">
        <f t="shared" si="0"/>
        <v>(nextval('obj_part_id_seq'), (select id from obj_building_v where zip||'|'||street||'|'||name||'|'||volume = '8253|Schulstrasse 5|best. Schulhaus Zentrum|13886.00'), 'P7', 2, 80, 2010,'Radiatoren mit Thermostaten'),</v>
      </c>
    </row>
    <row r="12" spans="1:10" x14ac:dyDescent="0.25">
      <c r="A12" s="9" t="s">
        <v>1094</v>
      </c>
      <c r="B12" s="9" t="s">
        <v>1108</v>
      </c>
      <c r="C12">
        <v>6</v>
      </c>
      <c r="D12">
        <v>90</v>
      </c>
      <c r="E12">
        <v>2010</v>
      </c>
      <c r="F12" s="9" t="s">
        <v>1109</v>
      </c>
      <c r="H12" s="20" t="str">
        <f t="shared" si="0"/>
        <v>(nextval('obj_part_id_seq'), (select id from obj_building_v where zip||'|'||street||'|'||name||'|'||volume = '8253|Schulstrasse 5|best. Schulhaus Zentrum|13886.00'), 'P8', 6, 90, 2010,'Abwasserleitungen aus Gusseisen, stellenweise saniert'),</v>
      </c>
    </row>
    <row r="13" spans="1:10" x14ac:dyDescent="0.25">
      <c r="A13" s="9" t="s">
        <v>1094</v>
      </c>
      <c r="B13" s="9" t="s">
        <v>1110</v>
      </c>
      <c r="C13">
        <v>6</v>
      </c>
      <c r="D13">
        <v>80</v>
      </c>
      <c r="E13">
        <v>2010</v>
      </c>
      <c r="F13" s="9" t="s">
        <v>1111</v>
      </c>
      <c r="H13" s="20" t="str">
        <f t="shared" si="0"/>
        <v>(nextval('obj_part_id_seq'), (select id from obj_building_v where zip||'|'||street||'|'||name||'|'||volume = '8253|Schulstrasse 5|best. Schulhaus Zentrum|13886.00'), 'P9', 6, 80, 2010,'Beleuchtung Klassenzimmer ca. 15-jährig'),</v>
      </c>
    </row>
    <row r="14" spans="1:10" x14ac:dyDescent="0.25">
      <c r="A14" s="9" t="s">
        <v>1094</v>
      </c>
      <c r="B14" s="9" t="s">
        <v>1112</v>
      </c>
      <c r="C14">
        <v>3</v>
      </c>
      <c r="D14">
        <v>90</v>
      </c>
      <c r="E14">
        <v>2010</v>
      </c>
      <c r="F14" s="9" t="s">
        <v>1113</v>
      </c>
      <c r="H14" s="20" t="str">
        <f t="shared" si="0"/>
        <v>(nextval('obj_part_id_seq'), (select id from obj_building_v where zip||'|'||street||'|'||name||'|'||volume = '8253|Schulstrasse 5|best. Schulhaus Zentrum|13886.00'), 'P10', 3, 90, 2010,'Lüftung im Saal DG'),</v>
      </c>
    </row>
    <row r="15" spans="1:10" x14ac:dyDescent="0.25">
      <c r="A15" s="9" t="s">
        <v>1094</v>
      </c>
      <c r="B15" s="9" t="s">
        <v>1114</v>
      </c>
      <c r="C15">
        <v>27</v>
      </c>
      <c r="D15">
        <v>75</v>
      </c>
      <c r="E15">
        <v>2010</v>
      </c>
      <c r="F15" s="9" t="s">
        <v>1115</v>
      </c>
      <c r="H15" s="20" t="str">
        <f t="shared" si="0"/>
        <v>(nextval('obj_part_id_seq'), (select id from obj_building_v where zip||'|'||street||'|'||name||'|'||volume = '8253|Schulstrasse 5|best. Schulhaus Zentrum|13886.00'), 'P11', 27, 75, 2010,'Üblicher Innenausbau mit Linolböden, Treppenhaus Naturstein'),</v>
      </c>
    </row>
    <row r="16" spans="1:10" x14ac:dyDescent="0.25">
      <c r="A16" s="9" t="s">
        <v>1094</v>
      </c>
      <c r="B16" s="9" t="s">
        <v>1114</v>
      </c>
      <c r="C16">
        <v>0</v>
      </c>
      <c r="D16" t="s">
        <v>4080</v>
      </c>
      <c r="E16">
        <v>2010</v>
      </c>
      <c r="F16" s="9"/>
      <c r="H16" s="20" t="str">
        <f t="shared" si="0"/>
        <v>(nextval('obj_part_id_seq'), (select id from obj_building_v where zip||'|'||street||'|'||name||'|'||volume = '8253|Schulstrasse 5|best. Schulhaus Zentrum|13886.00'), 'P11', 0, null, 2010,null),</v>
      </c>
    </row>
    <row r="17" spans="1:8" x14ac:dyDescent="0.25">
      <c r="A17" s="9" t="s">
        <v>1094</v>
      </c>
      <c r="B17" s="9" t="s">
        <v>1116</v>
      </c>
      <c r="C17">
        <v>0</v>
      </c>
      <c r="D17" t="s">
        <v>4080</v>
      </c>
      <c r="E17">
        <v>2010</v>
      </c>
      <c r="F17" s="9"/>
      <c r="H17" s="20" t="str">
        <f t="shared" si="0"/>
        <v>(nextval('obj_part_id_seq'), (select id from obj_building_v where zip||'|'||street||'|'||name||'|'||volume = '8253|Schulstrasse 5|best. Schulhaus Zentrum|13886.00'), 'P12', 0, null, 2010,null),</v>
      </c>
    </row>
    <row r="18" spans="1:8" x14ac:dyDescent="0.25">
      <c r="A18" s="9" t="s">
        <v>1117</v>
      </c>
      <c r="B18" s="9" t="s">
        <v>1095</v>
      </c>
      <c r="C18">
        <v>35</v>
      </c>
      <c r="D18">
        <v>90</v>
      </c>
      <c r="E18">
        <v>2010</v>
      </c>
      <c r="F18" s="9" t="s">
        <v>1118</v>
      </c>
      <c r="H18" s="20" t="str">
        <f t="shared" si="0"/>
        <v>(nextval('obj_part_id_seq'), (select id from obj_building_v where zip||'|'||street||'|'||name||'|'||volume = '8255|Bahnhofstrasse 1|Schulhaus Schlattingen|3539.00'), 'P1', 35, 90, 2010,'Massiv'),</v>
      </c>
    </row>
    <row r="19" spans="1:8" x14ac:dyDescent="0.25">
      <c r="A19" s="9" t="s">
        <v>1117</v>
      </c>
      <c r="B19" s="9" t="s">
        <v>1097</v>
      </c>
      <c r="C19">
        <v>7</v>
      </c>
      <c r="D19">
        <v>90</v>
      </c>
      <c r="E19">
        <v>2010</v>
      </c>
      <c r="F19" s="9" t="s">
        <v>1119</v>
      </c>
      <c r="H19" s="20" t="str">
        <f t="shared" si="0"/>
        <v>(nextval('obj_part_id_seq'), (select id from obj_building_v where zip||'|'||street||'|'||name||'|'||volume = '8255|Bahnhofstrasse 1|Schulhaus Schlattingen|3539.00'), 'P2', 7, 90, 2010,'Ziegeldach, saniert'),</v>
      </c>
    </row>
    <row r="20" spans="1:8" x14ac:dyDescent="0.25">
      <c r="A20" s="9" t="s">
        <v>1117</v>
      </c>
      <c r="B20" s="9" t="s">
        <v>1099</v>
      </c>
      <c r="C20">
        <v>0</v>
      </c>
      <c r="D20" t="s">
        <v>4080</v>
      </c>
      <c r="E20">
        <v>2010</v>
      </c>
      <c r="F20" s="9"/>
      <c r="H20" s="20" t="str">
        <f t="shared" si="0"/>
        <v>(nextval('obj_part_id_seq'), (select id from obj_building_v where zip||'|'||street||'|'||name||'|'||volume = '8255|Bahnhofstrasse 1|Schulhaus Schlattingen|3539.00'), 'P3', 0, null, 2010,null),</v>
      </c>
    </row>
    <row r="21" spans="1:8" x14ac:dyDescent="0.25">
      <c r="A21" s="9" t="s">
        <v>1117</v>
      </c>
      <c r="B21" s="9" t="s">
        <v>1100</v>
      </c>
      <c r="C21">
        <v>8</v>
      </c>
      <c r="D21">
        <v>50</v>
      </c>
      <c r="E21">
        <v>2010</v>
      </c>
      <c r="F21" s="9" t="s">
        <v>1120</v>
      </c>
      <c r="H21" s="20" t="str">
        <f t="shared" si="0"/>
        <v>(nextval('obj_part_id_seq'), (select id from obj_building_v where zip||'|'||street||'|'||name||'|'||volume = '8255|Bahnhofstrasse 1|Schulhaus Schlattingen|3539.00'), 'P4', 8, 50, 2010,'Klinker-Sichtmauerwerk und Mauerwerk verputzt, innenl. Stahlstützen'),</v>
      </c>
    </row>
    <row r="22" spans="1:8" x14ac:dyDescent="0.25">
      <c r="A22" s="9" t="s">
        <v>1117</v>
      </c>
      <c r="B22" s="9" t="s">
        <v>1102</v>
      </c>
      <c r="C22">
        <v>8</v>
      </c>
      <c r="D22">
        <v>90</v>
      </c>
      <c r="E22">
        <v>2010</v>
      </c>
      <c r="F22" s="9" t="s">
        <v>1121</v>
      </c>
      <c r="H22" s="20" t="str">
        <f t="shared" si="0"/>
        <v>(nextval('obj_part_id_seq'), (select id from obj_building_v where zip||'|'||street||'|'||name||'|'||volume = '8255|Bahnhofstrasse 1|Schulhaus Schlattingen|3539.00'), 'P5', 8, 90, 2010,'Holz-Metallfenster, 2-fach-IV, 1998'),</v>
      </c>
    </row>
    <row r="23" spans="1:8" x14ac:dyDescent="0.25">
      <c r="A23" s="9" t="s">
        <v>1117</v>
      </c>
      <c r="B23" s="9" t="s">
        <v>1104</v>
      </c>
      <c r="C23">
        <v>1</v>
      </c>
      <c r="D23">
        <v>90</v>
      </c>
      <c r="E23">
        <v>2010</v>
      </c>
      <c r="F23" s="9" t="s">
        <v>1122</v>
      </c>
      <c r="H23" s="20" t="str">
        <f t="shared" si="0"/>
        <v>(nextval('obj_part_id_seq'), (select id from obj_building_v where zip||'|'||street||'|'||name||'|'||volume = '8255|Bahnhofstrasse 1|Schulhaus Schlattingen|3539.00'), 'P6', 1, 90, 2010,'Holzpelletheizung, neu'),</v>
      </c>
    </row>
    <row r="24" spans="1:8" x14ac:dyDescent="0.25">
      <c r="A24" s="9" t="s">
        <v>1117</v>
      </c>
      <c r="B24" s="9" t="s">
        <v>1106</v>
      </c>
      <c r="C24">
        <v>2</v>
      </c>
      <c r="D24">
        <v>90</v>
      </c>
      <c r="E24">
        <v>2010</v>
      </c>
      <c r="F24" s="9" t="s">
        <v>1107</v>
      </c>
      <c r="H24" s="20" t="str">
        <f t="shared" si="0"/>
        <v>(nextval('obj_part_id_seq'), (select id from obj_building_v where zip||'|'||street||'|'||name||'|'||volume = '8255|Bahnhofstrasse 1|Schulhaus Schlattingen|3539.00'), 'P7', 2, 90, 2010,'Radiatoren mit Thermostaten'),</v>
      </c>
    </row>
    <row r="25" spans="1:8" x14ac:dyDescent="0.25">
      <c r="A25" s="9" t="s">
        <v>1117</v>
      </c>
      <c r="B25" s="9" t="s">
        <v>1108</v>
      </c>
      <c r="C25">
        <v>6</v>
      </c>
      <c r="D25">
        <v>90</v>
      </c>
      <c r="E25">
        <v>2010</v>
      </c>
      <c r="F25" s="9" t="s">
        <v>1123</v>
      </c>
      <c r="H25" s="20" t="str">
        <f t="shared" si="0"/>
        <v>(nextval('obj_part_id_seq'), (select id from obj_building_v where zip||'|'||street||'|'||name||'|'||volume = '8255|Bahnhofstrasse 1|Schulhaus Schlattingen|3539.00'), 'P8', 6, 90, 2010,'Warm- und Kaltwasserleitungen: guter Durchfluss'),</v>
      </c>
    </row>
    <row r="26" spans="1:8" x14ac:dyDescent="0.25">
      <c r="A26" s="9" t="s">
        <v>1117</v>
      </c>
      <c r="B26" s="9" t="s">
        <v>1110</v>
      </c>
      <c r="C26">
        <v>6</v>
      </c>
      <c r="D26">
        <v>90</v>
      </c>
      <c r="E26">
        <v>2010</v>
      </c>
      <c r="F26" s="9" t="s">
        <v>1124</v>
      </c>
      <c r="H26" s="20" t="str">
        <f t="shared" si="0"/>
        <v>(nextval('obj_part_id_seq'), (select id from obj_building_v where zip||'|'||street||'|'||name||'|'||volume = '8255|Bahnhofstrasse 1|Schulhaus Schlattingen|3539.00'), 'P9', 6, 90, 2010,'Beleuchtung Klassenzimmer und Schalter tw. neu'),</v>
      </c>
    </row>
    <row r="27" spans="1:8" x14ac:dyDescent="0.25">
      <c r="A27" s="9" t="s">
        <v>1117</v>
      </c>
      <c r="B27" s="9" t="s">
        <v>1112</v>
      </c>
      <c r="C27">
        <v>0</v>
      </c>
      <c r="D27" t="s">
        <v>4080</v>
      </c>
      <c r="E27">
        <v>2010</v>
      </c>
      <c r="F27" s="9"/>
      <c r="H27" s="20" t="str">
        <f t="shared" si="0"/>
        <v>(nextval('obj_part_id_seq'), (select id from obj_building_v where zip||'|'||street||'|'||name||'|'||volume = '8255|Bahnhofstrasse 1|Schulhaus Schlattingen|3539.00'), 'P10', 0, null, 2010,null),</v>
      </c>
    </row>
    <row r="28" spans="1:8" x14ac:dyDescent="0.25">
      <c r="A28" s="9" t="s">
        <v>1117</v>
      </c>
      <c r="B28" s="9" t="s">
        <v>1114</v>
      </c>
      <c r="C28">
        <v>27</v>
      </c>
      <c r="D28">
        <v>90</v>
      </c>
      <c r="E28">
        <v>2010</v>
      </c>
      <c r="F28" s="9" t="s">
        <v>1125</v>
      </c>
      <c r="H28" s="20" t="str">
        <f t="shared" si="0"/>
        <v>(nextval('obj_part_id_seq'), (select id from obj_building_v where zip||'|'||street||'|'||name||'|'||volume = '8255|Bahnhofstrasse 1|Schulhaus Schlattingen|3539.00'), 'P11', 27, 90, 2010,'Böden: Linol/KST\nWände: Abrieb, gestr.\nDecken: Täfer/Anstrich'),</v>
      </c>
    </row>
    <row r="29" spans="1:8" x14ac:dyDescent="0.25">
      <c r="A29" s="9" t="s">
        <v>1117</v>
      </c>
      <c r="B29" s="9" t="s">
        <v>1114</v>
      </c>
      <c r="C29">
        <v>0</v>
      </c>
      <c r="D29" t="s">
        <v>4080</v>
      </c>
      <c r="E29">
        <v>2010</v>
      </c>
      <c r="F29" s="9"/>
      <c r="H29" s="20" t="str">
        <f t="shared" si="0"/>
        <v>(nextval('obj_part_id_seq'), (select id from obj_building_v where zip||'|'||street||'|'||name||'|'||volume = '8255|Bahnhofstrasse 1|Schulhaus Schlattingen|3539.00'), 'P11', 0, null, 2010,null),</v>
      </c>
    </row>
    <row r="30" spans="1:8" x14ac:dyDescent="0.25">
      <c r="A30" s="9" t="s">
        <v>1117</v>
      </c>
      <c r="B30" s="9" t="s">
        <v>1116</v>
      </c>
      <c r="C30">
        <v>0</v>
      </c>
      <c r="D30" t="s">
        <v>4080</v>
      </c>
      <c r="E30">
        <v>2010</v>
      </c>
      <c r="F30" s="9"/>
      <c r="H30" s="20" t="str">
        <f t="shared" si="0"/>
        <v>(nextval('obj_part_id_seq'), (select id from obj_building_v where zip||'|'||street||'|'||name||'|'||volume = '8255|Bahnhofstrasse 1|Schulhaus Schlattingen|3539.00'), 'P12', 0, null, 2010,null),</v>
      </c>
    </row>
    <row r="31" spans="1:8" x14ac:dyDescent="0.25">
      <c r="A31" s="9" t="s">
        <v>1126</v>
      </c>
      <c r="B31" s="9" t="s">
        <v>1127</v>
      </c>
      <c r="C31">
        <v>24</v>
      </c>
      <c r="D31">
        <v>85</v>
      </c>
      <c r="E31">
        <v>2011</v>
      </c>
      <c r="F31" s="9" t="s">
        <v>1128</v>
      </c>
      <c r="H31" s="20" t="str">
        <f t="shared" si="0"/>
        <v>(nextval('obj_part_id_seq'), (select id from obj_building_v where zip||'|'||street||'|'||name||'|'||volume = '8253|Schützenstrasse|Kindergarten Schupfenzelg|1624.00'), 'P48', 24, 85, 2011,'Hohlkörperdecke, Porenbetonwände'),</v>
      </c>
    </row>
    <row r="32" spans="1:8" x14ac:dyDescent="0.25">
      <c r="A32" s="9" t="s">
        <v>1126</v>
      </c>
      <c r="B32" s="9" t="s">
        <v>1129</v>
      </c>
      <c r="C32">
        <v>0</v>
      </c>
      <c r="D32" t="s">
        <v>4080</v>
      </c>
      <c r="E32">
        <v>2011</v>
      </c>
      <c r="F32" s="9"/>
      <c r="H32" s="20" t="str">
        <f t="shared" si="0"/>
        <v>(nextval('obj_part_id_seq'), (select id from obj_building_v where zip||'|'||street||'|'||name||'|'||volume = '8253|Schützenstrasse|Kindergarten Schupfenzelg|1624.00'), 'P49', 0, null, 2011,null),</v>
      </c>
    </row>
    <row r="33" spans="1:8" x14ac:dyDescent="0.25">
      <c r="A33" s="9" t="s">
        <v>1126</v>
      </c>
      <c r="B33" s="9" t="s">
        <v>1097</v>
      </c>
      <c r="C33">
        <v>20</v>
      </c>
      <c r="D33">
        <v>90</v>
      </c>
      <c r="E33">
        <v>2011</v>
      </c>
      <c r="F33" s="9" t="s">
        <v>1130</v>
      </c>
      <c r="H33" s="20" t="str">
        <f t="shared" si="0"/>
        <v>(nextval('obj_part_id_seq'), (select id from obj_building_v where zip||'|'||street||'|'||name||'|'||volume = '8253|Schützenstrasse|Kindergarten Schupfenzelg|1624.00'), 'P2', 20, 90, 2011,'Welleternit, Dämmung über Decke über EG'),</v>
      </c>
    </row>
    <row r="34" spans="1:8" x14ac:dyDescent="0.25">
      <c r="A34" s="9" t="s">
        <v>1126</v>
      </c>
      <c r="B34" s="9" t="s">
        <v>1099</v>
      </c>
      <c r="C34">
        <v>0</v>
      </c>
      <c r="D34" t="s">
        <v>4080</v>
      </c>
      <c r="E34">
        <v>2011</v>
      </c>
      <c r="F34" s="9"/>
      <c r="H34" s="20" t="str">
        <f t="shared" si="0"/>
        <v>(nextval('obj_part_id_seq'), (select id from obj_building_v where zip||'|'||street||'|'||name||'|'||volume = '8253|Schützenstrasse|Kindergarten Schupfenzelg|1624.00'), 'P3', 0, null, 2011,null),</v>
      </c>
    </row>
    <row r="35" spans="1:8" x14ac:dyDescent="0.25">
      <c r="A35" s="9" t="s">
        <v>1126</v>
      </c>
      <c r="B35" s="9" t="s">
        <v>1100</v>
      </c>
      <c r="C35">
        <v>8</v>
      </c>
      <c r="D35">
        <v>80</v>
      </c>
      <c r="E35">
        <v>2011</v>
      </c>
      <c r="F35" s="9" t="s">
        <v>1131</v>
      </c>
      <c r="H35" s="20" t="str">
        <f t="shared" si="0"/>
        <v>(nextval('obj_part_id_seq'), (select id from obj_building_v where zip||'|'||street||'|'||name||'|'||volume = '8253|Schützenstrasse|Kindergarten Schupfenzelg|1624.00'), 'P4', 8, 80, 2011,'Porenbeton, verputzt\nAnbau Holz'),</v>
      </c>
    </row>
    <row r="36" spans="1:8" x14ac:dyDescent="0.25">
      <c r="A36" s="9" t="s">
        <v>1126</v>
      </c>
      <c r="B36" s="9" t="s">
        <v>1102</v>
      </c>
      <c r="C36">
        <v>14</v>
      </c>
      <c r="D36">
        <v>90</v>
      </c>
      <c r="E36">
        <v>2011</v>
      </c>
      <c r="F36" s="9" t="s">
        <v>1132</v>
      </c>
      <c r="H36" s="20" t="str">
        <f t="shared" si="0"/>
        <v>(nextval('obj_part_id_seq'), (select id from obj_building_v where zip||'|'||street||'|'||name||'|'||volume = '8253|Schützenstrasse|Kindergarten Schupfenzelg|1624.00'), 'P5', 14, 90, 2011,'Holz/Metall\nErsatz 2003 inkl. Türen\nWSG'),</v>
      </c>
    </row>
    <row r="37" spans="1:8" x14ac:dyDescent="0.25">
      <c r="A37" s="9" t="s">
        <v>1126</v>
      </c>
      <c r="B37" s="9" t="s">
        <v>1110</v>
      </c>
      <c r="C37">
        <v>4</v>
      </c>
      <c r="D37">
        <v>90</v>
      </c>
      <c r="E37">
        <v>2011</v>
      </c>
      <c r="F37" s="9" t="s">
        <v>1133</v>
      </c>
      <c r="H37" s="20" t="str">
        <f t="shared" si="0"/>
        <v>(nextval('obj_part_id_seq'), (select id from obj_building_v where zip||'|'||street||'|'||name||'|'||volume = '8253|Schützenstrasse|Kindergarten Schupfenzelg|1624.00'), 'P9', 4, 90, 2011,'Gemäss HW genügende Absicherungen und keine Mängel bekannt'),</v>
      </c>
    </row>
    <row r="38" spans="1:8" x14ac:dyDescent="0.25">
      <c r="A38" s="9" t="s">
        <v>1126</v>
      </c>
      <c r="B38" s="9" t="s">
        <v>1104</v>
      </c>
      <c r="C38">
        <v>3</v>
      </c>
      <c r="D38">
        <v>90</v>
      </c>
      <c r="E38">
        <v>2011</v>
      </c>
      <c r="F38" s="9" t="s">
        <v>1134</v>
      </c>
      <c r="H38" s="20" t="str">
        <f t="shared" si="0"/>
        <v>(nextval('obj_part_id_seq'), (select id from obj_building_v where zip||'|'||street||'|'||name||'|'||volume = '8253|Schützenstrasse|Kindergarten Schupfenzelg|1624.00'), 'P6', 3, 90, 2011,'Gasheizung'),</v>
      </c>
    </row>
    <row r="39" spans="1:8" x14ac:dyDescent="0.25">
      <c r="A39" s="9" t="s">
        <v>1126</v>
      </c>
      <c r="B39" s="9" t="s">
        <v>1106</v>
      </c>
      <c r="C39">
        <v>3</v>
      </c>
      <c r="D39">
        <v>90</v>
      </c>
      <c r="E39">
        <v>2011</v>
      </c>
      <c r="F39" s="9" t="s">
        <v>1107</v>
      </c>
      <c r="H39" s="20" t="str">
        <f t="shared" si="0"/>
        <v>(nextval('obj_part_id_seq'), (select id from obj_building_v where zip||'|'||street||'|'||name||'|'||volume = '8253|Schützenstrasse|Kindergarten Schupfenzelg|1624.00'), 'P7', 3, 90, 2011,'Radiatoren mit Thermostaten'),</v>
      </c>
    </row>
    <row r="40" spans="1:8" x14ac:dyDescent="0.25">
      <c r="A40" s="9" t="s">
        <v>1126</v>
      </c>
      <c r="B40" s="9" t="s">
        <v>1135</v>
      </c>
      <c r="C40">
        <v>1</v>
      </c>
      <c r="D40">
        <v>85</v>
      </c>
      <c r="E40">
        <v>2011</v>
      </c>
      <c r="F40" s="9" t="s">
        <v>1136</v>
      </c>
      <c r="H40" s="20" t="str">
        <f t="shared" si="0"/>
        <v>(nextval('obj_part_id_seq'), (select id from obj_building_v where zip||'|'||street||'|'||name||'|'||volume = '8253|Schützenstrasse|Kindergarten Schupfenzelg|1624.00'), 'P54', 1, 85, 2011,'Lavabo tw. mit WW-Mischer, Küchengeräte orig. ''73\nWW-Boiler in Küche eingeb.'),</v>
      </c>
    </row>
    <row r="41" spans="1:8" x14ac:dyDescent="0.25">
      <c r="A41" s="9" t="s">
        <v>1126</v>
      </c>
      <c r="B41" s="9" t="s">
        <v>1137</v>
      </c>
      <c r="C41">
        <v>3</v>
      </c>
      <c r="D41">
        <v>90</v>
      </c>
      <c r="E41">
        <v>2011</v>
      </c>
      <c r="F41" s="9"/>
      <c r="H41" s="20" t="str">
        <f t="shared" si="0"/>
        <v>(nextval('obj_part_id_seq'), (select id from obj_building_v where zip||'|'||street||'|'||name||'|'||volume = '8253|Schützenstrasse|Kindergarten Schupfenzelg|1624.00'), 'P55', 3, 90, 2011,null),</v>
      </c>
    </row>
    <row r="42" spans="1:8" x14ac:dyDescent="0.25">
      <c r="A42" s="9" t="s">
        <v>1126</v>
      </c>
      <c r="B42" s="9" t="s">
        <v>1138</v>
      </c>
      <c r="C42">
        <v>17</v>
      </c>
      <c r="D42">
        <v>90</v>
      </c>
      <c r="E42">
        <v>2011</v>
      </c>
      <c r="F42" s="9" t="s">
        <v>1139</v>
      </c>
      <c r="H42" s="20" t="str">
        <f t="shared" si="0"/>
        <v>(nextval('obj_part_id_seq'), (select id from obj_building_v where zip||'|'||street||'|'||name||'|'||volume = '8253|Schützenstrasse|Kindergarten Schupfenzelg|1624.00'), 'P57', 17, 90, 2011,'Arbeitssimse, Einbauschränke, Garderoben'),</v>
      </c>
    </row>
    <row r="43" spans="1:8" x14ac:dyDescent="0.25">
      <c r="A43" s="9" t="s">
        <v>1126</v>
      </c>
      <c r="B43" s="9" t="s">
        <v>1140</v>
      </c>
      <c r="C43">
        <v>3</v>
      </c>
      <c r="D43">
        <v>70</v>
      </c>
      <c r="E43">
        <v>2011</v>
      </c>
      <c r="F43" s="9" t="s">
        <v>1141</v>
      </c>
      <c r="H43" s="20" t="str">
        <f t="shared" si="0"/>
        <v>(nextval('obj_part_id_seq'), (select id from obj_building_v where zip||'|'||street||'|'||name||'|'||volume = '8253|Schützenstrasse|Kindergarten Schupfenzelg|1624.00'), 'P58', 3, 70, 2011,'Böden: PVC\nWände: verputzt o. Holztäfer\nDecke: Mineralfaserplatten'),</v>
      </c>
    </row>
    <row r="44" spans="1:8" x14ac:dyDescent="0.25">
      <c r="A44" s="9" t="s">
        <v>1126</v>
      </c>
      <c r="B44" s="9" t="s">
        <v>1142</v>
      </c>
      <c r="C44">
        <v>0</v>
      </c>
      <c r="D44" t="s">
        <v>4080</v>
      </c>
      <c r="E44">
        <v>2011</v>
      </c>
      <c r="F44" s="9"/>
      <c r="H44" s="20" t="str">
        <f t="shared" si="0"/>
        <v>(nextval('obj_part_id_seq'), (select id from obj_building_v where zip||'|'||street||'|'||name||'|'||volume = '8253|Schützenstrasse|Kindergarten Schupfenzelg|1624.00'), 'P60', 0, null, 2011,null),</v>
      </c>
    </row>
    <row r="45" spans="1:8" x14ac:dyDescent="0.25">
      <c r="A45" s="9" t="s">
        <v>1126</v>
      </c>
      <c r="B45" s="9" t="s">
        <v>1143</v>
      </c>
      <c r="C45">
        <v>0</v>
      </c>
      <c r="D45" t="s">
        <v>4080</v>
      </c>
      <c r="E45">
        <v>2011</v>
      </c>
      <c r="F45" s="9"/>
      <c r="H45" s="20" t="str">
        <f t="shared" si="0"/>
        <v>(nextval('obj_part_id_seq'), (select id from obj_building_v where zip||'|'||street||'|'||name||'|'||volume = '8253|Schützenstrasse|Kindergarten Schupfenzelg|1624.00'), 'P61', 0, null, 2011,null),</v>
      </c>
    </row>
    <row r="46" spans="1:8" x14ac:dyDescent="0.25">
      <c r="A46" s="9" t="s">
        <v>1126</v>
      </c>
      <c r="B46" s="9" t="s">
        <v>1144</v>
      </c>
      <c r="C46">
        <v>0</v>
      </c>
      <c r="D46" t="s">
        <v>4080</v>
      </c>
      <c r="E46">
        <v>2011</v>
      </c>
      <c r="F46" s="9"/>
      <c r="H46" s="20" t="str">
        <f t="shared" si="0"/>
        <v>(nextval('obj_part_id_seq'), (select id from obj_building_v where zip||'|'||street||'|'||name||'|'||volume = '8253|Schützenstrasse|Kindergarten Schupfenzelg|1624.00'), 'P62', 0, null, 2011,null),</v>
      </c>
    </row>
    <row r="47" spans="1:8" x14ac:dyDescent="0.25">
      <c r="A47" s="9" t="s">
        <v>1145</v>
      </c>
      <c r="B47" s="9" t="s">
        <v>1127</v>
      </c>
      <c r="C47">
        <v>35</v>
      </c>
      <c r="D47">
        <v>90</v>
      </c>
      <c r="E47">
        <v>2011</v>
      </c>
      <c r="F47" s="9" t="s">
        <v>1146</v>
      </c>
      <c r="H47" s="20" t="str">
        <f t="shared" si="0"/>
        <v>(nextval('obj_part_id_seq'), (select id from obj_building_v where zip||'|'||street||'|'||name||'|'||volume = '8479|Feldistrasse 6/8|Laubenhuus|3490.00'), 'P48', 35, 90, 2011,'Geschossdecken und Innenwände'),</v>
      </c>
    </row>
    <row r="48" spans="1:8" x14ac:dyDescent="0.25">
      <c r="A48" s="9" t="s">
        <v>1145</v>
      </c>
      <c r="B48" s="9" t="s">
        <v>1129</v>
      </c>
      <c r="C48">
        <v>0</v>
      </c>
      <c r="D48" t="s">
        <v>4080</v>
      </c>
      <c r="E48">
        <v>2011</v>
      </c>
      <c r="F48" s="9" t="s">
        <v>1147</v>
      </c>
      <c r="H48" s="20" t="str">
        <f t="shared" si="0"/>
        <v>(nextval('obj_part_id_seq'), (select id from obj_building_v where zip||'|'||street||'|'||name||'|'||volume = '8479|Feldistrasse 6/8|Laubenhuus|3490.00'), 'P49', 0, null, 2011,'Fachwerk'),</v>
      </c>
    </row>
    <row r="49" spans="1:8" x14ac:dyDescent="0.25">
      <c r="A49" s="9" t="s">
        <v>1145</v>
      </c>
      <c r="B49" s="9" t="s">
        <v>1097</v>
      </c>
      <c r="C49">
        <v>8</v>
      </c>
      <c r="D49">
        <v>80</v>
      </c>
      <c r="E49">
        <v>2011</v>
      </c>
      <c r="F49" s="9" t="s">
        <v>1148</v>
      </c>
      <c r="H49" s="20" t="str">
        <f t="shared" si="0"/>
        <v>(nextval('obj_part_id_seq'), (select id from obj_building_v where zip||'|'||street||'|'||name||'|'||volume = '8479|Feldistrasse 6/8|Laubenhuus|3490.00'), 'P2', 8, 80, 2011,'Sparrendach mit Ziegeleindeckung, nicht ausgebaut, Dachraum isol. gg. OG'),</v>
      </c>
    </row>
    <row r="50" spans="1:8" x14ac:dyDescent="0.25">
      <c r="A50" s="9" t="s">
        <v>1145</v>
      </c>
      <c r="B50" s="9" t="s">
        <v>1099</v>
      </c>
      <c r="C50">
        <v>0</v>
      </c>
      <c r="D50" t="s">
        <v>4080</v>
      </c>
      <c r="E50">
        <v>2011</v>
      </c>
      <c r="F50" s="9"/>
      <c r="H50" s="20" t="str">
        <f t="shared" si="0"/>
        <v>(nextval('obj_part_id_seq'), (select id from obj_building_v where zip||'|'||street||'|'||name||'|'||volume = '8479|Feldistrasse 6/8|Laubenhuus|3490.00'), 'P3', 0, null, 2011,null),</v>
      </c>
    </row>
    <row r="51" spans="1:8" x14ac:dyDescent="0.25">
      <c r="A51" s="9" t="s">
        <v>1145</v>
      </c>
      <c r="B51" s="9" t="s">
        <v>1100</v>
      </c>
      <c r="C51">
        <v>9</v>
      </c>
      <c r="D51">
        <v>80</v>
      </c>
      <c r="E51">
        <v>2011</v>
      </c>
      <c r="F51" s="9" t="s">
        <v>1149</v>
      </c>
      <c r="H51" s="20" t="str">
        <f t="shared" si="0"/>
        <v>(nextval('obj_part_id_seq'), (select id from obj_building_v where zip||'|'||street||'|'||name||'|'||volume = '8479|Feldistrasse 6/8|Laubenhuus|3490.00'), 'P4', 9, 80, 2011,'Fachwerk, tw. massiv mit Holzverkleidung'),</v>
      </c>
    </row>
    <row r="52" spans="1:8" x14ac:dyDescent="0.25">
      <c r="A52" s="9" t="s">
        <v>1145</v>
      </c>
      <c r="B52" s="9" t="s">
        <v>1102</v>
      </c>
      <c r="C52">
        <v>11</v>
      </c>
      <c r="D52">
        <v>50</v>
      </c>
      <c r="E52">
        <v>2011</v>
      </c>
      <c r="F52" s="9" t="s">
        <v>1150</v>
      </c>
      <c r="H52" s="20" t="str">
        <f t="shared" si="0"/>
        <v>(nextval('obj_part_id_seq'), (select id from obj_building_v where zip||'|'||street||'|'||name||'|'||volume = '8479|Feldistrasse 6/8|Laubenhuus|3490.00'), 'P5', 11, 50, 2011,'Holzfenster mit Doppelverglasung und Holzläden'),</v>
      </c>
    </row>
    <row r="53" spans="1:8" x14ac:dyDescent="0.25">
      <c r="A53" s="9" t="s">
        <v>1145</v>
      </c>
      <c r="B53" s="9" t="s">
        <v>1110</v>
      </c>
      <c r="C53">
        <v>4</v>
      </c>
      <c r="D53">
        <v>90</v>
      </c>
      <c r="E53">
        <v>2011</v>
      </c>
      <c r="F53" s="9"/>
      <c r="H53" s="20" t="str">
        <f t="shared" si="0"/>
        <v>(nextval('obj_part_id_seq'), (select id from obj_building_v where zip||'|'||street||'|'||name||'|'||volume = '8479|Feldistrasse 6/8|Laubenhuus|3490.00'), 'P9', 4, 90, 2011,null),</v>
      </c>
    </row>
    <row r="54" spans="1:8" x14ac:dyDescent="0.25">
      <c r="A54" s="9" t="s">
        <v>1145</v>
      </c>
      <c r="B54" s="9" t="s">
        <v>1104</v>
      </c>
      <c r="C54">
        <v>2</v>
      </c>
      <c r="D54">
        <v>50</v>
      </c>
      <c r="E54">
        <v>2011</v>
      </c>
      <c r="F54" s="9" t="s">
        <v>1151</v>
      </c>
      <c r="H54" s="20" t="str">
        <f t="shared" si="0"/>
        <v>(nextval('obj_part_id_seq'), (select id from obj_building_v where zip||'|'||street||'|'||name||'|'||volume = '8479|Feldistrasse 6/8|Laubenhuus|3490.00'), 'P6', 2, 50, 2011,'Oelheizung 2001'),</v>
      </c>
    </row>
    <row r="55" spans="1:8" x14ac:dyDescent="0.25">
      <c r="A55" s="9" t="s">
        <v>1145</v>
      </c>
      <c r="B55" s="9" t="s">
        <v>1106</v>
      </c>
      <c r="C55">
        <v>3</v>
      </c>
      <c r="D55">
        <v>75</v>
      </c>
      <c r="E55">
        <v>2011</v>
      </c>
      <c r="F55" s="9" t="s">
        <v>1152</v>
      </c>
      <c r="H55" s="20" t="str">
        <f t="shared" si="0"/>
        <v>(nextval('obj_part_id_seq'), (select id from obj_building_v where zip||'|'||street||'|'||name||'|'||volume = '8479|Feldistrasse 6/8|Laubenhuus|3490.00'), 'P7', 3, 75, 2011,'Radiatoren, tw. ohne Thermostaten'),</v>
      </c>
    </row>
    <row r="56" spans="1:8" x14ac:dyDescent="0.25">
      <c r="A56" s="9" t="s">
        <v>1145</v>
      </c>
      <c r="B56" s="9" t="s">
        <v>1135</v>
      </c>
      <c r="C56">
        <v>3</v>
      </c>
      <c r="D56">
        <v>75</v>
      </c>
      <c r="E56">
        <v>2011</v>
      </c>
      <c r="F56" s="9" t="s">
        <v>1153</v>
      </c>
      <c r="H56" s="20" t="str">
        <f t="shared" si="0"/>
        <v>(nextval('obj_part_id_seq'), (select id from obj_building_v where zip||'|'||street||'|'||name||'|'||volume = '8479|Feldistrasse 6/8|Laubenhuus|3490.00'), 'P54', 3, 75, 2011,'Einzelne Apparate wurden ersetzt'),</v>
      </c>
    </row>
    <row r="57" spans="1:8" x14ac:dyDescent="0.25">
      <c r="A57" s="9" t="s">
        <v>1145</v>
      </c>
      <c r="B57" s="9" t="s">
        <v>1137</v>
      </c>
      <c r="C57">
        <v>4</v>
      </c>
      <c r="D57">
        <v>70</v>
      </c>
      <c r="E57">
        <v>2011</v>
      </c>
      <c r="F57" s="9" t="s">
        <v>1154</v>
      </c>
      <c r="H57" s="20" t="str">
        <f t="shared" si="0"/>
        <v>(nextval('obj_part_id_seq'), (select id from obj_building_v where zip||'|'||street||'|'||name||'|'||volume = '8479|Feldistrasse 6/8|Laubenhuus|3490.00'), 'P55', 4, 70, 2011,'tw. braunes Wasser (WW)'),</v>
      </c>
    </row>
    <row r="58" spans="1:8" x14ac:dyDescent="0.25">
      <c r="A58" s="9" t="s">
        <v>1145</v>
      </c>
      <c r="B58" s="9" t="s">
        <v>1155</v>
      </c>
      <c r="C58">
        <v>0</v>
      </c>
      <c r="D58" t="s">
        <v>4080</v>
      </c>
      <c r="E58">
        <v>2011</v>
      </c>
      <c r="F58" s="9"/>
      <c r="H58" s="20" t="str">
        <f t="shared" si="0"/>
        <v>(nextval('obj_part_id_seq'), (select id from obj_building_v where zip||'|'||street||'|'||name||'|'||volume = '8479|Feldistrasse 6/8|Laubenhuus|3490.00'), 'P56', 0, null, 2011,null),</v>
      </c>
    </row>
    <row r="59" spans="1:8" x14ac:dyDescent="0.25">
      <c r="A59" s="9" t="s">
        <v>1145</v>
      </c>
      <c r="B59" s="9" t="s">
        <v>1138</v>
      </c>
      <c r="C59">
        <v>9</v>
      </c>
      <c r="D59">
        <v>90</v>
      </c>
      <c r="E59">
        <v>2011</v>
      </c>
      <c r="F59" s="9"/>
      <c r="H59" s="20" t="str">
        <f t="shared" si="0"/>
        <v>(nextval('obj_part_id_seq'), (select id from obj_building_v where zip||'|'||street||'|'||name||'|'||volume = '8479|Feldistrasse 6/8|Laubenhuus|3490.00'), 'P57', 9, 90, 2011,null),</v>
      </c>
    </row>
    <row r="60" spans="1:8" x14ac:dyDescent="0.25">
      <c r="A60" s="9" t="s">
        <v>1145</v>
      </c>
      <c r="B60" s="9" t="s">
        <v>1140</v>
      </c>
      <c r="C60">
        <v>8</v>
      </c>
      <c r="D60">
        <v>80</v>
      </c>
      <c r="E60">
        <v>2011</v>
      </c>
      <c r="F60" s="9" t="s">
        <v>1156</v>
      </c>
      <c r="H60" s="20" t="str">
        <f t="shared" si="0"/>
        <v>(nextval('obj_part_id_seq'), (select id from obj_building_v where zip||'|'||street||'|'||name||'|'||volume = '8479|Feldistrasse 6/8|Laubenhuus|3490.00'), 'P58', 8, 80, 2011,'Wände und Decken verputzt und gestrichen, Böden Keramik, Parkett und Laminat'),</v>
      </c>
    </row>
    <row r="61" spans="1:8" x14ac:dyDescent="0.25">
      <c r="A61" s="9" t="s">
        <v>1145</v>
      </c>
      <c r="B61" s="9" t="s">
        <v>1157</v>
      </c>
      <c r="C61">
        <v>4</v>
      </c>
      <c r="D61">
        <v>75</v>
      </c>
      <c r="E61">
        <v>2011</v>
      </c>
      <c r="F61" s="9" t="s">
        <v>1158</v>
      </c>
      <c r="H61" s="20" t="str">
        <f t="shared" si="0"/>
        <v>(nextval('obj_part_id_seq'), (select id from obj_building_v where zip||'|'||street||'|'||name||'|'||volume = '8479|Feldistrasse 6/8|Laubenhuus|3490.00'), 'P59', 4, 75, 2011,'GSP neuer, KS+KH älter, aber funktionstüchtig'),</v>
      </c>
    </row>
    <row r="62" spans="1:8" x14ac:dyDescent="0.25">
      <c r="A62" s="9" t="s">
        <v>1145</v>
      </c>
      <c r="B62" s="9" t="s">
        <v>1142</v>
      </c>
      <c r="C62">
        <v>0</v>
      </c>
      <c r="D62" t="s">
        <v>4080</v>
      </c>
      <c r="E62">
        <v>2011</v>
      </c>
      <c r="F62" s="9"/>
      <c r="H62" s="20" t="str">
        <f t="shared" si="0"/>
        <v>(nextval('obj_part_id_seq'), (select id from obj_building_v where zip||'|'||street||'|'||name||'|'||volume = '8479|Feldistrasse 6/8|Laubenhuus|3490.00'), 'P60', 0, null, 2011,null),</v>
      </c>
    </row>
    <row r="63" spans="1:8" x14ac:dyDescent="0.25">
      <c r="A63" s="9" t="s">
        <v>1145</v>
      </c>
      <c r="B63" s="9" t="s">
        <v>1143</v>
      </c>
      <c r="C63">
        <v>0</v>
      </c>
      <c r="D63" t="s">
        <v>4080</v>
      </c>
      <c r="E63">
        <v>2011</v>
      </c>
      <c r="F63" s="9"/>
      <c r="H63" s="20" t="str">
        <f t="shared" si="0"/>
        <v>(nextval('obj_part_id_seq'), (select id from obj_building_v where zip||'|'||street||'|'||name||'|'||volume = '8479|Feldistrasse 6/8|Laubenhuus|3490.00'), 'P61', 0, null, 2011,null),</v>
      </c>
    </row>
    <row r="64" spans="1:8" x14ac:dyDescent="0.25">
      <c r="A64" s="9" t="s">
        <v>1145</v>
      </c>
      <c r="B64" s="9" t="s">
        <v>1144</v>
      </c>
      <c r="C64">
        <v>0</v>
      </c>
      <c r="D64" t="s">
        <v>4080</v>
      </c>
      <c r="E64">
        <v>2011</v>
      </c>
      <c r="F64" s="9"/>
      <c r="H64" s="20" t="str">
        <f t="shared" si="0"/>
        <v>(nextval('obj_part_id_seq'), (select id from obj_building_v where zip||'|'||street||'|'||name||'|'||volume = '8479|Feldistrasse 6/8|Laubenhuus|3490.00'), 'P62', 0, null, 2011,null),</v>
      </c>
    </row>
    <row r="65" spans="1:8" x14ac:dyDescent="0.25">
      <c r="A65" s="9" t="s">
        <v>1159</v>
      </c>
      <c r="B65" s="9" t="s">
        <v>1127</v>
      </c>
      <c r="C65">
        <v>41</v>
      </c>
      <c r="D65">
        <v>100</v>
      </c>
      <c r="E65">
        <v>2011</v>
      </c>
      <c r="F65" s="9" t="s">
        <v>1160</v>
      </c>
      <c r="H65" s="20" t="str">
        <f t="shared" si="0"/>
        <v>(nextval('obj_part_id_seq'), (select id from obj_building_v where zip||'|'||street||'|'||name||'|'||volume = '8266|Feldbach|Oberstufenschulhaus Feldbach|18099.00'), 'P48', 41, 100, 2011,'Stahlbeton, Stahlstützen verkleidet und gestrichen'),</v>
      </c>
    </row>
    <row r="66" spans="1:8" x14ac:dyDescent="0.25">
      <c r="A66" s="9" t="s">
        <v>1159</v>
      </c>
      <c r="B66" s="9" t="s">
        <v>1129</v>
      </c>
      <c r="C66">
        <v>0</v>
      </c>
      <c r="D66" t="s">
        <v>4080</v>
      </c>
      <c r="E66">
        <v>2011</v>
      </c>
      <c r="F66" s="9"/>
      <c r="H66" s="20" t="str">
        <f t="shared" si="0"/>
        <v>(nextval('obj_part_id_seq'), (select id from obj_building_v where zip||'|'||street||'|'||name||'|'||volume = '8266|Feldbach|Oberstufenschulhaus Feldbach|18099.00'), 'P49', 0, null, 2011,null),</v>
      </c>
    </row>
    <row r="67" spans="1:8" x14ac:dyDescent="0.25">
      <c r="A67" s="9" t="s">
        <v>1159</v>
      </c>
      <c r="B67" s="9" t="s">
        <v>1097</v>
      </c>
      <c r="C67">
        <v>0</v>
      </c>
      <c r="D67" t="s">
        <v>4080</v>
      </c>
      <c r="E67">
        <v>2011</v>
      </c>
      <c r="F67" s="9"/>
      <c r="H67" s="20" t="str">
        <f t="shared" si="0"/>
        <v>(nextval('obj_part_id_seq'), (select id from obj_building_v where zip||'|'||street||'|'||name||'|'||volume = '8266|Feldbach|Oberstufenschulhaus Feldbach|18099.00'), 'P2', 0, null, 2011,null),</v>
      </c>
    </row>
    <row r="68" spans="1:8" x14ac:dyDescent="0.25">
      <c r="A68" s="9" t="s">
        <v>1159</v>
      </c>
      <c r="B68" s="9" t="s">
        <v>1099</v>
      </c>
      <c r="C68">
        <v>8</v>
      </c>
      <c r="D68">
        <v>90</v>
      </c>
      <c r="E68">
        <v>2011</v>
      </c>
      <c r="F68" s="9" t="s">
        <v>1161</v>
      </c>
      <c r="H68" s="20" t="str">
        <f t="shared" si="0"/>
        <v>(nextval('obj_part_id_seq'), (select id from obj_building_v where zip||'|'||street||'|'||name||'|'||volume = '8266|Feldbach|Oberstufenschulhaus Feldbach|18099.00'), 'P3', 8, 90, 2011,'nicht begrünt, z.T. Terrassen und Sonnenkollektoren'),</v>
      </c>
    </row>
    <row r="69" spans="1:8" x14ac:dyDescent="0.25">
      <c r="A69" s="9" t="s">
        <v>1159</v>
      </c>
      <c r="B69" s="9" t="s">
        <v>1100</v>
      </c>
      <c r="C69">
        <v>7</v>
      </c>
      <c r="D69">
        <v>85</v>
      </c>
      <c r="E69">
        <v>2011</v>
      </c>
      <c r="F69" s="9" t="s">
        <v>1162</v>
      </c>
      <c r="H69" s="20" t="str">
        <f t="shared" ref="H69:H132" si="1">"(nextval('obj_part_id_seq'), (select id from obj_building_v where zip||'|'||street||'|'||name||'|'||volume = '"&amp;A69&amp;"'), '"&amp;B69&amp;"', "&amp;C69&amp;", "&amp;D69&amp;", "&amp;IF(ISBLANK(E69),"null",E69)&amp;","&amp;IF(ISBLANK(F69),"null","'"&amp;F69&amp;"'")&amp;"),"</f>
        <v>(nextval('obj_part_id_seq'), (select id from obj_building_v where zip||'|'||street||'|'||name||'|'||volume = '8266|Feldbach|Oberstufenschulhaus Feldbach|18099.00'), 'P4', 7, 85, 2011,'Aussenwärmedämmung, verputzt'),</v>
      </c>
    </row>
    <row r="70" spans="1:8" x14ac:dyDescent="0.25">
      <c r="A70" s="9" t="s">
        <v>1159</v>
      </c>
      <c r="B70" s="9" t="s">
        <v>1102</v>
      </c>
      <c r="C70">
        <v>10</v>
      </c>
      <c r="D70">
        <v>90</v>
      </c>
      <c r="E70">
        <v>2011</v>
      </c>
      <c r="F70" s="9" t="s">
        <v>1163</v>
      </c>
      <c r="H70" s="20" t="str">
        <f t="shared" si="1"/>
        <v>(nextval('obj_part_id_seq'), (select id from obj_building_v where zip||'|'||street||'|'||name||'|'||volume = '8266|Feldbach|Oberstufenschulhaus Feldbach|18099.00'), 'P5', 10, 90, 2011,'Holzfenster mit zus. Glas auf Rahmen'),</v>
      </c>
    </row>
    <row r="71" spans="1:8" x14ac:dyDescent="0.25">
      <c r="A71" s="9" t="s">
        <v>1159</v>
      </c>
      <c r="B71" s="9" t="s">
        <v>1164</v>
      </c>
      <c r="C71">
        <v>6</v>
      </c>
      <c r="D71">
        <v>100</v>
      </c>
      <c r="E71">
        <v>2011</v>
      </c>
      <c r="F71" s="9" t="s">
        <v>1165</v>
      </c>
      <c r="H71" s="20" t="str">
        <f t="shared" si="1"/>
        <v>(nextval('obj_part_id_seq'), (select id from obj_building_v where zip||'|'||street||'|'||name||'|'||volume = '8266|Feldbach|Oberstufenschulhaus Feldbach|18099.00'), 'P50', 6, 100, 2011,'Zeitgem. Beleuchtung mit genügender Ausleuchtung, dimmbar'),</v>
      </c>
    </row>
    <row r="72" spans="1:8" x14ac:dyDescent="0.25">
      <c r="A72" s="9" t="s">
        <v>1159</v>
      </c>
      <c r="B72" s="9" t="s">
        <v>1166</v>
      </c>
      <c r="C72">
        <v>1</v>
      </c>
      <c r="D72">
        <v>100</v>
      </c>
      <c r="E72">
        <v>2011</v>
      </c>
      <c r="F72" s="9" t="s">
        <v>1167</v>
      </c>
      <c r="H72" s="20" t="str">
        <f t="shared" si="1"/>
        <v>(nextval('obj_part_id_seq'), (select id from obj_building_v where zip||'|'||street||'|'||name||'|'||volume = '8266|Feldbach|Oberstufenschulhaus Feldbach|18099.00'), 'P51', 1, 100, 2011,'Lautsprecheranlage, Beamer in KZ'),</v>
      </c>
    </row>
    <row r="73" spans="1:8" x14ac:dyDescent="0.25">
      <c r="A73" s="9" t="s">
        <v>1159</v>
      </c>
      <c r="B73" s="9" t="s">
        <v>1104</v>
      </c>
      <c r="C73">
        <v>1</v>
      </c>
      <c r="D73">
        <v>90</v>
      </c>
      <c r="E73">
        <v>2011</v>
      </c>
      <c r="F73" s="9" t="s">
        <v>1168</v>
      </c>
      <c r="H73" s="20" t="str">
        <f t="shared" si="1"/>
        <v>(nextval('obj_part_id_seq'), (select id from obj_building_v where zip||'|'||street||'|'||name||'|'||volume = '8266|Feldbach|Oberstufenschulhaus Feldbach|18099.00'), 'P6', 1, 90, 2011,'Holzschnitzelfeuerungsanlage, 2 Öfen und WRG'),</v>
      </c>
    </row>
    <row r="74" spans="1:8" x14ac:dyDescent="0.25">
      <c r="A74" s="9" t="s">
        <v>1159</v>
      </c>
      <c r="B74" s="9" t="s">
        <v>1106</v>
      </c>
      <c r="C74">
        <v>3</v>
      </c>
      <c r="D74">
        <v>90</v>
      </c>
      <c r="E74">
        <v>2011</v>
      </c>
      <c r="F74" s="9" t="s">
        <v>1107</v>
      </c>
      <c r="H74" s="20" t="str">
        <f t="shared" si="1"/>
        <v>(nextval('obj_part_id_seq'), (select id from obj_building_v where zip||'|'||street||'|'||name||'|'||volume = '8266|Feldbach|Oberstufenschulhaus Feldbach|18099.00'), 'P7', 3, 90, 2011,'Radiatoren mit Thermostaten'),</v>
      </c>
    </row>
    <row r="75" spans="1:8" x14ac:dyDescent="0.25">
      <c r="A75" s="9" t="s">
        <v>1159</v>
      </c>
      <c r="B75" s="9" t="s">
        <v>1108</v>
      </c>
      <c r="C75">
        <v>4</v>
      </c>
      <c r="D75">
        <v>90</v>
      </c>
      <c r="E75">
        <v>2011</v>
      </c>
      <c r="F75" s="9" t="s">
        <v>1169</v>
      </c>
      <c r="H75" s="20" t="str">
        <f t="shared" si="1"/>
        <v>(nextval('obj_part_id_seq'), (select id from obj_building_v where zip||'|'||street||'|'||name||'|'||volume = '8266|Feldbach|Oberstufenschulhaus Feldbach|18099.00'), 'P8', 4, 90, 2011,'Fäkalienpumpe, da ARA höher gelegen'),</v>
      </c>
    </row>
    <row r="76" spans="1:8" x14ac:dyDescent="0.25">
      <c r="A76" s="9" t="s">
        <v>1159</v>
      </c>
      <c r="B76" s="9" t="s">
        <v>1138</v>
      </c>
      <c r="C76">
        <v>11</v>
      </c>
      <c r="D76">
        <v>90</v>
      </c>
      <c r="E76">
        <v>2011</v>
      </c>
      <c r="F76" s="9" t="s">
        <v>1170</v>
      </c>
      <c r="H76" s="20" t="str">
        <f t="shared" si="1"/>
        <v>(nextval('obj_part_id_seq'), (select id from obj_building_v where zip||'|'||street||'|'||name||'|'||volume = '8266|Feldbach|Oberstufenschulhaus Feldbach|18099.00'), 'P57', 11, 90, 2011,'Einbauschränke KH-beschichtet, innenliegende Oblichter bei KZ'),</v>
      </c>
    </row>
    <row r="77" spans="1:8" x14ac:dyDescent="0.25">
      <c r="A77" s="9" t="s">
        <v>1159</v>
      </c>
      <c r="B77" s="9" t="s">
        <v>1140</v>
      </c>
      <c r="C77">
        <v>8</v>
      </c>
      <c r="D77">
        <v>90</v>
      </c>
      <c r="E77">
        <v>2011</v>
      </c>
      <c r="F77" s="9" t="s">
        <v>1171</v>
      </c>
      <c r="H77" s="20" t="str">
        <f t="shared" si="1"/>
        <v>(nextval('obj_part_id_seq'), (select id from obj_building_v where zip||'|'||street||'|'||name||'|'||volume = '8266|Feldbach|Oberstufenschulhaus Feldbach|18099.00'), 'P58', 8, 90, 2011,'Holzzementböden, Wände Sichtbeton'),</v>
      </c>
    </row>
    <row r="78" spans="1:8" x14ac:dyDescent="0.25">
      <c r="A78" s="9" t="s">
        <v>1159</v>
      </c>
      <c r="B78" s="9" t="s">
        <v>1142</v>
      </c>
      <c r="C78">
        <v>0</v>
      </c>
      <c r="D78" t="s">
        <v>4080</v>
      </c>
      <c r="E78">
        <v>2011</v>
      </c>
      <c r="F78" s="9"/>
      <c r="H78" s="20" t="str">
        <f t="shared" si="1"/>
        <v>(nextval('obj_part_id_seq'), (select id from obj_building_v where zip||'|'||street||'|'||name||'|'||volume = '8266|Feldbach|Oberstufenschulhaus Feldbach|18099.00'), 'P60', 0, null, 2011,null),</v>
      </c>
    </row>
    <row r="79" spans="1:8" x14ac:dyDescent="0.25">
      <c r="A79" s="9" t="s">
        <v>1159</v>
      </c>
      <c r="B79" s="9" t="s">
        <v>1143</v>
      </c>
      <c r="C79">
        <v>0</v>
      </c>
      <c r="D79" t="s">
        <v>4080</v>
      </c>
      <c r="E79">
        <v>2011</v>
      </c>
      <c r="F79" s="9"/>
      <c r="H79" s="20" t="str">
        <f t="shared" si="1"/>
        <v>(nextval('obj_part_id_seq'), (select id from obj_building_v where zip||'|'||street||'|'||name||'|'||volume = '8266|Feldbach|Oberstufenschulhaus Feldbach|18099.00'), 'P61', 0, null, 2011,null),</v>
      </c>
    </row>
    <row r="80" spans="1:8" x14ac:dyDescent="0.25">
      <c r="A80" s="9" t="s">
        <v>1159</v>
      </c>
      <c r="B80" s="9" t="s">
        <v>1144</v>
      </c>
      <c r="C80">
        <v>0</v>
      </c>
      <c r="D80" t="s">
        <v>4080</v>
      </c>
      <c r="E80">
        <v>2011</v>
      </c>
      <c r="F80" s="9"/>
      <c r="H80" s="20" t="str">
        <f t="shared" si="1"/>
        <v>(nextval('obj_part_id_seq'), (select id from obj_building_v where zip||'|'||street||'|'||name||'|'||volume = '8266|Feldbach|Oberstufenschulhaus Feldbach|18099.00'), 'P62', 0, null, 2011,null),</v>
      </c>
    </row>
    <row r="81" spans="1:8" x14ac:dyDescent="0.25">
      <c r="A81" s="9" t="s">
        <v>1172</v>
      </c>
      <c r="B81" s="9" t="s">
        <v>1127</v>
      </c>
      <c r="C81">
        <v>41</v>
      </c>
      <c r="D81">
        <v>90</v>
      </c>
      <c r="E81">
        <v>2011</v>
      </c>
      <c r="F81" s="9"/>
      <c r="H81" s="20" t="str">
        <f t="shared" si="1"/>
        <v>(nextval('obj_part_id_seq'), (select id from obj_building_v where zip||'|'||street||'|'||name||'|'||volume = '8266|Frauenfelderstrasse 10|Hub gelb|3558.00'), 'P48', 41, 90, 2011,null),</v>
      </c>
    </row>
    <row r="82" spans="1:8" x14ac:dyDescent="0.25">
      <c r="A82" s="9" t="s">
        <v>1172</v>
      </c>
      <c r="B82" s="9" t="s">
        <v>1129</v>
      </c>
      <c r="C82">
        <v>0</v>
      </c>
      <c r="D82" t="s">
        <v>4080</v>
      </c>
      <c r="E82">
        <v>2011</v>
      </c>
      <c r="F82" s="9"/>
      <c r="H82" s="20" t="str">
        <f t="shared" si="1"/>
        <v>(nextval('obj_part_id_seq'), (select id from obj_building_v where zip||'|'||street||'|'||name||'|'||volume = '8266|Frauenfelderstrasse 10|Hub gelb|3558.00'), 'P49', 0, null, 2011,null),</v>
      </c>
    </row>
    <row r="83" spans="1:8" x14ac:dyDescent="0.25">
      <c r="A83" s="9" t="s">
        <v>1172</v>
      </c>
      <c r="B83" s="9" t="s">
        <v>1097</v>
      </c>
      <c r="C83">
        <v>8</v>
      </c>
      <c r="D83">
        <v>100</v>
      </c>
      <c r="E83">
        <v>2011</v>
      </c>
      <c r="F83" s="9" t="s">
        <v>1173</v>
      </c>
      <c r="H83" s="20" t="str">
        <f t="shared" si="1"/>
        <v>(nextval('obj_part_id_seq'), (select id from obj_building_v where zip||'|'||street||'|'||name||'|'||volume = '8266|Frauenfelderstrasse 10|Hub gelb|3558.00'), 'P2', 8, 100, 2011,'Ziegeldach neu (2011)'),</v>
      </c>
    </row>
    <row r="84" spans="1:8" x14ac:dyDescent="0.25">
      <c r="A84" s="9" t="s">
        <v>1172</v>
      </c>
      <c r="B84" s="9" t="s">
        <v>1099</v>
      </c>
      <c r="C84">
        <v>0</v>
      </c>
      <c r="D84" t="s">
        <v>4080</v>
      </c>
      <c r="E84">
        <v>2011</v>
      </c>
      <c r="F84" s="9"/>
      <c r="H84" s="20" t="str">
        <f t="shared" si="1"/>
        <v>(nextval('obj_part_id_seq'), (select id from obj_building_v where zip||'|'||street||'|'||name||'|'||volume = '8266|Frauenfelderstrasse 10|Hub gelb|3558.00'), 'P3', 0, null, 2011,null),</v>
      </c>
    </row>
    <row r="85" spans="1:8" x14ac:dyDescent="0.25">
      <c r="A85" s="9" t="s">
        <v>1172</v>
      </c>
      <c r="B85" s="9" t="s">
        <v>1100</v>
      </c>
      <c r="C85">
        <v>7</v>
      </c>
      <c r="D85">
        <v>90</v>
      </c>
      <c r="E85">
        <v>2011</v>
      </c>
      <c r="F85" s="9" t="s">
        <v>1162</v>
      </c>
      <c r="H85" s="20" t="str">
        <f t="shared" si="1"/>
        <v>(nextval('obj_part_id_seq'), (select id from obj_building_v where zip||'|'||street||'|'||name||'|'||volume = '8266|Frauenfelderstrasse 10|Hub gelb|3558.00'), 'P4', 7, 90, 2011,'Aussenwärmedämmung, verputzt'),</v>
      </c>
    </row>
    <row r="86" spans="1:8" x14ac:dyDescent="0.25">
      <c r="A86" s="9" t="s">
        <v>1172</v>
      </c>
      <c r="B86" s="9" t="s">
        <v>1102</v>
      </c>
      <c r="C86">
        <v>10</v>
      </c>
      <c r="D86">
        <v>80</v>
      </c>
      <c r="E86">
        <v>2011</v>
      </c>
      <c r="F86" s="9" t="s">
        <v>1174</v>
      </c>
      <c r="H86" s="20" t="str">
        <f t="shared" si="1"/>
        <v>(nextval('obj_part_id_seq'), (select id from obj_building_v where zip||'|'||street||'|'||name||'|'||volume = '8266|Frauenfelderstrasse 10|Hub gelb|3558.00'), 'P5', 10, 80, 2011,'Alufenster iim UG (1988), Klapprollläden'),</v>
      </c>
    </row>
    <row r="87" spans="1:8" x14ac:dyDescent="0.25">
      <c r="A87" s="9" t="s">
        <v>1172</v>
      </c>
      <c r="B87" s="9" t="s">
        <v>1164</v>
      </c>
      <c r="C87">
        <v>6</v>
      </c>
      <c r="D87">
        <v>90</v>
      </c>
      <c r="E87">
        <v>2011</v>
      </c>
      <c r="F87" s="9" t="s">
        <v>1175</v>
      </c>
      <c r="H87" s="20" t="str">
        <f t="shared" si="1"/>
        <v>(nextval('obj_part_id_seq'), (select id from obj_building_v where zip||'|'||street||'|'||name||'|'||volume = '8266|Frauenfelderstrasse 10|Hub gelb|3558.00'), 'P50', 6, 90, 2011,'Beleuchtung neu (2005)'),</v>
      </c>
    </row>
    <row r="88" spans="1:8" x14ac:dyDescent="0.25">
      <c r="A88" s="9" t="s">
        <v>1172</v>
      </c>
      <c r="B88" s="9" t="s">
        <v>1166</v>
      </c>
      <c r="C88">
        <v>1</v>
      </c>
      <c r="D88">
        <v>90</v>
      </c>
      <c r="E88">
        <v>2011</v>
      </c>
      <c r="F88" s="9" t="s">
        <v>1176</v>
      </c>
      <c r="H88" s="20" t="str">
        <f t="shared" si="1"/>
        <v>(nextval('obj_part_id_seq'), (select id from obj_building_v where zip||'|'||street||'|'||name||'|'||volume = '8266|Frauenfelderstrasse 10|Hub gelb|3558.00'), 'P51', 1, 90, 2011,'EDV: Server (2005)\nTelefonanlage i.O.'),</v>
      </c>
    </row>
    <row r="89" spans="1:8" x14ac:dyDescent="0.25">
      <c r="A89" s="9" t="s">
        <v>1172</v>
      </c>
      <c r="B89" s="9" t="s">
        <v>1104</v>
      </c>
      <c r="C89">
        <v>1</v>
      </c>
      <c r="D89">
        <v>90</v>
      </c>
      <c r="E89">
        <v>2011</v>
      </c>
      <c r="F89" s="9" t="s">
        <v>1177</v>
      </c>
      <c r="H89" s="20" t="str">
        <f t="shared" si="1"/>
        <v>(nextval('obj_part_id_seq'), (select id from obj_building_v where zip||'|'||street||'|'||name||'|'||volume = '8266|Frauenfelderstrasse 10|Hub gelb|3558.00'), 'P6', 1, 90, 2011,'Gastherme (2005)'),</v>
      </c>
    </row>
    <row r="90" spans="1:8" x14ac:dyDescent="0.25">
      <c r="A90" s="9" t="s">
        <v>1172</v>
      </c>
      <c r="B90" s="9" t="s">
        <v>1106</v>
      </c>
      <c r="C90">
        <v>3</v>
      </c>
      <c r="D90">
        <v>90</v>
      </c>
      <c r="E90">
        <v>2011</v>
      </c>
      <c r="F90" s="9" t="s">
        <v>1107</v>
      </c>
      <c r="H90" s="20" t="str">
        <f t="shared" si="1"/>
        <v>(nextval('obj_part_id_seq'), (select id from obj_building_v where zip||'|'||street||'|'||name||'|'||volume = '8266|Frauenfelderstrasse 10|Hub gelb|3558.00'), 'P7', 3, 90, 2011,'Radiatoren mit Thermostaten'),</v>
      </c>
    </row>
    <row r="91" spans="1:8" x14ac:dyDescent="0.25">
      <c r="A91" s="9" t="s">
        <v>1172</v>
      </c>
      <c r="B91" s="9" t="s">
        <v>1108</v>
      </c>
      <c r="C91">
        <v>4</v>
      </c>
      <c r="D91">
        <v>90</v>
      </c>
      <c r="E91">
        <v>2011</v>
      </c>
      <c r="F91" s="9" t="s">
        <v>1178</v>
      </c>
      <c r="H91" s="20" t="str">
        <f t="shared" si="1"/>
        <v>(nextval('obj_part_id_seq'), (select id from obj_building_v where zip||'|'||street||'|'||name||'|'||volume = '8266|Frauenfelderstrasse 10|Hub gelb|3558.00'), 'P8', 4, 90, 2011,'Schulküche'),</v>
      </c>
    </row>
    <row r="92" spans="1:8" x14ac:dyDescent="0.25">
      <c r="A92" s="9" t="s">
        <v>1172</v>
      </c>
      <c r="B92" s="9" t="s">
        <v>1138</v>
      </c>
      <c r="C92">
        <v>11</v>
      </c>
      <c r="D92">
        <v>90</v>
      </c>
      <c r="E92">
        <v>2011</v>
      </c>
      <c r="F92" s="9" t="s">
        <v>1179</v>
      </c>
      <c r="H92" s="20" t="str">
        <f t="shared" si="1"/>
        <v>(nextval('obj_part_id_seq'), (select id from obj_building_v where zip||'|'||street||'|'||name||'|'||volume = '8266|Frauenfelderstrasse 10|Hub gelb|3558.00'), 'P57', 11, 90, 2011,'Einbauschränke i.O.'),</v>
      </c>
    </row>
    <row r="93" spans="1:8" x14ac:dyDescent="0.25">
      <c r="A93" s="9" t="s">
        <v>1172</v>
      </c>
      <c r="B93" s="9" t="s">
        <v>1140</v>
      </c>
      <c r="C93">
        <v>8</v>
      </c>
      <c r="D93">
        <v>90</v>
      </c>
      <c r="E93">
        <v>2011</v>
      </c>
      <c r="F93" s="9" t="s">
        <v>1180</v>
      </c>
      <c r="H93" s="20" t="str">
        <f t="shared" si="1"/>
        <v>(nextval('obj_part_id_seq'), (select id from obj_building_v where zip||'|'||street||'|'||name||'|'||volume = '8266|Frauenfelderstrasse 10|Hub gelb|3558.00'), 'P58', 8, 90, 2011,'Böden: Linoleum, Keramik, Kunststeintreppen und -gänge\nWände: Keramik und Putz\nDecken: Akustikplatten in KZ und Gänge'),</v>
      </c>
    </row>
    <row r="94" spans="1:8" x14ac:dyDescent="0.25">
      <c r="A94" s="9" t="s">
        <v>1172</v>
      </c>
      <c r="B94" s="9" t="s">
        <v>1142</v>
      </c>
      <c r="C94">
        <v>0</v>
      </c>
      <c r="D94" t="s">
        <v>4080</v>
      </c>
      <c r="E94">
        <v>2011</v>
      </c>
      <c r="F94" s="9"/>
      <c r="H94" s="20" t="str">
        <f t="shared" si="1"/>
        <v>(nextval('obj_part_id_seq'), (select id from obj_building_v where zip||'|'||street||'|'||name||'|'||volume = '8266|Frauenfelderstrasse 10|Hub gelb|3558.00'), 'P60', 0, null, 2011,null),</v>
      </c>
    </row>
    <row r="95" spans="1:8" x14ac:dyDescent="0.25">
      <c r="A95" s="9" t="s">
        <v>1172</v>
      </c>
      <c r="B95" s="9" t="s">
        <v>1143</v>
      </c>
      <c r="C95">
        <v>0</v>
      </c>
      <c r="D95" t="s">
        <v>4080</v>
      </c>
      <c r="E95">
        <v>2011</v>
      </c>
      <c r="F95" s="9"/>
      <c r="H95" s="20" t="str">
        <f t="shared" si="1"/>
        <v>(nextval('obj_part_id_seq'), (select id from obj_building_v where zip||'|'||street||'|'||name||'|'||volume = '8266|Frauenfelderstrasse 10|Hub gelb|3558.00'), 'P61', 0, null, 2011,null),</v>
      </c>
    </row>
    <row r="96" spans="1:8" x14ac:dyDescent="0.25">
      <c r="A96" s="9" t="s">
        <v>1172</v>
      </c>
      <c r="B96" s="9" t="s">
        <v>1144</v>
      </c>
      <c r="C96">
        <v>0</v>
      </c>
      <c r="D96" t="s">
        <v>4080</v>
      </c>
      <c r="E96">
        <v>2011</v>
      </c>
      <c r="F96" s="9"/>
      <c r="H96" s="20" t="str">
        <f t="shared" si="1"/>
        <v>(nextval('obj_part_id_seq'), (select id from obj_building_v where zip||'|'||street||'|'||name||'|'||volume = '8266|Frauenfelderstrasse 10|Hub gelb|3558.00'), 'P62', 0, null, 2011,null),</v>
      </c>
    </row>
    <row r="97" spans="1:8" x14ac:dyDescent="0.25">
      <c r="A97" s="9" t="s">
        <v>1181</v>
      </c>
      <c r="B97" s="9" t="s">
        <v>1127</v>
      </c>
      <c r="C97">
        <v>41</v>
      </c>
      <c r="D97">
        <v>80</v>
      </c>
      <c r="E97">
        <v>2011</v>
      </c>
      <c r="F97" s="9" t="s">
        <v>1182</v>
      </c>
      <c r="H97" s="20" t="str">
        <f t="shared" si="1"/>
        <v>(nextval('obj_part_id_seq'), (select id from obj_building_v where zip||'|'||street||'|'||name||'|'||volume = '8266|Seestrasse 126|Seeschulhaus|4193.00'), 'P48', 41, 80, 2011,'Vermutlich massives (Naturstein-?)Mauerwerk, unisoliert, im UG und OG mit Rissen,  (Hourdis-?) und/oder Holzbalkendecken, Holztreppen'),</v>
      </c>
    </row>
    <row r="98" spans="1:8" x14ac:dyDescent="0.25">
      <c r="A98" s="9" t="s">
        <v>1181</v>
      </c>
      <c r="B98" s="9" t="s">
        <v>1129</v>
      </c>
      <c r="C98">
        <v>0</v>
      </c>
      <c r="D98" t="s">
        <v>4080</v>
      </c>
      <c r="E98">
        <v>2011</v>
      </c>
      <c r="F98" s="9"/>
      <c r="H98" s="20" t="str">
        <f t="shared" si="1"/>
        <v>(nextval('obj_part_id_seq'), (select id from obj_building_v where zip||'|'||street||'|'||name||'|'||volume = '8266|Seestrasse 126|Seeschulhaus|4193.00'), 'P49', 0, null, 2011,null),</v>
      </c>
    </row>
    <row r="99" spans="1:8" x14ac:dyDescent="0.25">
      <c r="A99" s="9" t="s">
        <v>1181</v>
      </c>
      <c r="B99" s="9" t="s">
        <v>1097</v>
      </c>
      <c r="C99">
        <v>8</v>
      </c>
      <c r="D99">
        <v>85</v>
      </c>
      <c r="E99">
        <v>2011</v>
      </c>
      <c r="F99" s="9" t="s">
        <v>1183</v>
      </c>
      <c r="H99" s="20" t="str">
        <f t="shared" si="1"/>
        <v>(nextval('obj_part_id_seq'), (select id from obj_building_v where zip||'|'||street||'|'||name||'|'||volume = '8266|Seestrasse 126|Seeschulhaus|4193.00'), 'P2', 8, 85, 2011,'Biberschwanzziegel, Unterdach wurde kürzlich erneuert. Spuren eines Wassereintritts sichtbar.'),</v>
      </c>
    </row>
    <row r="100" spans="1:8" x14ac:dyDescent="0.25">
      <c r="A100" s="9" t="s">
        <v>1181</v>
      </c>
      <c r="B100" s="9" t="s">
        <v>1099</v>
      </c>
      <c r="C100">
        <v>0</v>
      </c>
      <c r="D100" t="s">
        <v>4080</v>
      </c>
      <c r="E100">
        <v>2011</v>
      </c>
      <c r="F100" s="9"/>
      <c r="H100" s="20" t="str">
        <f t="shared" si="1"/>
        <v>(nextval('obj_part_id_seq'), (select id from obj_building_v where zip||'|'||street||'|'||name||'|'||volume = '8266|Seestrasse 126|Seeschulhaus|4193.00'), 'P3', 0, null, 2011,null),</v>
      </c>
    </row>
    <row r="101" spans="1:8" x14ac:dyDescent="0.25">
      <c r="A101" s="9" t="s">
        <v>1181</v>
      </c>
      <c r="B101" s="9" t="s">
        <v>1100</v>
      </c>
      <c r="C101">
        <v>7</v>
      </c>
      <c r="D101">
        <v>90</v>
      </c>
      <c r="E101">
        <v>2011</v>
      </c>
      <c r="F101" s="9" t="s">
        <v>1184</v>
      </c>
      <c r="H101" s="20" t="str">
        <f t="shared" si="1"/>
        <v>(nextval('obj_part_id_seq'), (select id from obj_building_v where zip||'|'||street||'|'||name||'|'||volume = '8266|Seestrasse 126|Seeschulhaus|4193.00'), 'P4', 7, 90, 2011,'s. Rohbau; Natursteingewände, keine Mängel feststellbar'),</v>
      </c>
    </row>
    <row r="102" spans="1:8" x14ac:dyDescent="0.25">
      <c r="A102" s="9" t="s">
        <v>1181</v>
      </c>
      <c r="B102" s="9" t="s">
        <v>1102</v>
      </c>
      <c r="C102">
        <v>10</v>
      </c>
      <c r="D102">
        <v>90</v>
      </c>
      <c r="E102">
        <v>2011</v>
      </c>
      <c r="F102" s="9" t="s">
        <v>1185</v>
      </c>
      <c r="H102" s="20" t="str">
        <f t="shared" si="1"/>
        <v>(nextval('obj_part_id_seq'), (select id from obj_building_v where zip||'|'||street||'|'||name||'|'||volume = '8266|Seestrasse 126|Seeschulhaus|4193.00'), 'P5', 10, 90, 2011,'Holzfenster IV (Glas: Silverstar N)'),</v>
      </c>
    </row>
    <row r="103" spans="1:8" x14ac:dyDescent="0.25">
      <c r="A103" s="9" t="s">
        <v>1181</v>
      </c>
      <c r="B103" s="9" t="s">
        <v>1164</v>
      </c>
      <c r="C103">
        <v>6</v>
      </c>
      <c r="D103">
        <v>90</v>
      </c>
      <c r="E103">
        <v>2011</v>
      </c>
      <c r="F103" s="9" t="s">
        <v>1186</v>
      </c>
      <c r="H103" s="20" t="str">
        <f t="shared" si="1"/>
        <v>(nextval('obj_part_id_seq'), (select id from obj_building_v where zip||'|'||street||'|'||name||'|'||volume = '8266|Seestrasse 126|Seeschulhaus|4193.00'), 'P50', 6, 90, 2011,'Elektroleitungen im UG tw. neu'),</v>
      </c>
    </row>
    <row r="104" spans="1:8" x14ac:dyDescent="0.25">
      <c r="A104" s="9" t="s">
        <v>1181</v>
      </c>
      <c r="B104" s="9" t="s">
        <v>1166</v>
      </c>
      <c r="C104">
        <v>1</v>
      </c>
      <c r="D104">
        <v>90</v>
      </c>
      <c r="E104">
        <v>2011</v>
      </c>
      <c r="F104" s="9"/>
      <c r="H104" s="20" t="str">
        <f t="shared" si="1"/>
        <v>(nextval('obj_part_id_seq'), (select id from obj_building_v where zip||'|'||street||'|'||name||'|'||volume = '8266|Seestrasse 126|Seeschulhaus|4193.00'), 'P51', 1, 90, 2011,null),</v>
      </c>
    </row>
    <row r="105" spans="1:8" x14ac:dyDescent="0.25">
      <c r="A105" s="9" t="s">
        <v>1181</v>
      </c>
      <c r="B105" s="9" t="s">
        <v>1104</v>
      </c>
      <c r="C105">
        <v>1</v>
      </c>
      <c r="D105">
        <v>85</v>
      </c>
      <c r="E105">
        <v>2011</v>
      </c>
      <c r="F105" s="9" t="s">
        <v>1187</v>
      </c>
      <c r="H105" s="20" t="str">
        <f t="shared" si="1"/>
        <v>(nextval('obj_part_id_seq'), (select id from obj_building_v where zip||'|'||street||'|'||name||'|'||volume = '8266|Seestrasse 126|Seeschulhaus|4193.00'), 'P6', 1, 85, 2011,'Hoval Ultra Gas ''04'),</v>
      </c>
    </row>
    <row r="106" spans="1:8" x14ac:dyDescent="0.25">
      <c r="A106" s="9" t="s">
        <v>1181</v>
      </c>
      <c r="B106" s="9" t="s">
        <v>1106</v>
      </c>
      <c r="C106">
        <v>3</v>
      </c>
      <c r="D106">
        <v>90</v>
      </c>
      <c r="E106">
        <v>2011</v>
      </c>
      <c r="F106" s="9"/>
      <c r="H106" s="20" t="str">
        <f t="shared" si="1"/>
        <v>(nextval('obj_part_id_seq'), (select id from obj_building_v where zip||'|'||street||'|'||name||'|'||volume = '8266|Seestrasse 126|Seeschulhaus|4193.00'), 'P7', 3, 90, 2011,null),</v>
      </c>
    </row>
    <row r="107" spans="1:8" x14ac:dyDescent="0.25">
      <c r="A107" s="9" t="s">
        <v>1181</v>
      </c>
      <c r="B107" s="9" t="s">
        <v>1108</v>
      </c>
      <c r="C107">
        <v>4</v>
      </c>
      <c r="D107">
        <v>85</v>
      </c>
      <c r="E107">
        <v>2011</v>
      </c>
      <c r="F107" s="9" t="s">
        <v>1188</v>
      </c>
      <c r="H107" s="20" t="str">
        <f t="shared" si="1"/>
        <v>(nextval('obj_part_id_seq'), (select id from obj_building_v where zip||'|'||street||'|'||name||'|'||volume = '8266|Seestrasse 126|Seeschulhaus|4193.00'), 'P8', 4, 85, 2011,'Die Leitungen sind gem. LSV intakt, der Boiler ist älter, aber funktionstüchtig, WC-Anlagen neu'),</v>
      </c>
    </row>
    <row r="108" spans="1:8" x14ac:dyDescent="0.25">
      <c r="A108" s="9" t="s">
        <v>1181</v>
      </c>
      <c r="B108" s="9" t="s">
        <v>1138</v>
      </c>
      <c r="C108">
        <v>11</v>
      </c>
      <c r="D108">
        <v>85</v>
      </c>
      <c r="E108">
        <v>2011</v>
      </c>
      <c r="F108" s="9" t="s">
        <v>1189</v>
      </c>
      <c r="H108" s="20" t="str">
        <f t="shared" si="1"/>
        <v>(nextval('obj_part_id_seq'), (select id from obj_building_v where zip||'|'||street||'|'||name||'|'||volume = '8266|Seestrasse 126|Seeschulhaus|4193.00'), 'P57', 11, 85, 2011,'Einbaukästen aus Holz'),</v>
      </c>
    </row>
    <row r="109" spans="1:8" x14ac:dyDescent="0.25">
      <c r="A109" s="9" t="s">
        <v>1181</v>
      </c>
      <c r="B109" s="9" t="s">
        <v>1140</v>
      </c>
      <c r="C109">
        <v>8</v>
      </c>
      <c r="D109">
        <v>90</v>
      </c>
      <c r="E109">
        <v>2011</v>
      </c>
      <c r="F109" s="9" t="s">
        <v>1190</v>
      </c>
      <c r="H109" s="20" t="str">
        <f t="shared" si="1"/>
        <v>(nextval('obj_part_id_seq'), (select id from obj_building_v where zip||'|'||street||'|'||name||'|'||volume = '8266|Seestrasse 126|Seeschulhaus|4193.00'), 'P58', 8, 90, 2011,'Böden: Linol\nWände: verputzt'),</v>
      </c>
    </row>
    <row r="110" spans="1:8" x14ac:dyDescent="0.25">
      <c r="A110" s="9" t="s">
        <v>1181</v>
      </c>
      <c r="B110" s="9" t="s">
        <v>1142</v>
      </c>
      <c r="C110">
        <v>0</v>
      </c>
      <c r="D110" t="s">
        <v>4080</v>
      </c>
      <c r="E110">
        <v>2011</v>
      </c>
      <c r="F110" s="9"/>
      <c r="H110" s="20" t="str">
        <f t="shared" si="1"/>
        <v>(nextval('obj_part_id_seq'), (select id from obj_building_v where zip||'|'||street||'|'||name||'|'||volume = '8266|Seestrasse 126|Seeschulhaus|4193.00'), 'P60', 0, null, 2011,null),</v>
      </c>
    </row>
    <row r="111" spans="1:8" x14ac:dyDescent="0.25">
      <c r="A111" s="9" t="s">
        <v>1181</v>
      </c>
      <c r="B111" s="9" t="s">
        <v>1143</v>
      </c>
      <c r="C111">
        <v>0</v>
      </c>
      <c r="D111" t="s">
        <v>4080</v>
      </c>
      <c r="E111">
        <v>2011</v>
      </c>
      <c r="F111" s="9"/>
      <c r="H111" s="20" t="str">
        <f t="shared" si="1"/>
        <v>(nextval('obj_part_id_seq'), (select id from obj_building_v where zip||'|'||street||'|'||name||'|'||volume = '8266|Seestrasse 126|Seeschulhaus|4193.00'), 'P61', 0, null, 2011,null),</v>
      </c>
    </row>
    <row r="112" spans="1:8" x14ac:dyDescent="0.25">
      <c r="A112" s="9" t="s">
        <v>1181</v>
      </c>
      <c r="B112" s="9" t="s">
        <v>1144</v>
      </c>
      <c r="C112">
        <v>0</v>
      </c>
      <c r="D112" t="s">
        <v>4080</v>
      </c>
      <c r="E112">
        <v>2011</v>
      </c>
      <c r="F112" s="9"/>
      <c r="H112" s="20" t="str">
        <f t="shared" si="1"/>
        <v>(nextval('obj_part_id_seq'), (select id from obj_building_v where zip||'|'||street||'|'||name||'|'||volume = '8266|Seestrasse 126|Seeschulhaus|4193.00'), 'P62', 0, null, 2011,null),</v>
      </c>
    </row>
    <row r="113" spans="1:8" x14ac:dyDescent="0.25">
      <c r="A113" s="9" t="s">
        <v>1191</v>
      </c>
      <c r="B113" s="9" t="s">
        <v>1127</v>
      </c>
      <c r="C113">
        <v>41</v>
      </c>
      <c r="D113">
        <v>90</v>
      </c>
      <c r="E113">
        <v>2011</v>
      </c>
      <c r="F113" s="9" t="s">
        <v>1192</v>
      </c>
      <c r="H113" s="20" t="str">
        <f t="shared" si="1"/>
        <v>(nextval('obj_part_id_seq'), (select id from obj_building_v where zip||'|'||street||'|'||name||'|'||volume = '8266|Feldbach|Sport- und Mehrzweckhalle|21371.00'), 'P48', 41, 90, 2011,'Stahlbeton'),</v>
      </c>
    </row>
    <row r="114" spans="1:8" x14ac:dyDescent="0.25">
      <c r="A114" s="9" t="s">
        <v>1191</v>
      </c>
      <c r="B114" s="9" t="s">
        <v>1129</v>
      </c>
      <c r="C114">
        <v>0</v>
      </c>
      <c r="D114" t="s">
        <v>4080</v>
      </c>
      <c r="E114">
        <v>2011</v>
      </c>
      <c r="F114" s="9"/>
      <c r="H114" s="20" t="str">
        <f t="shared" si="1"/>
        <v>(nextval('obj_part_id_seq'), (select id from obj_building_v where zip||'|'||street||'|'||name||'|'||volume = '8266|Feldbach|Sport- und Mehrzweckhalle|21371.00'), 'P49', 0, null, 2011,null),</v>
      </c>
    </row>
    <row r="115" spans="1:8" x14ac:dyDescent="0.25">
      <c r="A115" s="9" t="s">
        <v>1191</v>
      </c>
      <c r="B115" s="9" t="s">
        <v>1097</v>
      </c>
      <c r="C115">
        <v>5</v>
      </c>
      <c r="D115">
        <v>100</v>
      </c>
      <c r="E115">
        <v>2011</v>
      </c>
      <c r="F115" s="9" t="s">
        <v>1193</v>
      </c>
      <c r="H115" s="20" t="str">
        <f t="shared" si="1"/>
        <v>(nextval('obj_part_id_seq'), (select id from obj_building_v where zip||'|'||street||'|'||name||'|'||volume = '8266|Feldbach|Sport- und Mehrzweckhalle|21371.00'), 'P2', 5, 100, 2011,'Neues Blechdach'),</v>
      </c>
    </row>
    <row r="116" spans="1:8" x14ac:dyDescent="0.25">
      <c r="A116" s="9" t="s">
        <v>1191</v>
      </c>
      <c r="B116" s="9" t="s">
        <v>1099</v>
      </c>
      <c r="C116">
        <v>3</v>
      </c>
      <c r="D116">
        <v>100</v>
      </c>
      <c r="E116">
        <v>2011</v>
      </c>
      <c r="F116" s="9" t="s">
        <v>1194</v>
      </c>
      <c r="H116" s="20" t="str">
        <f t="shared" si="1"/>
        <v>(nextval('obj_part_id_seq'), (select id from obj_building_v where zip||'|'||street||'|'||name||'|'||volume = '8266|Feldbach|Sport- und Mehrzweckhalle|21371.00'), 'P3', 3, 100, 2011,'Kiesklebedach; saniert -&gt; neu Schrägdach'),</v>
      </c>
    </row>
    <row r="117" spans="1:8" x14ac:dyDescent="0.25">
      <c r="A117" s="9" t="s">
        <v>1191</v>
      </c>
      <c r="B117" s="9" t="s">
        <v>1100</v>
      </c>
      <c r="C117">
        <v>7</v>
      </c>
      <c r="D117">
        <v>80</v>
      </c>
      <c r="E117">
        <v>2011</v>
      </c>
      <c r="F117" s="9" t="s">
        <v>1195</v>
      </c>
      <c r="H117" s="20" t="str">
        <f t="shared" si="1"/>
        <v>(nextval('obj_part_id_seq'), (select id from obj_building_v where zip||'|'||street||'|'||name||'|'||volume = '8266|Feldbach|Sport- und Mehrzweckhalle|21371.00'), 'P4', 7, 80, 2011,'Isolierte Waschbetonelemente'),</v>
      </c>
    </row>
    <row r="118" spans="1:8" x14ac:dyDescent="0.25">
      <c r="A118" s="9" t="s">
        <v>1191</v>
      </c>
      <c r="B118" s="9" t="s">
        <v>1102</v>
      </c>
      <c r="C118">
        <v>10</v>
      </c>
      <c r="D118">
        <v>70</v>
      </c>
      <c r="E118">
        <v>2011</v>
      </c>
      <c r="F118" s="9" t="s">
        <v>1196</v>
      </c>
      <c r="H118" s="20" t="str">
        <f t="shared" si="1"/>
        <v>(nextval('obj_part_id_seq'), (select id from obj_building_v where zip||'|'||street||'|'||name||'|'||volume = '8266|Feldbach|Sport- und Mehrzweckhalle|21371.00'), 'P5', 10, 70, 2011,'Metallfenster, Gläser tw. blind'),</v>
      </c>
    </row>
    <row r="119" spans="1:8" x14ac:dyDescent="0.25">
      <c r="A119" s="9" t="s">
        <v>1191</v>
      </c>
      <c r="B119" s="9" t="s">
        <v>1164</v>
      </c>
      <c r="C119">
        <v>6</v>
      </c>
      <c r="D119">
        <v>80</v>
      </c>
      <c r="E119">
        <v>2011</v>
      </c>
      <c r="F119" s="9" t="s">
        <v>1197</v>
      </c>
      <c r="H119" s="20" t="str">
        <f t="shared" si="1"/>
        <v>(nextval('obj_part_id_seq'), (select id from obj_building_v where zip||'|'||street||'|'||name||'|'||volume = '8266|Feldbach|Sport- und Mehrzweckhalle|21371.00'), 'P50', 6, 80, 2011,'Licht Halle saniert (2000)'),</v>
      </c>
    </row>
    <row r="120" spans="1:8" x14ac:dyDescent="0.25">
      <c r="A120" s="9" t="s">
        <v>1191</v>
      </c>
      <c r="B120" s="9" t="s">
        <v>1166</v>
      </c>
      <c r="C120">
        <v>1</v>
      </c>
      <c r="D120">
        <v>80</v>
      </c>
      <c r="E120">
        <v>2011</v>
      </c>
      <c r="F120" s="9" t="s">
        <v>1198</v>
      </c>
      <c r="H120" s="20" t="str">
        <f t="shared" si="1"/>
        <v>(nextval('obj_part_id_seq'), (select id from obj_building_v where zip||'|'||street||'|'||name||'|'||volume = '8266|Feldbach|Sport- und Mehrzweckhalle|21371.00'), 'P51', 1, 80, 2011,'ältere Lautsprecheranlage'),</v>
      </c>
    </row>
    <row r="121" spans="1:8" x14ac:dyDescent="0.25">
      <c r="A121" s="9" t="s">
        <v>1191</v>
      </c>
      <c r="B121" s="9" t="s">
        <v>1104</v>
      </c>
      <c r="C121">
        <v>1</v>
      </c>
      <c r="D121">
        <v>90</v>
      </c>
      <c r="E121">
        <v>2011</v>
      </c>
      <c r="F121" s="9" t="s">
        <v>1199</v>
      </c>
      <c r="H121" s="20" t="str">
        <f t="shared" si="1"/>
        <v>(nextval('obj_part_id_seq'), (select id from obj_building_v where zip||'|'||street||'|'||name||'|'||volume = '8266|Feldbach|Sport- und Mehrzweckhalle|21371.00'), 'P6', 1, 90, 2011,'Fernwärme ''06 via Holzschnitzelfeuerungs- anlage SH mit WRG, Garderobe und Gymnastikhalle'),</v>
      </c>
    </row>
    <row r="122" spans="1:8" x14ac:dyDescent="0.25">
      <c r="A122" s="9" t="s">
        <v>1191</v>
      </c>
      <c r="B122" s="9" t="s">
        <v>1106</v>
      </c>
      <c r="C122">
        <v>3</v>
      </c>
      <c r="D122">
        <v>80</v>
      </c>
      <c r="E122">
        <v>2011</v>
      </c>
      <c r="F122" s="9" t="s">
        <v>1200</v>
      </c>
      <c r="H122" s="20" t="str">
        <f t="shared" si="1"/>
        <v>(nextval('obj_part_id_seq'), (select id from obj_building_v where zip||'|'||street||'|'||name||'|'||volume = '8266|Feldbach|Sport- und Mehrzweckhalle|21371.00'), 'P7', 3, 80, 2011,'Radiatoren / Lüftungsheiz. m. Steuerung über Aussenfühler, keine Thermaostaten'),</v>
      </c>
    </row>
    <row r="123" spans="1:8" x14ac:dyDescent="0.25">
      <c r="A123" s="9" t="s">
        <v>1191</v>
      </c>
      <c r="B123" s="9" t="s">
        <v>1108</v>
      </c>
      <c r="C123">
        <v>4</v>
      </c>
      <c r="D123">
        <v>80</v>
      </c>
      <c r="E123">
        <v>2011</v>
      </c>
      <c r="F123" s="9" t="s">
        <v>1201</v>
      </c>
      <c r="H123" s="20" t="str">
        <f t="shared" si="1"/>
        <v>(nextval('obj_part_id_seq'), (select id from obj_building_v where zip||'|'||street||'|'||name||'|'||volume = '8266|Feldbach|Sport- und Mehrzweckhalle|21371.00'), 'P8', 4, 80, 2011,'WW mit Elektroboiler und Fernwärme'),</v>
      </c>
    </row>
    <row r="124" spans="1:8" x14ac:dyDescent="0.25">
      <c r="A124" s="9" t="s">
        <v>1191</v>
      </c>
      <c r="B124" s="9" t="s">
        <v>1138</v>
      </c>
      <c r="C124">
        <v>11</v>
      </c>
      <c r="D124">
        <v>80</v>
      </c>
      <c r="E124">
        <v>2011</v>
      </c>
      <c r="F124" s="9" t="s">
        <v>1202</v>
      </c>
      <c r="H124" s="20" t="str">
        <f t="shared" si="1"/>
        <v>(nextval('obj_part_id_seq'), (select id from obj_building_v where zip||'|'||street||'|'||name||'|'||volume = '8266|Feldbach|Sport- und Mehrzweckhalle|21371.00'), 'P57', 11, 80, 2011,'Trennwände Halle neuwertig, tw. Glas-/Metall-Innenwände'),</v>
      </c>
    </row>
    <row r="125" spans="1:8" x14ac:dyDescent="0.25">
      <c r="A125" s="9" t="s">
        <v>1191</v>
      </c>
      <c r="B125" s="9" t="s">
        <v>1140</v>
      </c>
      <c r="C125">
        <v>8</v>
      </c>
      <c r="D125">
        <v>80</v>
      </c>
      <c r="E125">
        <v>2011</v>
      </c>
      <c r="F125" s="9" t="s">
        <v>1203</v>
      </c>
      <c r="H125" s="20" t="str">
        <f t="shared" si="1"/>
        <v>(nextval('obj_part_id_seq'), (select id from obj_building_v where zip||'|'||street||'|'||name||'|'||volume = '8266|Feldbach|Sport- und Mehrzweckhalle|21371.00'), 'P58', 8, 80, 2011,'Böden: Waschbeton, Wände: Sichtbeton und -mauerwerk, Täfer, Putz, Hallenboden neuw.'),</v>
      </c>
    </row>
    <row r="126" spans="1:8" x14ac:dyDescent="0.25">
      <c r="A126" s="9" t="s">
        <v>1191</v>
      </c>
      <c r="B126" s="9" t="s">
        <v>1142</v>
      </c>
      <c r="C126">
        <v>0</v>
      </c>
      <c r="D126" t="s">
        <v>4080</v>
      </c>
      <c r="E126">
        <v>2011</v>
      </c>
      <c r="F126" s="9"/>
      <c r="H126" s="20" t="str">
        <f t="shared" si="1"/>
        <v>(nextval('obj_part_id_seq'), (select id from obj_building_v where zip||'|'||street||'|'||name||'|'||volume = '8266|Feldbach|Sport- und Mehrzweckhalle|21371.00'), 'P60', 0, null, 2011,null),</v>
      </c>
    </row>
    <row r="127" spans="1:8" x14ac:dyDescent="0.25">
      <c r="A127" s="9" t="s">
        <v>1191</v>
      </c>
      <c r="B127" s="9" t="s">
        <v>1143</v>
      </c>
      <c r="C127">
        <v>0</v>
      </c>
      <c r="D127" t="s">
        <v>4080</v>
      </c>
      <c r="E127">
        <v>2011</v>
      </c>
      <c r="F127" s="9"/>
      <c r="H127" s="20" t="str">
        <f t="shared" si="1"/>
        <v>(nextval('obj_part_id_seq'), (select id from obj_building_v where zip||'|'||street||'|'||name||'|'||volume = '8266|Feldbach|Sport- und Mehrzweckhalle|21371.00'), 'P61', 0, null, 2011,null),</v>
      </c>
    </row>
    <row r="128" spans="1:8" x14ac:dyDescent="0.25">
      <c r="A128" s="9" t="s">
        <v>1191</v>
      </c>
      <c r="B128" s="9" t="s">
        <v>1144</v>
      </c>
      <c r="C128">
        <v>0</v>
      </c>
      <c r="D128" t="s">
        <v>4080</v>
      </c>
      <c r="E128">
        <v>2011</v>
      </c>
      <c r="F128" s="9"/>
      <c r="H128" s="20" t="str">
        <f t="shared" si="1"/>
        <v>(nextval('obj_part_id_seq'), (select id from obj_building_v where zip||'|'||street||'|'||name||'|'||volume = '8266|Feldbach|Sport- und Mehrzweckhalle|21371.00'), 'P62', 0, null, 2011,null),</v>
      </c>
    </row>
    <row r="129" spans="1:8" x14ac:dyDescent="0.25">
      <c r="A129" s="9" t="s">
        <v>1204</v>
      </c>
      <c r="B129" s="9" t="s">
        <v>1127</v>
      </c>
      <c r="C129">
        <v>41</v>
      </c>
      <c r="D129">
        <v>90</v>
      </c>
      <c r="E129">
        <v>2011</v>
      </c>
      <c r="F129" s="9"/>
      <c r="H129" s="20" t="str">
        <f t="shared" si="1"/>
        <v>(nextval('obj_part_id_seq'), (select id from obj_building_v where zip||'|'||street||'|'||name||'|'||volume = '8266|Frauenfelderstrasse 8|Hub rot|3015.00'), 'P48', 41, 90, 2011,null),</v>
      </c>
    </row>
    <row r="130" spans="1:8" x14ac:dyDescent="0.25">
      <c r="A130" s="9" t="s">
        <v>1204</v>
      </c>
      <c r="B130" s="9" t="s">
        <v>1129</v>
      </c>
      <c r="C130">
        <v>0</v>
      </c>
      <c r="D130" t="s">
        <v>4080</v>
      </c>
      <c r="E130">
        <v>2011</v>
      </c>
      <c r="F130" s="9"/>
      <c r="H130" s="20" t="str">
        <f t="shared" si="1"/>
        <v>(nextval('obj_part_id_seq'), (select id from obj_building_v where zip||'|'||street||'|'||name||'|'||volume = '8266|Frauenfelderstrasse 8|Hub rot|3015.00'), 'P49', 0, null, 2011,null),</v>
      </c>
    </row>
    <row r="131" spans="1:8" x14ac:dyDescent="0.25">
      <c r="A131" s="9" t="s">
        <v>1204</v>
      </c>
      <c r="B131" s="9" t="s">
        <v>1097</v>
      </c>
      <c r="C131">
        <v>8</v>
      </c>
      <c r="D131">
        <v>100</v>
      </c>
      <c r="E131">
        <v>2011</v>
      </c>
      <c r="F131" s="9" t="s">
        <v>1205</v>
      </c>
      <c r="H131" s="20" t="str">
        <f t="shared" si="1"/>
        <v>(nextval('obj_part_id_seq'), (select id from obj_building_v where zip||'|'||street||'|'||name||'|'||volume = '8266|Frauenfelderstrasse 8|Hub rot|3015.00'), 'P2', 8, 100, 2011,'Ziegeldach neu, einzelne undichte Stellen noch vorhanden, Dachraum Boden isoliert'),</v>
      </c>
    </row>
    <row r="132" spans="1:8" x14ac:dyDescent="0.25">
      <c r="A132" s="9" t="s">
        <v>1204</v>
      </c>
      <c r="B132" s="9" t="s">
        <v>1099</v>
      </c>
      <c r="C132">
        <v>0</v>
      </c>
      <c r="D132" t="s">
        <v>4080</v>
      </c>
      <c r="E132">
        <v>2011</v>
      </c>
      <c r="F132" s="9"/>
      <c r="H132" s="20" t="str">
        <f t="shared" si="1"/>
        <v>(nextval('obj_part_id_seq'), (select id from obj_building_v where zip||'|'||street||'|'||name||'|'||volume = '8266|Frauenfelderstrasse 8|Hub rot|3015.00'), 'P3', 0, null, 2011,null),</v>
      </c>
    </row>
    <row r="133" spans="1:8" x14ac:dyDescent="0.25">
      <c r="A133" s="9" t="s">
        <v>1204</v>
      </c>
      <c r="B133" s="9" t="s">
        <v>1100</v>
      </c>
      <c r="C133">
        <v>7</v>
      </c>
      <c r="D133">
        <v>90</v>
      </c>
      <c r="E133">
        <v>2011</v>
      </c>
      <c r="F133" s="9" t="s">
        <v>1206</v>
      </c>
      <c r="H133" s="20" t="str">
        <f t="shared" ref="H133:H196" si="2">"(nextval('obj_part_id_seq'), (select id from obj_building_v where zip||'|'||street||'|'||name||'|'||volume = '"&amp;A133&amp;"'), '"&amp;B133&amp;"', "&amp;C133&amp;", "&amp;D133&amp;", "&amp;IF(ISBLANK(E133),"null",E133)&amp;","&amp;IF(ISBLANK(F133),"null","'"&amp;F133&amp;"'")&amp;"),"</f>
        <v>(nextval('obj_part_id_seq'), (select id from obj_building_v where zip||'|'||street||'|'||name||'|'||volume = '8266|Frauenfelderstrasse 8|Hub rot|3015.00'), 'P4', 7, 90, 2011,'Aussenwäremdämmung verputzt (1998)'),</v>
      </c>
    </row>
    <row r="134" spans="1:8" x14ac:dyDescent="0.25">
      <c r="A134" s="9" t="s">
        <v>1204</v>
      </c>
      <c r="B134" s="9" t="s">
        <v>1102</v>
      </c>
      <c r="C134">
        <v>10</v>
      </c>
      <c r="D134">
        <v>80</v>
      </c>
      <c r="E134">
        <v>2011</v>
      </c>
      <c r="F134" s="9" t="s">
        <v>1207</v>
      </c>
      <c r="H134" s="20" t="str">
        <f t="shared" si="2"/>
        <v>(nextval('obj_part_id_seq'), (select id from obj_building_v where zip||'|'||street||'|'||name||'|'||volume = '8266|Frauenfelderstrasse 8|Hub rot|3015.00'), 'P5', 10, 80, 2011,'Alufenster im UG (Glas: Interpane ''88) mit Rafflamellenstoren'),</v>
      </c>
    </row>
    <row r="135" spans="1:8" x14ac:dyDescent="0.25">
      <c r="A135" s="9" t="s">
        <v>1204</v>
      </c>
      <c r="B135" s="9" t="s">
        <v>1164</v>
      </c>
      <c r="C135">
        <v>6</v>
      </c>
      <c r="D135">
        <v>90</v>
      </c>
      <c r="E135">
        <v>2011</v>
      </c>
      <c r="F135" s="9" t="s">
        <v>1175</v>
      </c>
      <c r="H135" s="20" t="str">
        <f t="shared" si="2"/>
        <v>(nextval('obj_part_id_seq'), (select id from obj_building_v where zip||'|'||street||'|'||name||'|'||volume = '8266|Frauenfelderstrasse 8|Hub rot|3015.00'), 'P50', 6, 90, 2011,'Beleuchtung neu (2005)'),</v>
      </c>
    </row>
    <row r="136" spans="1:8" x14ac:dyDescent="0.25">
      <c r="A136" s="9" t="s">
        <v>1204</v>
      </c>
      <c r="B136" s="9" t="s">
        <v>1166</v>
      </c>
      <c r="C136">
        <v>1</v>
      </c>
      <c r="D136">
        <v>90</v>
      </c>
      <c r="E136">
        <v>2011</v>
      </c>
      <c r="F136" s="9" t="s">
        <v>1208</v>
      </c>
      <c r="H136" s="20" t="str">
        <f t="shared" si="2"/>
        <v>(nextval('obj_part_id_seq'), (select id from obj_building_v where zip||'|'||street||'|'||name||'|'||volume = '8266|Frauenfelderstrasse 8|Hub rot|3015.00'), 'P51', 1, 90, 2011,'EDV: Server neu (2005), Telefonanlage i.O'),</v>
      </c>
    </row>
    <row r="137" spans="1:8" x14ac:dyDescent="0.25">
      <c r="A137" s="9" t="s">
        <v>1204</v>
      </c>
      <c r="B137" s="9" t="s">
        <v>1104</v>
      </c>
      <c r="C137">
        <v>0</v>
      </c>
      <c r="D137">
        <v>90</v>
      </c>
      <c r="E137">
        <v>2011</v>
      </c>
      <c r="F137" s="9" t="s">
        <v>1209</v>
      </c>
      <c r="H137" s="20" t="str">
        <f t="shared" si="2"/>
        <v>(nextval('obj_part_id_seq'), (select id from obj_building_v where zip||'|'||street||'|'||name||'|'||volume = '8266|Frauenfelderstrasse 8|Hub rot|3015.00'), 'P6', 0, 90, 2011,'Heizung an Hub gelb angeschlossen'),</v>
      </c>
    </row>
    <row r="138" spans="1:8" x14ac:dyDescent="0.25">
      <c r="A138" s="9" t="s">
        <v>1204</v>
      </c>
      <c r="B138" s="9" t="s">
        <v>1106</v>
      </c>
      <c r="C138">
        <v>4</v>
      </c>
      <c r="D138">
        <v>90</v>
      </c>
      <c r="E138">
        <v>2011</v>
      </c>
      <c r="F138" s="9" t="s">
        <v>1107</v>
      </c>
      <c r="H138" s="20" t="str">
        <f t="shared" si="2"/>
        <v>(nextval('obj_part_id_seq'), (select id from obj_building_v where zip||'|'||street||'|'||name||'|'||volume = '8266|Frauenfelderstrasse 8|Hub rot|3015.00'), 'P7', 4, 90, 2011,'Radiatoren mit Thermostaten'),</v>
      </c>
    </row>
    <row r="139" spans="1:8" x14ac:dyDescent="0.25">
      <c r="A139" s="9" t="s">
        <v>1204</v>
      </c>
      <c r="B139" s="9" t="s">
        <v>1108</v>
      </c>
      <c r="C139">
        <v>4</v>
      </c>
      <c r="D139">
        <v>90</v>
      </c>
      <c r="E139">
        <v>2011</v>
      </c>
      <c r="F139" s="9" t="s">
        <v>1210</v>
      </c>
      <c r="H139" s="20" t="str">
        <f t="shared" si="2"/>
        <v>(nextval('obj_part_id_seq'), (select id from obj_building_v where zip||'|'||street||'|'||name||'|'||volume = '8266|Frauenfelderstrasse 8|Hub rot|3015.00'), 'P8', 4, 90, 2011,'z.T. neuere Armaturen'),</v>
      </c>
    </row>
    <row r="140" spans="1:8" x14ac:dyDescent="0.25">
      <c r="A140" s="9" t="s">
        <v>1204</v>
      </c>
      <c r="B140" s="9" t="s">
        <v>1138</v>
      </c>
      <c r="C140">
        <v>11</v>
      </c>
      <c r="D140">
        <v>80</v>
      </c>
      <c r="E140">
        <v>2011</v>
      </c>
      <c r="F140" s="9" t="s">
        <v>1211</v>
      </c>
      <c r="H140" s="20" t="str">
        <f t="shared" si="2"/>
        <v>(nextval('obj_part_id_seq'), (select id from obj_building_v where zip||'|'||street||'|'||name||'|'||volume = '8266|Frauenfelderstrasse 8|Hub rot|3015.00'), 'P57', 11, 80, 2011,'Geländerhöhen überprüfen!'),</v>
      </c>
    </row>
    <row r="141" spans="1:8" x14ac:dyDescent="0.25">
      <c r="A141" s="9" t="s">
        <v>1204</v>
      </c>
      <c r="B141" s="9" t="s">
        <v>1140</v>
      </c>
      <c r="C141">
        <v>8</v>
      </c>
      <c r="D141">
        <v>90</v>
      </c>
      <c r="E141">
        <v>2011</v>
      </c>
      <c r="F141" s="9" t="s">
        <v>1212</v>
      </c>
      <c r="H141" s="20" t="str">
        <f t="shared" si="2"/>
        <v>(nextval('obj_part_id_seq'), (select id from obj_building_v where zip||'|'||street||'|'||name||'|'||volume = '8266|Frauenfelderstrasse 8|Hub rot|3015.00'), 'P58', 8, 90, 2011,'Böden: Linoleum, Kunststein, Keramik\nWände: verputzt\nDecken: Putz und Akustikplatten'),</v>
      </c>
    </row>
    <row r="142" spans="1:8" x14ac:dyDescent="0.25">
      <c r="A142" s="9" t="s">
        <v>1204</v>
      </c>
      <c r="B142" s="9" t="s">
        <v>1142</v>
      </c>
      <c r="C142">
        <v>0</v>
      </c>
      <c r="D142" t="s">
        <v>4080</v>
      </c>
      <c r="E142">
        <v>2011</v>
      </c>
      <c r="F142" s="9"/>
      <c r="H142" s="20" t="str">
        <f t="shared" si="2"/>
        <v>(nextval('obj_part_id_seq'), (select id from obj_building_v where zip||'|'||street||'|'||name||'|'||volume = '8266|Frauenfelderstrasse 8|Hub rot|3015.00'), 'P60', 0, null, 2011,null),</v>
      </c>
    </row>
    <row r="143" spans="1:8" x14ac:dyDescent="0.25">
      <c r="A143" s="9" t="s">
        <v>1204</v>
      </c>
      <c r="B143" s="9" t="s">
        <v>1143</v>
      </c>
      <c r="C143">
        <v>0</v>
      </c>
      <c r="D143" t="s">
        <v>4080</v>
      </c>
      <c r="E143">
        <v>2011</v>
      </c>
      <c r="F143" s="9"/>
      <c r="H143" s="20" t="str">
        <f t="shared" si="2"/>
        <v>(nextval('obj_part_id_seq'), (select id from obj_building_v where zip||'|'||street||'|'||name||'|'||volume = '8266|Frauenfelderstrasse 8|Hub rot|3015.00'), 'P61', 0, null, 2011,null),</v>
      </c>
    </row>
    <row r="144" spans="1:8" x14ac:dyDescent="0.25">
      <c r="A144" s="9" t="s">
        <v>1204</v>
      </c>
      <c r="B144" s="9" t="s">
        <v>1144</v>
      </c>
      <c r="C144">
        <v>0</v>
      </c>
      <c r="D144" t="s">
        <v>4080</v>
      </c>
      <c r="E144">
        <v>2011</v>
      </c>
      <c r="F144" s="9"/>
      <c r="H144" s="20" t="str">
        <f t="shared" si="2"/>
        <v>(nextval('obj_part_id_seq'), (select id from obj_building_v where zip||'|'||street||'|'||name||'|'||volume = '8266|Frauenfelderstrasse 8|Hub rot|3015.00'), 'P62', 0, null, 2011,null),</v>
      </c>
    </row>
    <row r="145" spans="1:8" x14ac:dyDescent="0.25">
      <c r="A145" s="9" t="s">
        <v>1213</v>
      </c>
      <c r="B145" s="9" t="s">
        <v>1127</v>
      </c>
      <c r="C145">
        <v>24</v>
      </c>
      <c r="D145">
        <v>90</v>
      </c>
      <c r="E145">
        <v>2011</v>
      </c>
      <c r="F145" s="9" t="s">
        <v>1214</v>
      </c>
      <c r="H145" s="20" t="str">
        <f t="shared" si="2"/>
        <v>(nextval('obj_part_id_seq'), (select id from obj_building_v where zip||'|'||street||'|'||name||'|'||volume = '8266|Zelgistrasse 8|Doppelkindergarten|2601.00'), 'P48', 24, 90, 2011,'Stahlbetonbau mit Stahlstützen'),</v>
      </c>
    </row>
    <row r="146" spans="1:8" x14ac:dyDescent="0.25">
      <c r="A146" s="9" t="s">
        <v>1213</v>
      </c>
      <c r="B146" s="9" t="s">
        <v>1129</v>
      </c>
      <c r="C146">
        <v>0</v>
      </c>
      <c r="D146" t="s">
        <v>4080</v>
      </c>
      <c r="E146">
        <v>2011</v>
      </c>
      <c r="F146" s="9"/>
      <c r="H146" s="20" t="str">
        <f t="shared" si="2"/>
        <v>(nextval('obj_part_id_seq'), (select id from obj_building_v where zip||'|'||street||'|'||name||'|'||volume = '8266|Zelgistrasse 8|Doppelkindergarten|2601.00'), 'P49', 0, null, 2011,null),</v>
      </c>
    </row>
    <row r="147" spans="1:8" x14ac:dyDescent="0.25">
      <c r="A147" s="9" t="s">
        <v>1213</v>
      </c>
      <c r="B147" s="9" t="s">
        <v>1097</v>
      </c>
      <c r="C147">
        <v>20</v>
      </c>
      <c r="D147">
        <v>85</v>
      </c>
      <c r="E147">
        <v>2011</v>
      </c>
      <c r="F147" s="9" t="s">
        <v>1215</v>
      </c>
      <c r="H147" s="20" t="str">
        <f t="shared" si="2"/>
        <v>(nextval('obj_part_id_seq'), (select id from obj_building_v where zip||'|'||street||'|'||name||'|'||volume = '8266|Zelgistrasse 8|Doppelkindergarten|2601.00'), 'P2', 20, 85, 2011,'Eternitschindeldach, Stirrnbretter tw. schadhaft'),</v>
      </c>
    </row>
    <row r="148" spans="1:8" x14ac:dyDescent="0.25">
      <c r="A148" s="9" t="s">
        <v>1213</v>
      </c>
      <c r="B148" s="9" t="s">
        <v>1099</v>
      </c>
      <c r="C148">
        <v>0</v>
      </c>
      <c r="D148" t="s">
        <v>4080</v>
      </c>
      <c r="E148">
        <v>2011</v>
      </c>
      <c r="F148" s="9"/>
      <c r="H148" s="20" t="str">
        <f t="shared" si="2"/>
        <v>(nextval('obj_part_id_seq'), (select id from obj_building_v where zip||'|'||street||'|'||name||'|'||volume = '8266|Zelgistrasse 8|Doppelkindergarten|2601.00'), 'P3', 0, null, 2011,null),</v>
      </c>
    </row>
    <row r="149" spans="1:8" x14ac:dyDescent="0.25">
      <c r="A149" s="9" t="s">
        <v>1213</v>
      </c>
      <c r="B149" s="9" t="s">
        <v>1100</v>
      </c>
      <c r="C149">
        <v>8</v>
      </c>
      <c r="D149">
        <v>85</v>
      </c>
      <c r="E149">
        <v>2011</v>
      </c>
      <c r="F149" s="9" t="s">
        <v>1216</v>
      </c>
      <c r="H149" s="20" t="str">
        <f t="shared" si="2"/>
        <v>(nextval('obj_part_id_seq'), (select id from obj_building_v where zip||'|'||street||'|'||name||'|'||volume = '8266|Zelgistrasse 8|Doppelkindergarten|2601.00'), 'P4', 8, 85, 2011,'Hinterlüftete Eternitschindeln (tw. schadhaft) und Aussenwärmedämmung'),</v>
      </c>
    </row>
    <row r="150" spans="1:8" x14ac:dyDescent="0.25">
      <c r="A150" s="9" t="s">
        <v>1213</v>
      </c>
      <c r="B150" s="9" t="s">
        <v>1102</v>
      </c>
      <c r="C150">
        <v>14</v>
      </c>
      <c r="D150">
        <v>90</v>
      </c>
      <c r="E150">
        <v>2011</v>
      </c>
      <c r="F150" s="9" t="s">
        <v>1217</v>
      </c>
      <c r="H150" s="20" t="str">
        <f t="shared" si="2"/>
        <v>(nextval('obj_part_id_seq'), (select id from obj_building_v where zip||'|'||street||'|'||name||'|'||volume = '8266|Zelgistrasse 8|Doppelkindergarten|2601.00'), 'P5', 14, 90, 2011,'Wärmedämmglas 2-fach, Holzfenster ''95'),</v>
      </c>
    </row>
    <row r="151" spans="1:8" x14ac:dyDescent="0.25">
      <c r="A151" s="9" t="s">
        <v>1213</v>
      </c>
      <c r="B151" s="9" t="s">
        <v>1110</v>
      </c>
      <c r="C151">
        <v>4</v>
      </c>
      <c r="D151">
        <v>90</v>
      </c>
      <c r="E151">
        <v>2011</v>
      </c>
      <c r="F151" s="9" t="s">
        <v>1218</v>
      </c>
      <c r="H151" s="20" t="str">
        <f t="shared" si="2"/>
        <v>(nextval('obj_part_id_seq'), (select id from obj_building_v where zip||'|'||street||'|'||name||'|'||volume = '8266|Zelgistrasse 8|Doppelkindergarten|2601.00'), 'P9', 4, 90, 2011,'Keine Mängel bekannt'),</v>
      </c>
    </row>
    <row r="152" spans="1:8" x14ac:dyDescent="0.25">
      <c r="A152" s="9" t="s">
        <v>1213</v>
      </c>
      <c r="B152" s="9" t="s">
        <v>1104</v>
      </c>
      <c r="C152">
        <v>3</v>
      </c>
      <c r="D152">
        <v>90</v>
      </c>
      <c r="E152">
        <v>2011</v>
      </c>
      <c r="F152" s="9" t="s">
        <v>1219</v>
      </c>
      <c r="H152" s="20" t="str">
        <f t="shared" si="2"/>
        <v>(nextval('obj_part_id_seq'), (select id from obj_building_v where zip||'|'||street||'|'||name||'|'||volume = '8266|Zelgistrasse 8|Doppelkindergarten|2601.00'), 'P6', 3, 90, 2011,'Gasheizung ''95\nWarmwasser wird mit Gas erwärmt'),</v>
      </c>
    </row>
    <row r="153" spans="1:8" x14ac:dyDescent="0.25">
      <c r="A153" s="9" t="s">
        <v>1213</v>
      </c>
      <c r="B153" s="9" t="s">
        <v>1106</v>
      </c>
      <c r="C153">
        <v>3</v>
      </c>
      <c r="D153">
        <v>90</v>
      </c>
      <c r="E153">
        <v>2011</v>
      </c>
      <c r="F153" s="9" t="s">
        <v>1220</v>
      </c>
      <c r="H153" s="20" t="str">
        <f t="shared" si="2"/>
        <v>(nextval('obj_part_id_seq'), (select id from obj_building_v where zip||'|'||street||'|'||name||'|'||volume = '8266|Zelgistrasse 8|Doppelkindergarten|2601.00'), 'P7', 3, 90, 2011,'Radiatoren mit Thermostaten, tw. mit Elektrosteuerung'),</v>
      </c>
    </row>
    <row r="154" spans="1:8" x14ac:dyDescent="0.25">
      <c r="A154" s="9" t="s">
        <v>1213</v>
      </c>
      <c r="B154" s="9" t="s">
        <v>1135</v>
      </c>
      <c r="C154">
        <v>1</v>
      </c>
      <c r="D154">
        <v>90</v>
      </c>
      <c r="E154">
        <v>2011</v>
      </c>
      <c r="F154" s="9" t="s">
        <v>1221</v>
      </c>
      <c r="H154" s="20" t="str">
        <f t="shared" si="2"/>
        <v>(nextval('obj_part_id_seq'), (select id from obj_building_v where zip||'|'||street||'|'||name||'|'||volume = '8266|Zelgistrasse 8|Doppelkindergarten|2601.00'), 'P54', 1, 90, 2011,'neuwertige Armaturen und Apparate.'),</v>
      </c>
    </row>
    <row r="155" spans="1:8" x14ac:dyDescent="0.25">
      <c r="A155" s="9" t="s">
        <v>1213</v>
      </c>
      <c r="B155" s="9" t="s">
        <v>1137</v>
      </c>
      <c r="C155">
        <v>3</v>
      </c>
      <c r="D155">
        <v>90</v>
      </c>
      <c r="E155">
        <v>2011</v>
      </c>
      <c r="F155" s="9" t="s">
        <v>1222</v>
      </c>
      <c r="H155" s="20" t="str">
        <f t="shared" si="2"/>
        <v>(nextval('obj_part_id_seq'), (select id from obj_building_v where zip||'|'||street||'|'||name||'|'||volume = '8266|Zelgistrasse 8|Doppelkindergarten|2601.00'), 'P55', 3, 90, 2011,'Leitungen i.O, Sickerleitungen neu'),</v>
      </c>
    </row>
    <row r="156" spans="1:8" x14ac:dyDescent="0.25">
      <c r="A156" s="9" t="s">
        <v>1213</v>
      </c>
      <c r="B156" s="9" t="s">
        <v>1138</v>
      </c>
      <c r="C156">
        <v>17</v>
      </c>
      <c r="D156">
        <v>90</v>
      </c>
      <c r="E156">
        <v>2011</v>
      </c>
      <c r="F156" s="9" t="s">
        <v>1223</v>
      </c>
      <c r="H156" s="20" t="str">
        <f t="shared" si="2"/>
        <v>(nextval('obj_part_id_seq'), (select id from obj_building_v where zip||'|'||street||'|'||name||'|'||volume = '8266|Zelgistrasse 8|Doppelkindergarten|2601.00'), 'P57', 17, 90, 2011,'Einbauten Holz, Küche'),</v>
      </c>
    </row>
    <row r="157" spans="1:8" x14ac:dyDescent="0.25">
      <c r="A157" s="9" t="s">
        <v>1213</v>
      </c>
      <c r="B157" s="9" t="s">
        <v>1140</v>
      </c>
      <c r="C157">
        <v>3</v>
      </c>
      <c r="D157">
        <v>90</v>
      </c>
      <c r="E157">
        <v>2011</v>
      </c>
      <c r="F157" s="9" t="s">
        <v>1224</v>
      </c>
      <c r="H157" s="20" t="str">
        <f t="shared" si="2"/>
        <v>(nextval('obj_part_id_seq'), (select id from obj_building_v where zip||'|'||street||'|'||name||'|'||volume = '8266|Zelgistrasse 8|Doppelkindergarten|2601.00'), 'P58', 3, 90, 2011,'Wände verputzt o. Glasfaser-Tapeten\nBöden: Keramik und Holz\nDecken; Holztäfer oder verputzt'),</v>
      </c>
    </row>
    <row r="158" spans="1:8" x14ac:dyDescent="0.25">
      <c r="A158" s="9" t="s">
        <v>1213</v>
      </c>
      <c r="B158" s="9" t="s">
        <v>1142</v>
      </c>
      <c r="C158">
        <v>0</v>
      </c>
      <c r="D158" t="s">
        <v>4080</v>
      </c>
      <c r="E158">
        <v>2011</v>
      </c>
      <c r="F158" s="9"/>
      <c r="H158" s="20" t="str">
        <f t="shared" si="2"/>
        <v>(nextval('obj_part_id_seq'), (select id from obj_building_v where zip||'|'||street||'|'||name||'|'||volume = '8266|Zelgistrasse 8|Doppelkindergarten|2601.00'), 'P60', 0, null, 2011,null),</v>
      </c>
    </row>
    <row r="159" spans="1:8" x14ac:dyDescent="0.25">
      <c r="A159" s="9" t="s">
        <v>1213</v>
      </c>
      <c r="B159" s="9" t="s">
        <v>1143</v>
      </c>
      <c r="C159">
        <v>0</v>
      </c>
      <c r="D159" t="s">
        <v>4080</v>
      </c>
      <c r="E159">
        <v>2011</v>
      </c>
      <c r="F159" s="9"/>
      <c r="H159" s="20" t="str">
        <f t="shared" si="2"/>
        <v>(nextval('obj_part_id_seq'), (select id from obj_building_v where zip||'|'||street||'|'||name||'|'||volume = '8266|Zelgistrasse 8|Doppelkindergarten|2601.00'), 'P61', 0, null, 2011,null),</v>
      </c>
    </row>
    <row r="160" spans="1:8" x14ac:dyDescent="0.25">
      <c r="A160" s="9" t="s">
        <v>1213</v>
      </c>
      <c r="B160" s="9" t="s">
        <v>1144</v>
      </c>
      <c r="C160">
        <v>0</v>
      </c>
      <c r="D160" t="s">
        <v>4080</v>
      </c>
      <c r="E160">
        <v>2011</v>
      </c>
      <c r="F160" s="9"/>
      <c r="H160" s="20" t="str">
        <f t="shared" si="2"/>
        <v>(nextval('obj_part_id_seq'), (select id from obj_building_v where zip||'|'||street||'|'||name||'|'||volume = '8266|Zelgistrasse 8|Doppelkindergarten|2601.00'), 'P62', 0, null, 2011,null),</v>
      </c>
    </row>
    <row r="161" spans="1:8" x14ac:dyDescent="0.25">
      <c r="A161" s="9" t="s">
        <v>1225</v>
      </c>
      <c r="B161" s="9" t="s">
        <v>1127</v>
      </c>
      <c r="C161">
        <v>41</v>
      </c>
      <c r="D161">
        <v>100</v>
      </c>
      <c r="E161">
        <v>2011</v>
      </c>
      <c r="F161" s="9"/>
      <c r="H161" s="20" t="str">
        <f t="shared" si="2"/>
        <v>(nextval('obj_part_id_seq'), (select id from obj_building_v where zip||'|'||street||'|'||name||'|'||volume = '8266|Hubstrasse|Hub blau|3928.00'), 'P48', 41, 100, 2011,null),</v>
      </c>
    </row>
    <row r="162" spans="1:8" x14ac:dyDescent="0.25">
      <c r="A162" s="9" t="s">
        <v>1225</v>
      </c>
      <c r="B162" s="9" t="s">
        <v>1129</v>
      </c>
      <c r="C162">
        <v>0</v>
      </c>
      <c r="D162" t="s">
        <v>4080</v>
      </c>
      <c r="E162">
        <v>2011</v>
      </c>
      <c r="F162" s="9"/>
      <c r="H162" s="20" t="str">
        <f t="shared" si="2"/>
        <v>(nextval('obj_part_id_seq'), (select id from obj_building_v where zip||'|'||street||'|'||name||'|'||volume = '8266|Hubstrasse|Hub blau|3928.00'), 'P49', 0, null, 2011,null),</v>
      </c>
    </row>
    <row r="163" spans="1:8" x14ac:dyDescent="0.25">
      <c r="A163" s="9" t="s">
        <v>1225</v>
      </c>
      <c r="B163" s="9" t="s">
        <v>1097</v>
      </c>
      <c r="C163">
        <v>8</v>
      </c>
      <c r="D163">
        <v>100</v>
      </c>
      <c r="E163">
        <v>2011</v>
      </c>
      <c r="F163" s="9"/>
      <c r="H163" s="20" t="str">
        <f t="shared" si="2"/>
        <v>(nextval('obj_part_id_seq'), (select id from obj_building_v where zip||'|'||street||'|'||name||'|'||volume = '8266|Hubstrasse|Hub blau|3928.00'), 'P2', 8, 100, 2011,null),</v>
      </c>
    </row>
    <row r="164" spans="1:8" x14ac:dyDescent="0.25">
      <c r="A164" s="9" t="s">
        <v>1225</v>
      </c>
      <c r="B164" s="9" t="s">
        <v>1099</v>
      </c>
      <c r="C164">
        <v>0</v>
      </c>
      <c r="D164">
        <v>100</v>
      </c>
      <c r="E164">
        <v>2011</v>
      </c>
      <c r="F164" s="9"/>
      <c r="H164" s="20" t="str">
        <f t="shared" si="2"/>
        <v>(nextval('obj_part_id_seq'), (select id from obj_building_v where zip||'|'||street||'|'||name||'|'||volume = '8266|Hubstrasse|Hub blau|3928.00'), 'P3', 0, 100, 2011,null),</v>
      </c>
    </row>
    <row r="165" spans="1:8" x14ac:dyDescent="0.25">
      <c r="A165" s="9" t="s">
        <v>1225</v>
      </c>
      <c r="B165" s="9" t="s">
        <v>1100</v>
      </c>
      <c r="C165">
        <v>7</v>
      </c>
      <c r="D165">
        <v>100</v>
      </c>
      <c r="E165">
        <v>2011</v>
      </c>
      <c r="F165" s="9"/>
      <c r="H165" s="20" t="str">
        <f t="shared" si="2"/>
        <v>(nextval('obj_part_id_seq'), (select id from obj_building_v where zip||'|'||street||'|'||name||'|'||volume = '8266|Hubstrasse|Hub blau|3928.00'), 'P4', 7, 100, 2011,null),</v>
      </c>
    </row>
    <row r="166" spans="1:8" x14ac:dyDescent="0.25">
      <c r="A166" s="9" t="s">
        <v>1225</v>
      </c>
      <c r="B166" s="9" t="s">
        <v>1102</v>
      </c>
      <c r="C166">
        <v>10</v>
      </c>
      <c r="D166">
        <v>100</v>
      </c>
      <c r="E166">
        <v>2011</v>
      </c>
      <c r="F166" s="9" t="s">
        <v>1226</v>
      </c>
      <c r="H166" s="20" t="str">
        <f t="shared" si="2"/>
        <v>(nextval('obj_part_id_seq'), (select id from obj_building_v where zip||'|'||street||'|'||name||'|'||volume = '8266|Hubstrasse|Hub blau|3928.00'), 'P5', 10, 100, 2011,'3-fach WD-Glas'),</v>
      </c>
    </row>
    <row r="167" spans="1:8" x14ac:dyDescent="0.25">
      <c r="A167" s="9" t="s">
        <v>1225</v>
      </c>
      <c r="B167" s="9" t="s">
        <v>1164</v>
      </c>
      <c r="C167">
        <v>6</v>
      </c>
      <c r="D167">
        <v>100</v>
      </c>
      <c r="E167">
        <v>2011</v>
      </c>
      <c r="F167" s="9"/>
      <c r="H167" s="20" t="str">
        <f t="shared" si="2"/>
        <v>(nextval('obj_part_id_seq'), (select id from obj_building_v where zip||'|'||street||'|'||name||'|'||volume = '8266|Hubstrasse|Hub blau|3928.00'), 'P50', 6, 100, 2011,null),</v>
      </c>
    </row>
    <row r="168" spans="1:8" x14ac:dyDescent="0.25">
      <c r="A168" s="9" t="s">
        <v>1225</v>
      </c>
      <c r="B168" s="9" t="s">
        <v>1166</v>
      </c>
      <c r="C168">
        <v>1</v>
      </c>
      <c r="D168">
        <v>100</v>
      </c>
      <c r="E168">
        <v>2011</v>
      </c>
      <c r="F168" s="9" t="s">
        <v>1227</v>
      </c>
      <c r="H168" s="20" t="str">
        <f t="shared" si="2"/>
        <v>(nextval('obj_part_id_seq'), (select id from obj_building_v where zip||'|'||street||'|'||name||'|'||volume = '8266|Hubstrasse|Hub blau|3928.00'), 'P51', 1, 100, 2011,'Brüstungskanäle'),</v>
      </c>
    </row>
    <row r="169" spans="1:8" x14ac:dyDescent="0.25">
      <c r="A169" s="9" t="s">
        <v>1225</v>
      </c>
      <c r="B169" s="9" t="s">
        <v>1104</v>
      </c>
      <c r="C169">
        <v>1</v>
      </c>
      <c r="D169">
        <v>100</v>
      </c>
      <c r="E169">
        <v>2011</v>
      </c>
      <c r="F169" s="9" t="s">
        <v>1228</v>
      </c>
      <c r="H169" s="20" t="str">
        <f t="shared" si="2"/>
        <v>(nextval('obj_part_id_seq'), (select id from obj_building_v where zip||'|'||street||'|'||name||'|'||volume = '8266|Hubstrasse|Hub blau|3928.00'), 'P6', 1, 100, 2011,'Erdwärmepumpe inkl. WW'),</v>
      </c>
    </row>
    <row r="170" spans="1:8" x14ac:dyDescent="0.25">
      <c r="A170" s="9" t="s">
        <v>1225</v>
      </c>
      <c r="B170" s="9" t="s">
        <v>1106</v>
      </c>
      <c r="C170">
        <v>3</v>
      </c>
      <c r="D170">
        <v>100</v>
      </c>
      <c r="E170">
        <v>2011</v>
      </c>
      <c r="F170" s="9"/>
      <c r="H170" s="20" t="str">
        <f t="shared" si="2"/>
        <v>(nextval('obj_part_id_seq'), (select id from obj_building_v where zip||'|'||street||'|'||name||'|'||volume = '8266|Hubstrasse|Hub blau|3928.00'), 'P7', 3, 100, 2011,null),</v>
      </c>
    </row>
    <row r="171" spans="1:8" x14ac:dyDescent="0.25">
      <c r="A171" s="9" t="s">
        <v>1225</v>
      </c>
      <c r="B171" s="9" t="s">
        <v>1108</v>
      </c>
      <c r="C171">
        <v>4</v>
      </c>
      <c r="D171">
        <v>100</v>
      </c>
      <c r="E171">
        <v>2011</v>
      </c>
      <c r="F171" s="9"/>
      <c r="H171" s="20" t="str">
        <f t="shared" si="2"/>
        <v>(nextval('obj_part_id_seq'), (select id from obj_building_v where zip||'|'||street||'|'||name||'|'||volume = '8266|Hubstrasse|Hub blau|3928.00'), 'P8', 4, 100, 2011,null),</v>
      </c>
    </row>
    <row r="172" spans="1:8" x14ac:dyDescent="0.25">
      <c r="A172" s="9" t="s">
        <v>1225</v>
      </c>
      <c r="B172" s="9" t="s">
        <v>1138</v>
      </c>
      <c r="C172">
        <v>11</v>
      </c>
      <c r="D172">
        <v>100</v>
      </c>
      <c r="E172">
        <v>2011</v>
      </c>
      <c r="F172" s="9"/>
      <c r="H172" s="20" t="str">
        <f t="shared" si="2"/>
        <v>(nextval('obj_part_id_seq'), (select id from obj_building_v where zip||'|'||street||'|'||name||'|'||volume = '8266|Hubstrasse|Hub blau|3928.00'), 'P57', 11, 100, 2011,null),</v>
      </c>
    </row>
    <row r="173" spans="1:8" x14ac:dyDescent="0.25">
      <c r="A173" s="9" t="s">
        <v>1225</v>
      </c>
      <c r="B173" s="9" t="s">
        <v>1140</v>
      </c>
      <c r="C173">
        <v>8</v>
      </c>
      <c r="D173">
        <v>100</v>
      </c>
      <c r="E173">
        <v>2011</v>
      </c>
      <c r="F173" s="9"/>
      <c r="H173" s="20" t="str">
        <f t="shared" si="2"/>
        <v>(nextval('obj_part_id_seq'), (select id from obj_building_v where zip||'|'||street||'|'||name||'|'||volume = '8266|Hubstrasse|Hub blau|3928.00'), 'P58', 8, 100, 2011,null),</v>
      </c>
    </row>
    <row r="174" spans="1:8" x14ac:dyDescent="0.25">
      <c r="A174" s="9" t="s">
        <v>1225</v>
      </c>
      <c r="B174" s="9" t="s">
        <v>1142</v>
      </c>
      <c r="C174">
        <v>0</v>
      </c>
      <c r="D174" t="s">
        <v>4080</v>
      </c>
      <c r="E174">
        <v>2011</v>
      </c>
      <c r="F174" s="9"/>
      <c r="H174" s="20" t="str">
        <f t="shared" si="2"/>
        <v>(nextval('obj_part_id_seq'), (select id from obj_building_v where zip||'|'||street||'|'||name||'|'||volume = '8266|Hubstrasse|Hub blau|3928.00'), 'P60', 0, null, 2011,null),</v>
      </c>
    </row>
    <row r="175" spans="1:8" x14ac:dyDescent="0.25">
      <c r="A175" s="9" t="s">
        <v>1225</v>
      </c>
      <c r="B175" s="9" t="s">
        <v>1143</v>
      </c>
      <c r="C175">
        <v>0</v>
      </c>
      <c r="D175" t="s">
        <v>4080</v>
      </c>
      <c r="E175">
        <v>2011</v>
      </c>
      <c r="F175" s="9"/>
      <c r="H175" s="20" t="str">
        <f t="shared" si="2"/>
        <v>(nextval('obj_part_id_seq'), (select id from obj_building_v where zip||'|'||street||'|'||name||'|'||volume = '8266|Hubstrasse|Hub blau|3928.00'), 'P61', 0, null, 2011,null),</v>
      </c>
    </row>
    <row r="176" spans="1:8" x14ac:dyDescent="0.25">
      <c r="A176" s="9" t="s">
        <v>1225</v>
      </c>
      <c r="B176" s="9" t="s">
        <v>1144</v>
      </c>
      <c r="C176">
        <v>0</v>
      </c>
      <c r="D176" t="s">
        <v>4080</v>
      </c>
      <c r="E176">
        <v>2011</v>
      </c>
      <c r="F176" s="9"/>
      <c r="H176" s="20" t="str">
        <f t="shared" si="2"/>
        <v>(nextval('obj_part_id_seq'), (select id from obj_building_v where zip||'|'||street||'|'||name||'|'||volume = '8266|Hubstrasse|Hub blau|3928.00'), 'P62', 0, null, 2011,null),</v>
      </c>
    </row>
    <row r="177" spans="1:8" x14ac:dyDescent="0.25">
      <c r="A177" s="9" t="s">
        <v>1229</v>
      </c>
      <c r="B177" s="9" t="s">
        <v>1127</v>
      </c>
      <c r="C177">
        <v>41</v>
      </c>
      <c r="D177">
        <v>75</v>
      </c>
      <c r="E177">
        <v>2012</v>
      </c>
      <c r="F177" s="9" t="s">
        <v>1192</v>
      </c>
      <c r="H177" s="20" t="str">
        <f t="shared" si="2"/>
        <v>(nextval('obj_part_id_seq'), (select id from obj_building_v where zip||'|'||street||'|'||name||'|'||volume = '5620|Badstrasse 3|Schulhaus Isenlauf|21342.00'), 'P48', 41, 75, 2012,'Stahlbeton'),</v>
      </c>
    </row>
    <row r="178" spans="1:8" x14ac:dyDescent="0.25">
      <c r="A178" s="9" t="s">
        <v>1229</v>
      </c>
      <c r="B178" s="9" t="s">
        <v>1129</v>
      </c>
      <c r="C178">
        <v>0</v>
      </c>
      <c r="D178" t="s">
        <v>4080</v>
      </c>
      <c r="E178">
        <v>2012</v>
      </c>
      <c r="F178" s="9"/>
      <c r="H178" s="20" t="str">
        <f t="shared" si="2"/>
        <v>(nextval('obj_part_id_seq'), (select id from obj_building_v where zip||'|'||street||'|'||name||'|'||volume = '5620|Badstrasse 3|Schulhaus Isenlauf|21342.00'), 'P49', 0, null, 2012,null),</v>
      </c>
    </row>
    <row r="179" spans="1:8" x14ac:dyDescent="0.25">
      <c r="A179" s="9" t="s">
        <v>1229</v>
      </c>
      <c r="B179" s="9" t="s">
        <v>1097</v>
      </c>
      <c r="C179">
        <v>0</v>
      </c>
      <c r="D179" t="s">
        <v>4080</v>
      </c>
      <c r="E179">
        <v>2012</v>
      </c>
      <c r="F179" s="9"/>
      <c r="H179" s="20" t="str">
        <f t="shared" si="2"/>
        <v>(nextval('obj_part_id_seq'), (select id from obj_building_v where zip||'|'||street||'|'||name||'|'||volume = '5620|Badstrasse 3|Schulhaus Isenlauf|21342.00'), 'P2', 0, null, 2012,null),</v>
      </c>
    </row>
    <row r="180" spans="1:8" x14ac:dyDescent="0.25">
      <c r="A180" s="9" t="s">
        <v>1229</v>
      </c>
      <c r="B180" s="9" t="s">
        <v>1099</v>
      </c>
      <c r="C180">
        <v>8</v>
      </c>
      <c r="D180">
        <v>90</v>
      </c>
      <c r="E180">
        <v>2012</v>
      </c>
      <c r="F180" s="9" t="s">
        <v>1230</v>
      </c>
      <c r="H180" s="20" t="str">
        <f t="shared" si="2"/>
        <v>(nextval('obj_part_id_seq'), (select id from obj_building_v where zip||'|'||street||'|'||name||'|'||volume = '5620|Badstrasse 3|Schulhaus Isenlauf|21342.00'), 'P3', 8, 90, 2012,'Sanierung 2000 mit Foamglas'),</v>
      </c>
    </row>
    <row r="181" spans="1:8" x14ac:dyDescent="0.25">
      <c r="A181" s="9" t="s">
        <v>1229</v>
      </c>
      <c r="B181" s="9" t="s">
        <v>1100</v>
      </c>
      <c r="C181">
        <v>7</v>
      </c>
      <c r="D181">
        <v>90</v>
      </c>
      <c r="E181">
        <v>2012</v>
      </c>
      <c r="F181" s="9" t="s">
        <v>1231</v>
      </c>
      <c r="H181" s="20" t="str">
        <f t="shared" si="2"/>
        <v>(nextval('obj_part_id_seq'), (select id from obj_building_v where zip||'|'||street||'|'||name||'|'||volume = '5620|Badstrasse 3|Schulhaus Isenlauf|21342.00'), 'P4', 7, 90, 2012,'Eternitschideln, hinterlüftet'),</v>
      </c>
    </row>
    <row r="182" spans="1:8" x14ac:dyDescent="0.25">
      <c r="A182" s="9" t="s">
        <v>1229</v>
      </c>
      <c r="B182" s="9" t="s">
        <v>1102</v>
      </c>
      <c r="C182">
        <v>10</v>
      </c>
      <c r="D182">
        <v>85</v>
      </c>
      <c r="E182">
        <v>2012</v>
      </c>
      <c r="F182" s="9" t="s">
        <v>1232</v>
      </c>
      <c r="H182" s="20" t="str">
        <f t="shared" si="2"/>
        <v>(nextval('obj_part_id_seq'), (select id from obj_building_v where zip||'|'||street||'|'||name||'|'||volume = '5620|Badstrasse 3|Schulhaus Isenlauf|21342.00'), 'P5', 10, 85, 2012,'Holz-/Metall ''87, Rafflamellenstoren'),</v>
      </c>
    </row>
    <row r="183" spans="1:8" x14ac:dyDescent="0.25">
      <c r="A183" s="9" t="s">
        <v>1229</v>
      </c>
      <c r="B183" s="9" t="s">
        <v>1164</v>
      </c>
      <c r="C183">
        <v>6</v>
      </c>
      <c r="D183">
        <v>80</v>
      </c>
      <c r="E183">
        <v>2012</v>
      </c>
      <c r="F183" s="9" t="s">
        <v>1233</v>
      </c>
      <c r="H183" s="20" t="str">
        <f t="shared" si="2"/>
        <v>(nextval('obj_part_id_seq'), (select id from obj_building_v where zip||'|'||street||'|'||name||'|'||volume = '5620|Badstrasse 3|Schulhaus Isenlauf|21342.00'), 'P50', 6, 80, 2012,'alte Beleuchtung'),</v>
      </c>
    </row>
    <row r="184" spans="1:8" x14ac:dyDescent="0.25">
      <c r="A184" s="9" t="s">
        <v>1229</v>
      </c>
      <c r="B184" s="9" t="s">
        <v>1166</v>
      </c>
      <c r="C184">
        <v>1</v>
      </c>
      <c r="D184">
        <v>90</v>
      </c>
      <c r="E184">
        <v>2012</v>
      </c>
      <c r="F184" s="9" t="s">
        <v>1234</v>
      </c>
      <c r="H184" s="20" t="str">
        <f t="shared" si="2"/>
        <v>(nextval('obj_part_id_seq'), (select id from obj_building_v where zip||'|'||street||'|'||name||'|'||volume = '5620|Badstrasse 3|Schulhaus Isenlauf|21342.00'), 'P51', 1, 90, 2012,'Schliessanlage Elostar'),</v>
      </c>
    </row>
    <row r="185" spans="1:8" x14ac:dyDescent="0.25">
      <c r="A185" s="9" t="s">
        <v>1229</v>
      </c>
      <c r="B185" s="9" t="s">
        <v>1104</v>
      </c>
      <c r="C185">
        <v>0</v>
      </c>
      <c r="D185" t="s">
        <v>4080</v>
      </c>
      <c r="E185">
        <v>2012</v>
      </c>
      <c r="F185" s="9" t="s">
        <v>1235</v>
      </c>
      <c r="H185" s="20" t="str">
        <f t="shared" si="2"/>
        <v>(nextval('obj_part_id_seq'), (select id from obj_building_v where zip||'|'||street||'|'||name||'|'||volume = '5620|Badstrasse 3|Schulhaus Isenlauf|21342.00'), 'P6', 0, null, 2012,'Fernwärme'),</v>
      </c>
    </row>
    <row r="186" spans="1:8" x14ac:dyDescent="0.25">
      <c r="A186" s="9" t="s">
        <v>1229</v>
      </c>
      <c r="B186" s="9" t="s">
        <v>1106</v>
      </c>
      <c r="C186">
        <v>4</v>
      </c>
      <c r="D186">
        <v>80</v>
      </c>
      <c r="E186">
        <v>2012</v>
      </c>
      <c r="F186" s="9" t="s">
        <v>1236</v>
      </c>
      <c r="H186" s="20" t="str">
        <f t="shared" si="2"/>
        <v>(nextval('obj_part_id_seq'), (select id from obj_building_v where zip||'|'||street||'|'||name||'|'||volume = '5620|Badstrasse 3|Schulhaus Isenlauf|21342.00'), 'P7', 4, 80, 2012,'tw. Radiatoren mit Thermostaten (seit Anschl. Fernwärme Luft in Leitungen'),</v>
      </c>
    </row>
    <row r="187" spans="1:8" x14ac:dyDescent="0.25">
      <c r="A187" s="9" t="s">
        <v>1229</v>
      </c>
      <c r="B187" s="9" t="s">
        <v>1108</v>
      </c>
      <c r="C187">
        <v>4</v>
      </c>
      <c r="D187">
        <v>75</v>
      </c>
      <c r="E187">
        <v>2012</v>
      </c>
      <c r="F187" s="9" t="s">
        <v>1237</v>
      </c>
      <c r="H187" s="20" t="str">
        <f t="shared" si="2"/>
        <v>(nextval('obj_part_id_seq'), (select id from obj_building_v where zip||'|'||street||'|'||name||'|'||volume = '5620|Badstrasse 3|Schulhaus Isenlauf|21342.00'), 'P8', 4, 75, 2012,'Leitungen alt, kein hoher Druck vorh., im Neubau ok.&lt;br&gt;'),</v>
      </c>
    </row>
    <row r="188" spans="1:8" x14ac:dyDescent="0.25">
      <c r="A188" s="9" t="s">
        <v>1229</v>
      </c>
      <c r="B188" s="9" t="s">
        <v>1138</v>
      </c>
      <c r="C188">
        <v>11</v>
      </c>
      <c r="D188">
        <v>90</v>
      </c>
      <c r="E188">
        <v>2012</v>
      </c>
      <c r="F188" s="9" t="s">
        <v>1238</v>
      </c>
      <c r="H188" s="20" t="str">
        <f t="shared" si="2"/>
        <v>(nextval('obj_part_id_seq'), (select id from obj_building_v where zip||'|'||street||'|'||name||'|'||volume = '5620|Badstrasse 3|Schulhaus Isenlauf|21342.00'), 'P57', 11, 90, 2012,'Wände: Gipskarton, gestrichen'),</v>
      </c>
    </row>
    <row r="189" spans="1:8" x14ac:dyDescent="0.25">
      <c r="A189" s="9" t="s">
        <v>1229</v>
      </c>
      <c r="B189" s="9" t="s">
        <v>1140</v>
      </c>
      <c r="C189">
        <v>8</v>
      </c>
      <c r="D189">
        <v>85</v>
      </c>
      <c r="E189">
        <v>2012</v>
      </c>
      <c r="F189" s="9" t="s">
        <v>1239</v>
      </c>
      <c r="H189" s="20" t="str">
        <f t="shared" si="2"/>
        <v>(nextval('obj_part_id_seq'), (select id from obj_building_v where zip||'|'||street||'|'||name||'|'||volume = '5620|Badstrasse 3|Schulhaus Isenlauf|21342.00'), 'P58', 8, 85, 2012,'Böden: Linol, Kunststein, Hartbeton in Werkräumen&lt;br&gt;Decken: Spritz-/Akustikputz&lt;br&gt;Wände: Putz/Abrieb'),</v>
      </c>
    </row>
    <row r="190" spans="1:8" x14ac:dyDescent="0.25">
      <c r="A190" s="9" t="s">
        <v>1229</v>
      </c>
      <c r="B190" s="9" t="s">
        <v>1142</v>
      </c>
      <c r="C190">
        <v>0</v>
      </c>
      <c r="D190" t="s">
        <v>4080</v>
      </c>
      <c r="E190">
        <v>2012</v>
      </c>
      <c r="F190" s="9"/>
      <c r="H190" s="20" t="str">
        <f t="shared" si="2"/>
        <v>(nextval('obj_part_id_seq'), (select id from obj_building_v where zip||'|'||street||'|'||name||'|'||volume = '5620|Badstrasse 3|Schulhaus Isenlauf|21342.00'), 'P60', 0, null, 2012,null),</v>
      </c>
    </row>
    <row r="191" spans="1:8" x14ac:dyDescent="0.25">
      <c r="A191" s="9" t="s">
        <v>1229</v>
      </c>
      <c r="B191" s="9" t="s">
        <v>1143</v>
      </c>
      <c r="C191">
        <v>0</v>
      </c>
      <c r="D191" t="s">
        <v>4080</v>
      </c>
      <c r="E191">
        <v>2012</v>
      </c>
      <c r="F191" s="9"/>
      <c r="H191" s="20" t="str">
        <f t="shared" si="2"/>
        <v>(nextval('obj_part_id_seq'), (select id from obj_building_v where zip||'|'||street||'|'||name||'|'||volume = '5620|Badstrasse 3|Schulhaus Isenlauf|21342.00'), 'P61', 0, null, 2012,null),</v>
      </c>
    </row>
    <row r="192" spans="1:8" x14ac:dyDescent="0.25">
      <c r="A192" s="9" t="s">
        <v>1229</v>
      </c>
      <c r="B192" s="9" t="s">
        <v>1144</v>
      </c>
      <c r="C192">
        <v>0</v>
      </c>
      <c r="D192" t="s">
        <v>4080</v>
      </c>
      <c r="E192">
        <v>2012</v>
      </c>
      <c r="F192" s="9"/>
      <c r="H192" s="20" t="str">
        <f t="shared" si="2"/>
        <v>(nextval('obj_part_id_seq'), (select id from obj_building_v where zip||'|'||street||'|'||name||'|'||volume = '5620|Badstrasse 3|Schulhaus Isenlauf|21342.00'), 'P62', 0, null, 2012,null),</v>
      </c>
    </row>
    <row r="193" spans="1:8" x14ac:dyDescent="0.25">
      <c r="A193" s="9" t="s">
        <v>1240</v>
      </c>
      <c r="B193" s="9" t="s">
        <v>1127</v>
      </c>
      <c r="C193">
        <v>41</v>
      </c>
      <c r="D193">
        <v>90</v>
      </c>
      <c r="E193">
        <v>2012</v>
      </c>
      <c r="F193" s="9" t="s">
        <v>1241</v>
      </c>
      <c r="H193" s="20" t="str">
        <f t="shared" si="2"/>
        <v>(nextval('obj_part_id_seq'), (select id from obj_building_v where zip||'|'||street||'|'||name||'|'||volume = '5620|Klosterweg 6|Kindergarten Unterstadt|2218.00'), 'P48', 41, 90, 2012,'Neubau (Anbau) massiv, Altbau: Holzdekce'),</v>
      </c>
    </row>
    <row r="194" spans="1:8" x14ac:dyDescent="0.25">
      <c r="A194" s="9" t="s">
        <v>1240</v>
      </c>
      <c r="B194" s="9" t="s">
        <v>1129</v>
      </c>
      <c r="C194">
        <v>0</v>
      </c>
      <c r="D194" t="s">
        <v>4080</v>
      </c>
      <c r="E194">
        <v>2012</v>
      </c>
      <c r="F194" s="9"/>
      <c r="H194" s="20" t="str">
        <f t="shared" si="2"/>
        <v>(nextval('obj_part_id_seq'), (select id from obj_building_v where zip||'|'||street||'|'||name||'|'||volume = '5620|Klosterweg 6|Kindergarten Unterstadt|2218.00'), 'P49', 0, null, 2012,null),</v>
      </c>
    </row>
    <row r="195" spans="1:8" x14ac:dyDescent="0.25">
      <c r="A195" s="9" t="s">
        <v>1240</v>
      </c>
      <c r="B195" s="9" t="s">
        <v>1097</v>
      </c>
      <c r="C195">
        <v>8</v>
      </c>
      <c r="D195">
        <v>90</v>
      </c>
      <c r="E195">
        <v>2012</v>
      </c>
      <c r="F195" s="9" t="s">
        <v>1242</v>
      </c>
      <c r="H195" s="20" t="str">
        <f t="shared" si="2"/>
        <v>(nextval('obj_part_id_seq'), (select id from obj_building_v where zip||'|'||street||'|'||name||'|'||volume = '5620|Klosterweg 6|Kindergarten Unterstadt|2218.00'), 'P2', 8, 90, 2012,'Warmdach m. Ziegeleindeckung und Lukarnen'),</v>
      </c>
    </row>
    <row r="196" spans="1:8" x14ac:dyDescent="0.25">
      <c r="A196" s="9" t="s">
        <v>1240</v>
      </c>
      <c r="B196" s="9" t="s">
        <v>1099</v>
      </c>
      <c r="C196">
        <v>0</v>
      </c>
      <c r="D196" t="s">
        <v>4080</v>
      </c>
      <c r="E196">
        <v>2012</v>
      </c>
      <c r="F196" s="9"/>
      <c r="H196" s="20" t="str">
        <f t="shared" si="2"/>
        <v>(nextval('obj_part_id_seq'), (select id from obj_building_v where zip||'|'||street||'|'||name||'|'||volume = '5620|Klosterweg 6|Kindergarten Unterstadt|2218.00'), 'P3', 0, null, 2012,null),</v>
      </c>
    </row>
    <row r="197" spans="1:8" x14ac:dyDescent="0.25">
      <c r="A197" s="9" t="s">
        <v>1240</v>
      </c>
      <c r="B197" s="9" t="s">
        <v>1100</v>
      </c>
      <c r="C197">
        <v>7</v>
      </c>
      <c r="D197">
        <v>90</v>
      </c>
      <c r="E197">
        <v>2012</v>
      </c>
      <c r="F197" s="9" t="s">
        <v>1243</v>
      </c>
      <c r="H197" s="20" t="str">
        <f t="shared" ref="H197:H260" si="3">"(nextval('obj_part_id_seq'), (select id from obj_building_v where zip||'|'||street||'|'||name||'|'||volume = '"&amp;A197&amp;"'), '"&amp;B197&amp;"', "&amp;C197&amp;", "&amp;D197&amp;", "&amp;IF(ISBLANK(E197),"null",E197)&amp;","&amp;IF(ISBLANK(F197),"null","'"&amp;F197&amp;"'")&amp;"),"</f>
        <v>(nextval('obj_part_id_seq'), (select id from obj_building_v where zip||'|'||street||'|'||name||'|'||volume = '5620|Klosterweg 6|Kindergarten Unterstadt|2218.00'), 'P4', 7, 90, 2012,'MW, tw. verputzt und tw. Eternit, hinterlüftet'),</v>
      </c>
    </row>
    <row r="198" spans="1:8" x14ac:dyDescent="0.25">
      <c r="A198" s="9" t="s">
        <v>1240</v>
      </c>
      <c r="B198" s="9" t="s">
        <v>1102</v>
      </c>
      <c r="C198">
        <v>10</v>
      </c>
      <c r="D198">
        <v>80</v>
      </c>
      <c r="E198">
        <v>2012</v>
      </c>
      <c r="F198" s="9" t="s">
        <v>1244</v>
      </c>
      <c r="H198" s="20" t="str">
        <f t="shared" si="3"/>
        <v>(nextval('obj_part_id_seq'), (select id from obj_building_v where zip||'|'||street||'|'||name||'|'||volume = '5620|Klosterweg 6|Kindergarten Unterstadt|2218.00'), 'P5', 10, 80, 2012,'alte Fenster auf Südseite, neu auf Nordseite'),</v>
      </c>
    </row>
    <row r="199" spans="1:8" x14ac:dyDescent="0.25">
      <c r="A199" s="9" t="s">
        <v>1240</v>
      </c>
      <c r="B199" s="9" t="s">
        <v>1164</v>
      </c>
      <c r="C199">
        <v>6</v>
      </c>
      <c r="D199">
        <v>90</v>
      </c>
      <c r="E199">
        <v>2012</v>
      </c>
      <c r="F199" s="9"/>
      <c r="H199" s="20" t="str">
        <f t="shared" si="3"/>
        <v>(nextval('obj_part_id_seq'), (select id from obj_building_v where zip||'|'||street||'|'||name||'|'||volume = '5620|Klosterweg 6|Kindergarten Unterstadt|2218.00'), 'P50', 6, 90, 2012,null),</v>
      </c>
    </row>
    <row r="200" spans="1:8" x14ac:dyDescent="0.25">
      <c r="A200" s="9" t="s">
        <v>1240</v>
      </c>
      <c r="B200" s="9" t="s">
        <v>1166</v>
      </c>
      <c r="C200">
        <v>1</v>
      </c>
      <c r="D200">
        <v>90</v>
      </c>
      <c r="E200">
        <v>2012</v>
      </c>
      <c r="F200" s="9"/>
      <c r="H200" s="20" t="str">
        <f t="shared" si="3"/>
        <v>(nextval('obj_part_id_seq'), (select id from obj_building_v where zip||'|'||street||'|'||name||'|'||volume = '5620|Klosterweg 6|Kindergarten Unterstadt|2218.00'), 'P51', 1, 90, 2012,null),</v>
      </c>
    </row>
    <row r="201" spans="1:8" x14ac:dyDescent="0.25">
      <c r="A201" s="9" t="s">
        <v>1240</v>
      </c>
      <c r="B201" s="9" t="s">
        <v>1104</v>
      </c>
      <c r="C201">
        <v>0</v>
      </c>
      <c r="D201" t="s">
        <v>4080</v>
      </c>
      <c r="E201">
        <v>2012</v>
      </c>
      <c r="F201" s="9"/>
      <c r="H201" s="20" t="str">
        <f t="shared" si="3"/>
        <v>(nextval('obj_part_id_seq'), (select id from obj_building_v where zip||'|'||street||'|'||name||'|'||volume = '5620|Klosterweg 6|Kindergarten Unterstadt|2218.00'), 'P6', 0, null, 2012,null),</v>
      </c>
    </row>
    <row r="202" spans="1:8" x14ac:dyDescent="0.25">
      <c r="A202" s="9" t="s">
        <v>1240</v>
      </c>
      <c r="B202" s="9" t="s">
        <v>1106</v>
      </c>
      <c r="C202">
        <v>4</v>
      </c>
      <c r="D202">
        <v>90</v>
      </c>
      <c r="E202">
        <v>2012</v>
      </c>
      <c r="F202" s="9" t="s">
        <v>1245</v>
      </c>
      <c r="H202" s="20" t="str">
        <f t="shared" si="3"/>
        <v>(nextval('obj_part_id_seq'), (select id from obj_building_v where zip||'|'||street||'|'||name||'|'||volume = '5620|Klosterweg 6|Kindergarten Unterstadt|2218.00'), 'P7', 4, 90, 2012,'Radiatoren und tw. Bodenheizung (Neubau)'),</v>
      </c>
    </row>
    <row r="203" spans="1:8" x14ac:dyDescent="0.25">
      <c r="A203" s="9" t="s">
        <v>1240</v>
      </c>
      <c r="B203" s="9" t="s">
        <v>1108</v>
      </c>
      <c r="C203">
        <v>4</v>
      </c>
      <c r="D203">
        <v>90</v>
      </c>
      <c r="E203">
        <v>2012</v>
      </c>
      <c r="F203" s="9" t="s">
        <v>1246</v>
      </c>
      <c r="H203" s="20" t="str">
        <f t="shared" si="3"/>
        <v>(nextval('obj_part_id_seq'), (select id from obj_building_v where zip||'|'||street||'|'||name||'|'||volume = '5620|Klosterweg 6|Kindergarten Unterstadt|2218.00'), 'P8', 4, 90, 2012,'Apparate ''05, Küche i.O.'),</v>
      </c>
    </row>
    <row r="204" spans="1:8" x14ac:dyDescent="0.25">
      <c r="A204" s="9" t="s">
        <v>1240</v>
      </c>
      <c r="B204" s="9" t="s">
        <v>1138</v>
      </c>
      <c r="C204">
        <v>11</v>
      </c>
      <c r="D204">
        <v>90</v>
      </c>
      <c r="E204">
        <v>2012</v>
      </c>
      <c r="F204" s="9" t="s">
        <v>1247</v>
      </c>
      <c r="H204" s="20" t="str">
        <f t="shared" si="3"/>
        <v>(nextval('obj_part_id_seq'), (select id from obj_building_v where zip||'|'||street||'|'||name||'|'||volume = '5620|Klosterweg 6|Kindergarten Unterstadt|2218.00'), 'P57', 11, 90, 2012,'Simse, innere Verglasungen'),</v>
      </c>
    </row>
    <row r="205" spans="1:8" x14ac:dyDescent="0.25">
      <c r="A205" s="9" t="s">
        <v>1240</v>
      </c>
      <c r="B205" s="9" t="s">
        <v>1140</v>
      </c>
      <c r="C205">
        <v>8</v>
      </c>
      <c r="D205">
        <v>90</v>
      </c>
      <c r="E205">
        <v>2012</v>
      </c>
      <c r="F205" s="9" t="s">
        <v>1248</v>
      </c>
      <c r="H205" s="20" t="str">
        <f t="shared" si="3"/>
        <v>(nextval('obj_part_id_seq'), (select id from obj_building_v where zip||'|'||street||'|'||name||'|'||volume = '5620|Klosterweg 6|Kindergarten Unterstadt|2218.00'), 'P58', 8, 90, 2012,'B: Linol/Keramik, W: Putz o. Glasfasertapete m. Anstrich, D: verputzt und gestrichen, tw. Heraklit'),</v>
      </c>
    </row>
    <row r="206" spans="1:8" x14ac:dyDescent="0.25">
      <c r="A206" s="9" t="s">
        <v>1240</v>
      </c>
      <c r="B206" s="9" t="s">
        <v>1142</v>
      </c>
      <c r="C206">
        <v>0</v>
      </c>
      <c r="D206" t="s">
        <v>4080</v>
      </c>
      <c r="E206">
        <v>2012</v>
      </c>
      <c r="F206" s="9"/>
      <c r="H206" s="20" t="str">
        <f t="shared" si="3"/>
        <v>(nextval('obj_part_id_seq'), (select id from obj_building_v where zip||'|'||street||'|'||name||'|'||volume = '5620|Klosterweg 6|Kindergarten Unterstadt|2218.00'), 'P60', 0, null, 2012,null),</v>
      </c>
    </row>
    <row r="207" spans="1:8" x14ac:dyDescent="0.25">
      <c r="A207" s="9" t="s">
        <v>1240</v>
      </c>
      <c r="B207" s="9" t="s">
        <v>1143</v>
      </c>
      <c r="C207">
        <v>0</v>
      </c>
      <c r="D207" t="s">
        <v>4080</v>
      </c>
      <c r="E207">
        <v>2012</v>
      </c>
      <c r="F207" s="9"/>
      <c r="H207" s="20" t="str">
        <f t="shared" si="3"/>
        <v>(nextval('obj_part_id_seq'), (select id from obj_building_v where zip||'|'||street||'|'||name||'|'||volume = '5620|Klosterweg 6|Kindergarten Unterstadt|2218.00'), 'P61', 0, null, 2012,null),</v>
      </c>
    </row>
    <row r="208" spans="1:8" x14ac:dyDescent="0.25">
      <c r="A208" s="9" t="s">
        <v>1240</v>
      </c>
      <c r="B208" s="9" t="s">
        <v>1144</v>
      </c>
      <c r="C208">
        <v>0</v>
      </c>
      <c r="D208" t="s">
        <v>4080</v>
      </c>
      <c r="E208">
        <v>2012</v>
      </c>
      <c r="F208" s="9"/>
      <c r="H208" s="20" t="str">
        <f t="shared" si="3"/>
        <v>(nextval('obj_part_id_seq'), (select id from obj_building_v where zip||'|'||street||'|'||name||'|'||volume = '5620|Klosterweg 6|Kindergarten Unterstadt|2218.00'), 'P62', 0, null, 2012,null),</v>
      </c>
    </row>
    <row r="209" spans="1:8" x14ac:dyDescent="0.25">
      <c r="A209" s="9" t="s">
        <v>1249</v>
      </c>
      <c r="B209" s="9" t="s">
        <v>1127</v>
      </c>
      <c r="C209">
        <v>42</v>
      </c>
      <c r="D209">
        <v>90</v>
      </c>
      <c r="E209">
        <v>2013</v>
      </c>
      <c r="F209" s="9" t="s">
        <v>1250</v>
      </c>
      <c r="H209" s="20" t="str">
        <f t="shared" si="3"/>
        <v>(nextval('obj_part_id_seq'), (select id from obj_building_v where zip||'|'||street||'|'||name||'|'||volume = '9470|Hanflandstr. 5|Turnhalle|5663.00'), 'P48', 42, 90, 2013,'Stahlbeton und Mauerwerk'),</v>
      </c>
    </row>
    <row r="210" spans="1:8" x14ac:dyDescent="0.25">
      <c r="A210" s="9" t="s">
        <v>1249</v>
      </c>
      <c r="B210" s="9" t="s">
        <v>1129</v>
      </c>
      <c r="C210">
        <v>0</v>
      </c>
      <c r="D210" t="s">
        <v>4080</v>
      </c>
      <c r="E210">
        <v>2013</v>
      </c>
      <c r="F210" s="9"/>
      <c r="H210" s="20" t="str">
        <f t="shared" si="3"/>
        <v>(nextval('obj_part_id_seq'), (select id from obj_building_v where zip||'|'||street||'|'||name||'|'||volume = '9470|Hanflandstr. 5|Turnhalle|5663.00'), 'P49', 0, null, 2013,null),</v>
      </c>
    </row>
    <row r="211" spans="1:8" x14ac:dyDescent="0.25">
      <c r="A211" s="9" t="s">
        <v>1249</v>
      </c>
      <c r="B211" s="9" t="s">
        <v>1097</v>
      </c>
      <c r="C211">
        <v>0</v>
      </c>
      <c r="D211" t="s">
        <v>4080</v>
      </c>
      <c r="E211">
        <v>2013</v>
      </c>
      <c r="F211" s="9"/>
      <c r="H211" s="20" t="str">
        <f t="shared" si="3"/>
        <v>(nextval('obj_part_id_seq'), (select id from obj_building_v where zip||'|'||street||'|'||name||'|'||volume = '9470|Hanflandstr. 5|Turnhalle|5663.00'), 'P2', 0, null, 2013,null),</v>
      </c>
    </row>
    <row r="212" spans="1:8" x14ac:dyDescent="0.25">
      <c r="A212" s="9" t="s">
        <v>1249</v>
      </c>
      <c r="B212" s="9" t="s">
        <v>1099</v>
      </c>
      <c r="C212">
        <v>8</v>
      </c>
      <c r="D212">
        <v>90</v>
      </c>
      <c r="E212">
        <v>2013</v>
      </c>
      <c r="F212" s="9" t="s">
        <v>1251</v>
      </c>
      <c r="H212" s="20" t="str">
        <f t="shared" si="3"/>
        <v>(nextval('obj_part_id_seq'), (select id from obj_building_v where zip||'|'||street||'|'||name||'|'||volume = '9470|Hanflandstr. 5|Turnhalle|5663.00'), 'P3', 8, 90, 2013,'Kiesdach, isoliert'),</v>
      </c>
    </row>
    <row r="213" spans="1:8" x14ac:dyDescent="0.25">
      <c r="A213" s="9" t="s">
        <v>1249</v>
      </c>
      <c r="B213" s="9" t="s">
        <v>1100</v>
      </c>
      <c r="C213">
        <v>7</v>
      </c>
      <c r="D213">
        <v>85</v>
      </c>
      <c r="E213">
        <v>2013</v>
      </c>
      <c r="F213" s="9" t="s">
        <v>1252</v>
      </c>
      <c r="H213" s="20" t="str">
        <f t="shared" si="3"/>
        <v>(nextval('obj_part_id_seq'), (select id from obj_building_v where zip||'|'||street||'|'||name||'|'||volume = '9470|Hanflandstr. 5|Turnhalle|5663.00'), 'P4', 7, 85, 2013,'Sichtmauerwerk, Beton gestrichen, tw. Verputz (kleinere Abplatzungen vorhanden)'),</v>
      </c>
    </row>
    <row r="214" spans="1:8" x14ac:dyDescent="0.25">
      <c r="A214" s="9" t="s">
        <v>1249</v>
      </c>
      <c r="B214" s="9" t="s">
        <v>1102</v>
      </c>
      <c r="C214">
        <v>10</v>
      </c>
      <c r="D214">
        <v>90</v>
      </c>
      <c r="E214">
        <v>2013</v>
      </c>
      <c r="F214" s="9" t="s">
        <v>1253</v>
      </c>
      <c r="H214" s="20" t="str">
        <f t="shared" si="3"/>
        <v>(nextval('obj_part_id_seq'), (select id from obj_building_v where zip||'|'||street||'|'||name||'|'||volume = '9470|Hanflandstr. 5|Turnhalle|5663.00'), 'P5', 10, 90, 2013,'Metall- und Holzfenster, RL-Storen, Metallaussentüre'),</v>
      </c>
    </row>
    <row r="215" spans="1:8" x14ac:dyDescent="0.25">
      <c r="A215" s="9" t="s">
        <v>1249</v>
      </c>
      <c r="B215" s="9" t="s">
        <v>1164</v>
      </c>
      <c r="C215">
        <v>6</v>
      </c>
      <c r="D215">
        <v>90</v>
      </c>
      <c r="E215">
        <v>2013</v>
      </c>
      <c r="F215" s="9" t="s">
        <v>1254</v>
      </c>
      <c r="H215" s="20" t="str">
        <f t="shared" si="3"/>
        <v>(nextval('obj_part_id_seq'), (select id from obj_building_v where zip||'|'||street||'|'||name||'|'||volume = '9470|Hanflandstr. 5|Turnhalle|5663.00'), 'P50', 6, 90, 2013,'neuere Sicherungen'),</v>
      </c>
    </row>
    <row r="216" spans="1:8" x14ac:dyDescent="0.25">
      <c r="A216" s="9" t="s">
        <v>1249</v>
      </c>
      <c r="B216" s="9" t="s">
        <v>1166</v>
      </c>
      <c r="C216">
        <v>1</v>
      </c>
      <c r="D216">
        <v>90</v>
      </c>
      <c r="E216">
        <v>2013</v>
      </c>
      <c r="F216" s="9" t="s">
        <v>1255</v>
      </c>
      <c r="H216" s="20" t="str">
        <f t="shared" si="3"/>
        <v>(nextval('obj_part_id_seq'), (select id from obj_building_v where zip||'|'||street||'|'||name||'|'||volume = '9470|Hanflandstr. 5|Turnhalle|5663.00'), 'P51', 1, 90, 2013,'Uhr, Gong, Funktelefon'),</v>
      </c>
    </row>
    <row r="217" spans="1:8" x14ac:dyDescent="0.25">
      <c r="A217" s="9" t="s">
        <v>1249</v>
      </c>
      <c r="B217" s="9" t="s">
        <v>1104</v>
      </c>
      <c r="C217">
        <v>0</v>
      </c>
      <c r="D217" t="s">
        <v>4080</v>
      </c>
      <c r="E217">
        <v>2013</v>
      </c>
      <c r="F217" s="9" t="s">
        <v>1235</v>
      </c>
      <c r="H217" s="20" t="str">
        <f t="shared" si="3"/>
        <v>(nextval('obj_part_id_seq'), (select id from obj_building_v where zip||'|'||street||'|'||name||'|'||volume = '9470|Hanflandstr. 5|Turnhalle|5663.00'), 'P6', 0, null, 2013,'Fernwärme'),</v>
      </c>
    </row>
    <row r="218" spans="1:8" x14ac:dyDescent="0.25">
      <c r="A218" s="9" t="s">
        <v>1249</v>
      </c>
      <c r="B218" s="9" t="s">
        <v>1106</v>
      </c>
      <c r="C218">
        <v>3</v>
      </c>
      <c r="D218">
        <v>90</v>
      </c>
      <c r="E218">
        <v>2013</v>
      </c>
      <c r="F218" s="9" t="s">
        <v>1256</v>
      </c>
      <c r="H218" s="20" t="str">
        <f t="shared" si="3"/>
        <v>(nextval('obj_part_id_seq'), (select id from obj_building_v where zip||'|'||street||'|'||name||'|'||volume = '9470|Hanflandstr. 5|Turnhalle|5663.00'), 'P7', 3, 90, 2013,'Radiatoren und Konvektoren mit Raumthermostaten, Garderoben: Radiatoren mit Thermostaten'),</v>
      </c>
    </row>
    <row r="219" spans="1:8" x14ac:dyDescent="0.25">
      <c r="A219" s="9" t="s">
        <v>1249</v>
      </c>
      <c r="B219" s="9" t="s">
        <v>1108</v>
      </c>
      <c r="C219">
        <v>4</v>
      </c>
      <c r="D219">
        <v>90</v>
      </c>
      <c r="E219">
        <v>2013</v>
      </c>
      <c r="F219" s="9" t="s">
        <v>1257</v>
      </c>
      <c r="H219" s="20" t="str">
        <f t="shared" si="3"/>
        <v>(nextval('obj_part_id_seq'), (select id from obj_building_v where zip||'|'||street||'|'||name||'|'||volume = '9470|Hanflandstr. 5|Turnhalle|5663.00'), 'P8', 4, 90, 2013,'Apparate neuwertig'),</v>
      </c>
    </row>
    <row r="220" spans="1:8" x14ac:dyDescent="0.25">
      <c r="A220" s="9" t="s">
        <v>1249</v>
      </c>
      <c r="B220" s="9" t="s">
        <v>1138</v>
      </c>
      <c r="C220">
        <v>11</v>
      </c>
      <c r="D220">
        <v>90</v>
      </c>
      <c r="E220">
        <v>2013</v>
      </c>
      <c r="F220" s="9" t="s">
        <v>1258</v>
      </c>
      <c r="H220" s="20" t="str">
        <f t="shared" si="3"/>
        <v>(nextval('obj_part_id_seq'), (select id from obj_building_v where zip||'|'||street||'|'||name||'|'||volume = '9470|Hanflandstr. 5|Turnhalle|5663.00'), 'P57', 11, 90, 2013,'Garderoben, Einbauschränke, Sprossenwand'),</v>
      </c>
    </row>
    <row r="221" spans="1:8" x14ac:dyDescent="0.25">
      <c r="A221" s="9" t="s">
        <v>1249</v>
      </c>
      <c r="B221" s="9" t="s">
        <v>1140</v>
      </c>
      <c r="C221">
        <v>8</v>
      </c>
      <c r="D221">
        <v>85</v>
      </c>
      <c r="E221">
        <v>2013</v>
      </c>
      <c r="F221" s="9" t="s">
        <v>1259</v>
      </c>
      <c r="H221" s="20" t="str">
        <f t="shared" si="3"/>
        <v>(nextval('obj_part_id_seq'), (select id from obj_building_v where zip||'|'||street||'|'||name||'|'||volume = '9470|Hanflandstr. 5|Turnhalle|5663.00'), 'P58', 8, 85, 2013,'B: Turnhallenboden, Parkett, PVC, Keramik, W: Beton, Keramik, KS im Aussengeräteraum, Garderobe: Farbe über Fenster blättert ab, D: Täfer, Verputz, Beton roh (Feuchtigkeitsflecken im Aussengeräteraum ersichtlich)'),</v>
      </c>
    </row>
    <row r="222" spans="1:8" x14ac:dyDescent="0.25">
      <c r="A222" s="9" t="s">
        <v>1249</v>
      </c>
      <c r="B222" s="9" t="s">
        <v>1142</v>
      </c>
      <c r="C222">
        <v>0</v>
      </c>
      <c r="D222" t="s">
        <v>4080</v>
      </c>
      <c r="E222">
        <v>2013</v>
      </c>
      <c r="F222" s="9"/>
      <c r="H222" s="20" t="str">
        <f t="shared" si="3"/>
        <v>(nextval('obj_part_id_seq'), (select id from obj_building_v where zip||'|'||street||'|'||name||'|'||volume = '9470|Hanflandstr. 5|Turnhalle|5663.00'), 'P60', 0, null, 2013,null),</v>
      </c>
    </row>
    <row r="223" spans="1:8" x14ac:dyDescent="0.25">
      <c r="A223" s="9" t="s">
        <v>1249</v>
      </c>
      <c r="B223" s="9" t="s">
        <v>1143</v>
      </c>
      <c r="C223">
        <v>0</v>
      </c>
      <c r="D223" t="s">
        <v>4080</v>
      </c>
      <c r="E223">
        <v>2013</v>
      </c>
      <c r="F223" s="9"/>
      <c r="H223" s="20" t="str">
        <f t="shared" si="3"/>
        <v>(nextval('obj_part_id_seq'), (select id from obj_building_v where zip||'|'||street||'|'||name||'|'||volume = '9470|Hanflandstr. 5|Turnhalle|5663.00'), 'P61', 0, null, 2013,null),</v>
      </c>
    </row>
    <row r="224" spans="1:8" x14ac:dyDescent="0.25">
      <c r="A224" s="9" t="s">
        <v>1249</v>
      </c>
      <c r="B224" s="9" t="s">
        <v>1144</v>
      </c>
      <c r="C224">
        <v>0</v>
      </c>
      <c r="D224" t="s">
        <v>4080</v>
      </c>
      <c r="E224">
        <v>2013</v>
      </c>
      <c r="F224" s="9"/>
      <c r="H224" s="20" t="str">
        <f t="shared" si="3"/>
        <v>(nextval('obj_part_id_seq'), (select id from obj_building_v where zip||'|'||street||'|'||name||'|'||volume = '9470|Hanflandstr. 5|Turnhalle|5663.00'), 'P62', 0, null, 2013,null),</v>
      </c>
    </row>
    <row r="225" spans="1:8" x14ac:dyDescent="0.25">
      <c r="A225" s="9" t="s">
        <v>1260</v>
      </c>
      <c r="B225" s="9" t="s">
        <v>1127</v>
      </c>
      <c r="C225">
        <v>27</v>
      </c>
      <c r="D225">
        <v>90</v>
      </c>
      <c r="E225">
        <v>2013</v>
      </c>
      <c r="F225" s="9" t="s">
        <v>1261</v>
      </c>
      <c r="H225" s="20" t="str">
        <f t="shared" si="3"/>
        <v>(nextval('obj_part_id_seq'), (select id from obj_building_v where zip||'|'||street||'|'||name||'|'||volume = '9470|Hanflandstr. 3|Kindergarten / HW-Wohnung|1320.00'), 'P48', 27, 90, 2013,'Mauerwerk und Stahlbeton'),</v>
      </c>
    </row>
    <row r="226" spans="1:8" x14ac:dyDescent="0.25">
      <c r="A226" s="9" t="s">
        <v>1260</v>
      </c>
      <c r="B226" s="9" t="s">
        <v>1129</v>
      </c>
      <c r="C226">
        <v>0</v>
      </c>
      <c r="D226" t="s">
        <v>4080</v>
      </c>
      <c r="E226">
        <v>2013</v>
      </c>
      <c r="F226" s="9"/>
      <c r="H226" s="20" t="str">
        <f t="shared" si="3"/>
        <v>(nextval('obj_part_id_seq'), (select id from obj_building_v where zip||'|'||street||'|'||name||'|'||volume = '9470|Hanflandstr. 3|Kindergarten / HW-Wohnung|1320.00'), 'P49', 0, null, 2013,null),</v>
      </c>
    </row>
    <row r="227" spans="1:8" x14ac:dyDescent="0.25">
      <c r="A227" s="9" t="s">
        <v>1260</v>
      </c>
      <c r="B227" s="9" t="s">
        <v>1097</v>
      </c>
      <c r="C227">
        <v>0</v>
      </c>
      <c r="D227" t="s">
        <v>4080</v>
      </c>
      <c r="E227">
        <v>2013</v>
      </c>
      <c r="F227" s="9"/>
      <c r="H227" s="20" t="str">
        <f t="shared" si="3"/>
        <v>(nextval('obj_part_id_seq'), (select id from obj_building_v where zip||'|'||street||'|'||name||'|'||volume = '9470|Hanflandstr. 3|Kindergarten / HW-Wohnung|1320.00'), 'P2', 0, null, 2013,null),</v>
      </c>
    </row>
    <row r="228" spans="1:8" x14ac:dyDescent="0.25">
      <c r="A228" s="9" t="s">
        <v>1260</v>
      </c>
      <c r="B228" s="9" t="s">
        <v>1099</v>
      </c>
      <c r="C228">
        <v>20</v>
      </c>
      <c r="D228">
        <v>90</v>
      </c>
      <c r="E228">
        <v>2013</v>
      </c>
      <c r="F228" s="9" t="s">
        <v>1262</v>
      </c>
      <c r="H228" s="20" t="str">
        <f t="shared" si="3"/>
        <v>(nextval('obj_part_id_seq'), (select id from obj_building_v where zip||'|'||street||'|'||name||'|'||volume = '9470|Hanflandstr. 3|Kindergarten / HW-Wohnung|1320.00'), 'P3', 20, 90, 2013,'Kiesdach, bittuminös (konnte nicht besichtigt werden)'),</v>
      </c>
    </row>
    <row r="229" spans="1:8" x14ac:dyDescent="0.25">
      <c r="A229" s="9" t="s">
        <v>1260</v>
      </c>
      <c r="B229" s="9" t="s">
        <v>1100</v>
      </c>
      <c r="C229">
        <v>8</v>
      </c>
      <c r="D229">
        <v>90</v>
      </c>
      <c r="E229">
        <v>2013</v>
      </c>
      <c r="F229" s="9" t="s">
        <v>1263</v>
      </c>
      <c r="H229" s="20" t="str">
        <f t="shared" si="3"/>
        <v>(nextval('obj_part_id_seq'), (select id from obj_building_v where zip||'|'||street||'|'||name||'|'||volume = '9470|Hanflandstr. 3|Kindergarten / HW-Wohnung|1320.00'), 'P4', 8, 90, 2013,'Sichtmauermauerwerk, Stahlbeton, Balkon mit Wintergarten-Verglasung über Aussentreppe'),</v>
      </c>
    </row>
    <row r="230" spans="1:8" x14ac:dyDescent="0.25">
      <c r="A230" s="9" t="s">
        <v>1260</v>
      </c>
      <c r="B230" s="9" t="s">
        <v>1102</v>
      </c>
      <c r="C230">
        <v>14</v>
      </c>
      <c r="D230">
        <v>90</v>
      </c>
      <c r="E230">
        <v>2013</v>
      </c>
      <c r="F230" s="9" t="s">
        <v>1264</v>
      </c>
      <c r="H230" s="20" t="str">
        <f t="shared" si="3"/>
        <v>(nextval('obj_part_id_seq'), (select id from obj_building_v where zip||'|'||street||'|'||name||'|'||volume = '9470|Hanflandstr. 3|Kindergarten / HW-Wohnung|1320.00'), 'P5', 14, 90, 2013,'Holz-Metall 2001, RL-Storen elektr.'),</v>
      </c>
    </row>
    <row r="231" spans="1:8" x14ac:dyDescent="0.25">
      <c r="A231" s="9" t="s">
        <v>1260</v>
      </c>
      <c r="B231" s="9" t="s">
        <v>1110</v>
      </c>
      <c r="C231">
        <v>4</v>
      </c>
      <c r="D231">
        <v>90</v>
      </c>
      <c r="E231">
        <v>2013</v>
      </c>
      <c r="F231" s="9" t="s">
        <v>1265</v>
      </c>
      <c r="H231" s="20" t="str">
        <f t="shared" si="3"/>
        <v>(nextval('obj_part_id_seq'), (select id from obj_building_v where zip||'|'||street||'|'||name||'|'||volume = '9470|Hanflandstr. 3|Kindergarten / HW-Wohnung|1320.00'), 'P9', 4, 90, 2013,'zentrale Uhr, Gong'),</v>
      </c>
    </row>
    <row r="232" spans="1:8" x14ac:dyDescent="0.25">
      <c r="A232" s="9" t="s">
        <v>1260</v>
      </c>
      <c r="B232" s="9" t="s">
        <v>1104</v>
      </c>
      <c r="C232">
        <v>0</v>
      </c>
      <c r="D232" t="s">
        <v>4080</v>
      </c>
      <c r="E232">
        <v>2013</v>
      </c>
      <c r="F232" s="9" t="s">
        <v>1235</v>
      </c>
      <c r="H232" s="20" t="str">
        <f t="shared" si="3"/>
        <v>(nextval('obj_part_id_seq'), (select id from obj_building_v where zip||'|'||street||'|'||name||'|'||volume = '9470|Hanflandstr. 3|Kindergarten / HW-Wohnung|1320.00'), 'P6', 0, null, 2013,'Fernwärme'),</v>
      </c>
    </row>
    <row r="233" spans="1:8" x14ac:dyDescent="0.25">
      <c r="A233" s="9" t="s">
        <v>1260</v>
      </c>
      <c r="B233" s="9" t="s">
        <v>1106</v>
      </c>
      <c r="C233">
        <v>3</v>
      </c>
      <c r="D233">
        <v>90</v>
      </c>
      <c r="E233">
        <v>2013</v>
      </c>
      <c r="F233" s="9" t="s">
        <v>1107</v>
      </c>
      <c r="H233" s="20" t="str">
        <f t="shared" si="3"/>
        <v>(nextval('obj_part_id_seq'), (select id from obj_building_v where zip||'|'||street||'|'||name||'|'||volume = '9470|Hanflandstr. 3|Kindergarten / HW-Wohnung|1320.00'), 'P7', 3, 90, 2013,'Radiatoren mit Thermostaten'),</v>
      </c>
    </row>
    <row r="234" spans="1:8" x14ac:dyDescent="0.25">
      <c r="A234" s="9" t="s">
        <v>1260</v>
      </c>
      <c r="B234" s="9" t="s">
        <v>1135</v>
      </c>
      <c r="C234">
        <v>1</v>
      </c>
      <c r="D234">
        <v>90</v>
      </c>
      <c r="E234">
        <v>2013</v>
      </c>
      <c r="F234" s="9" t="s">
        <v>1266</v>
      </c>
      <c r="H234" s="20" t="str">
        <f t="shared" si="3"/>
        <v>(nextval('obj_part_id_seq'), (select id from obj_building_v where zip||'|'||street||'|'||name||'|'||volume = '9470|Hanflandstr. 3|Kindergarten / HW-Wohnung|1320.00'), 'P54', 1, 90, 2013,'Apparate und Armaturen ohne Mängel, WM/WT, Boiler'),</v>
      </c>
    </row>
    <row r="235" spans="1:8" x14ac:dyDescent="0.25">
      <c r="A235" s="9" t="s">
        <v>1260</v>
      </c>
      <c r="B235" s="9" t="s">
        <v>1137</v>
      </c>
      <c r="C235">
        <v>3</v>
      </c>
      <c r="D235">
        <v>90</v>
      </c>
      <c r="E235">
        <v>2013</v>
      </c>
      <c r="F235" s="9" t="s">
        <v>1267</v>
      </c>
      <c r="H235" s="20" t="str">
        <f t="shared" si="3"/>
        <v>(nextval('obj_part_id_seq'), (select id from obj_building_v where zip||'|'||street||'|'||name||'|'||volume = '9470|Hanflandstr. 3|Kindergarten / HW-Wohnung|1320.00'), 'P55', 3, 90, 2013,'Leitungen ohne Mängel'),</v>
      </c>
    </row>
    <row r="236" spans="1:8" x14ac:dyDescent="0.25">
      <c r="A236" s="9" t="s">
        <v>1260</v>
      </c>
      <c r="B236" s="9" t="s">
        <v>1138</v>
      </c>
      <c r="C236">
        <v>17</v>
      </c>
      <c r="D236">
        <v>90</v>
      </c>
      <c r="E236">
        <v>2013</v>
      </c>
      <c r="F236" s="9" t="s">
        <v>1268</v>
      </c>
      <c r="H236" s="20" t="str">
        <f t="shared" si="3"/>
        <v>(nextval('obj_part_id_seq'), (select id from obj_building_v where zip||'|'||street||'|'||name||'|'||volume = '9470|Hanflandstr. 3|Kindergarten / HW-Wohnung|1320.00'), 'P57', 17, 90, 2013,'Garderobe, Einbauschränke, Küche'),</v>
      </c>
    </row>
    <row r="237" spans="1:8" x14ac:dyDescent="0.25">
      <c r="A237" s="9" t="s">
        <v>1260</v>
      </c>
      <c r="B237" s="9" t="s">
        <v>1140</v>
      </c>
      <c r="C237">
        <v>3</v>
      </c>
      <c r="D237">
        <v>80</v>
      </c>
      <c r="E237">
        <v>2013</v>
      </c>
      <c r="F237" s="9" t="s">
        <v>1269</v>
      </c>
      <c r="H237" s="20" t="str">
        <f t="shared" si="3"/>
        <v>(nextval('obj_part_id_seq'), (select id from obj_building_v where zip||'|'||street||'|'||name||'|'||volume = '9470|Hanflandstr. 3|Kindergarten / HW-Wohnung|1320.00'), 'P58', 3, 80, 2013,'B: Parkett, Laminat, Keramik, Zement, W: Glasfasertapete, Keramik, Verputz, D: Verputz, Heraklith, Risse in Decke Bad HW-Wohnung'),</v>
      </c>
    </row>
    <row r="238" spans="1:8" x14ac:dyDescent="0.25">
      <c r="A238" s="9" t="s">
        <v>1260</v>
      </c>
      <c r="B238" s="9" t="s">
        <v>1142</v>
      </c>
      <c r="C238">
        <v>0</v>
      </c>
      <c r="D238" t="s">
        <v>4080</v>
      </c>
      <c r="E238">
        <v>2013</v>
      </c>
      <c r="F238" s="9"/>
      <c r="H238" s="20" t="str">
        <f t="shared" si="3"/>
        <v>(nextval('obj_part_id_seq'), (select id from obj_building_v where zip||'|'||street||'|'||name||'|'||volume = '9470|Hanflandstr. 3|Kindergarten / HW-Wohnung|1320.00'), 'P60', 0, null, 2013,null),</v>
      </c>
    </row>
    <row r="239" spans="1:8" x14ac:dyDescent="0.25">
      <c r="A239" s="9" t="s">
        <v>1260</v>
      </c>
      <c r="B239" s="9" t="s">
        <v>1143</v>
      </c>
      <c r="C239">
        <v>0</v>
      </c>
      <c r="D239" t="s">
        <v>4080</v>
      </c>
      <c r="E239">
        <v>2013</v>
      </c>
      <c r="F239" s="9"/>
      <c r="H239" s="20" t="str">
        <f t="shared" si="3"/>
        <v>(nextval('obj_part_id_seq'), (select id from obj_building_v where zip||'|'||street||'|'||name||'|'||volume = '9470|Hanflandstr. 3|Kindergarten / HW-Wohnung|1320.00'), 'P61', 0, null, 2013,null),</v>
      </c>
    </row>
    <row r="240" spans="1:8" x14ac:dyDescent="0.25">
      <c r="A240" s="9" t="s">
        <v>1260</v>
      </c>
      <c r="B240" s="9" t="s">
        <v>1144</v>
      </c>
      <c r="C240">
        <v>0</v>
      </c>
      <c r="D240" t="s">
        <v>4080</v>
      </c>
      <c r="E240">
        <v>2013</v>
      </c>
      <c r="F240" s="9"/>
      <c r="H240" s="20" t="str">
        <f t="shared" si="3"/>
        <v>(nextval('obj_part_id_seq'), (select id from obj_building_v where zip||'|'||street||'|'||name||'|'||volume = '9470|Hanflandstr. 3|Kindergarten / HW-Wohnung|1320.00'), 'P62', 0, null, 2013,null),</v>
      </c>
    </row>
    <row r="241" spans="1:8" x14ac:dyDescent="0.25">
      <c r="A241" s="9" t="s">
        <v>1270</v>
      </c>
      <c r="B241" s="9" t="s">
        <v>1127</v>
      </c>
      <c r="C241">
        <v>27</v>
      </c>
      <c r="D241">
        <v>90</v>
      </c>
      <c r="E241">
        <v>2013</v>
      </c>
      <c r="F241" s="9" t="s">
        <v>1271</v>
      </c>
      <c r="H241" s="20" t="str">
        <f t="shared" si="3"/>
        <v>(nextval('obj_part_id_seq'), (select id from obj_building_v where zip||'|'||street||'|'||name||'|'||volume = '9470|Birkenaustrasse 12|Kindergarten-Pavillon Birkenau|1812.00'), 'P48', 27, 90, 2013,'Holzständerbau, Fundament z.T. gemauert und unterlüftet, z.T. betoniert'),</v>
      </c>
    </row>
    <row r="242" spans="1:8" x14ac:dyDescent="0.25">
      <c r="A242" s="9" t="s">
        <v>1270</v>
      </c>
      <c r="B242" s="9" t="s">
        <v>1129</v>
      </c>
      <c r="C242">
        <v>0</v>
      </c>
      <c r="D242" t="s">
        <v>4080</v>
      </c>
      <c r="E242">
        <v>2013</v>
      </c>
      <c r="F242" s="9"/>
      <c r="H242" s="20" t="str">
        <f t="shared" si="3"/>
        <v>(nextval('obj_part_id_seq'), (select id from obj_building_v where zip||'|'||street||'|'||name||'|'||volume = '9470|Birkenaustrasse 12|Kindergarten-Pavillon Birkenau|1812.00'), 'P49', 0, null, 2013,null),</v>
      </c>
    </row>
    <row r="243" spans="1:8" x14ac:dyDescent="0.25">
      <c r="A243" s="9" t="s">
        <v>1270</v>
      </c>
      <c r="B243" s="9" t="s">
        <v>1097</v>
      </c>
      <c r="C243">
        <v>20</v>
      </c>
      <c r="D243">
        <v>90</v>
      </c>
      <c r="E243">
        <v>2013</v>
      </c>
      <c r="F243" s="9" t="s">
        <v>1272</v>
      </c>
      <c r="H243" s="20" t="str">
        <f t="shared" si="3"/>
        <v>(nextval('obj_part_id_seq'), (select id from obj_building_v where zip||'|'||street||'|'||name||'|'||volume = '9470|Birkenaustrasse 12|Kindergarten-Pavillon Birkenau|1812.00'), 'P2', 20, 90, 2013,'Sattel- und Pultdach mit Falzziegel und bituminöser Dichtungsschicht im Anbau, Feuchtigkeitsflecken auf Dachboden vorhanden (Ursache abklären!)'),</v>
      </c>
    </row>
    <row r="244" spans="1:8" x14ac:dyDescent="0.25">
      <c r="A244" s="9" t="s">
        <v>1270</v>
      </c>
      <c r="B244" s="9" t="s">
        <v>1099</v>
      </c>
      <c r="C244">
        <v>0</v>
      </c>
      <c r="D244" t="s">
        <v>4080</v>
      </c>
      <c r="E244">
        <v>2013</v>
      </c>
      <c r="F244" s="9"/>
      <c r="H244" s="20" t="str">
        <f t="shared" si="3"/>
        <v>(nextval('obj_part_id_seq'), (select id from obj_building_v where zip||'|'||street||'|'||name||'|'||volume = '9470|Birkenaustrasse 12|Kindergarten-Pavillon Birkenau|1812.00'), 'P3', 0, null, 2013,null),</v>
      </c>
    </row>
    <row r="245" spans="1:8" x14ac:dyDescent="0.25">
      <c r="A245" s="9" t="s">
        <v>1270</v>
      </c>
      <c r="B245" s="9" t="s">
        <v>1100</v>
      </c>
      <c r="C245">
        <v>8</v>
      </c>
      <c r="D245">
        <v>90</v>
      </c>
      <c r="E245">
        <v>2013</v>
      </c>
      <c r="F245" s="9" t="s">
        <v>1273</v>
      </c>
      <c r="H245" s="20" t="str">
        <f t="shared" si="3"/>
        <v>(nextval('obj_part_id_seq'), (select id from obj_building_v where zip||'|'||street||'|'||name||'|'||volume = '9470|Birkenaustrasse 12|Kindergarten-Pavillon Birkenau|1812.00'), 'P4', 8, 90, 2013,'Holz, gestrichen im Hauptgebäude'),</v>
      </c>
    </row>
    <row r="246" spans="1:8" x14ac:dyDescent="0.25">
      <c r="A246" s="9" t="s">
        <v>1270</v>
      </c>
      <c r="B246" s="9" t="s">
        <v>1102</v>
      </c>
      <c r="C246">
        <v>14</v>
      </c>
      <c r="D246">
        <v>90</v>
      </c>
      <c r="E246">
        <v>2013</v>
      </c>
      <c r="F246" s="9" t="s">
        <v>1274</v>
      </c>
      <c r="H246" s="20" t="str">
        <f t="shared" si="3"/>
        <v>(nextval('obj_part_id_seq'), (select id from obj_building_v where zip||'|'||street||'|'||name||'|'||volume = '9470|Birkenaustrasse 12|Kindergarten-Pavillon Birkenau|1812.00'), 'P5', 14, 90, 2013,'Holz, Holz-/Metall (''12), Dreifach-Verglasung im Anbau, RL-Storen elektr.'),</v>
      </c>
    </row>
    <row r="247" spans="1:8" x14ac:dyDescent="0.25">
      <c r="A247" s="9" t="s">
        <v>1270</v>
      </c>
      <c r="B247" s="9" t="s">
        <v>1110</v>
      </c>
      <c r="C247">
        <v>4</v>
      </c>
      <c r="D247">
        <v>80</v>
      </c>
      <c r="E247">
        <v>2013</v>
      </c>
      <c r="F247" s="9" t="s">
        <v>1275</v>
      </c>
      <c r="H247" s="20" t="str">
        <f t="shared" si="3"/>
        <v>(nextval('obj_part_id_seq'), (select id from obj_building_v where zip||'|'||street||'|'||name||'|'||volume = '9470|Birkenaustrasse 12|Kindergarten-Pavillon Birkenau|1812.00'), 'P9', 4, 80, 2013,'tw. alte Keramiksicherungen, Aufputztableau (Abklärung, ob Grundplatte asbesthaltig ist)'),</v>
      </c>
    </row>
    <row r="248" spans="1:8" x14ac:dyDescent="0.25">
      <c r="A248" s="9" t="s">
        <v>1270</v>
      </c>
      <c r="B248" s="9" t="s">
        <v>1104</v>
      </c>
      <c r="C248">
        <v>0</v>
      </c>
      <c r="D248" t="s">
        <v>4080</v>
      </c>
      <c r="E248">
        <v>2013</v>
      </c>
      <c r="F248" s="9" t="s">
        <v>1235</v>
      </c>
      <c r="H248" s="20" t="str">
        <f t="shared" si="3"/>
        <v>(nextval('obj_part_id_seq'), (select id from obj_building_v where zip||'|'||street||'|'||name||'|'||volume = '9470|Birkenaustrasse 12|Kindergarten-Pavillon Birkenau|1812.00'), 'P6', 0, null, 2013,'Fernwärme'),</v>
      </c>
    </row>
    <row r="249" spans="1:8" x14ac:dyDescent="0.25">
      <c r="A249" s="9" t="s">
        <v>1270</v>
      </c>
      <c r="B249" s="9" t="s">
        <v>1106</v>
      </c>
      <c r="C249">
        <v>3</v>
      </c>
      <c r="D249">
        <v>90</v>
      </c>
      <c r="E249">
        <v>2013</v>
      </c>
      <c r="F249" s="9" t="s">
        <v>1276</v>
      </c>
      <c r="H249" s="20" t="str">
        <f t="shared" si="3"/>
        <v>(nextval('obj_part_id_seq'), (select id from obj_building_v where zip||'|'||street||'|'||name||'|'||volume = '9470|Birkenaustrasse 12|Kindergarten-Pavillon Birkenau|1812.00'), 'P7', 3, 90, 2013,'Radiatoren ohne und tw. mit Thermostaten'),</v>
      </c>
    </row>
    <row r="250" spans="1:8" x14ac:dyDescent="0.25">
      <c r="A250" s="9" t="s">
        <v>1270</v>
      </c>
      <c r="B250" s="9" t="s">
        <v>1135</v>
      </c>
      <c r="C250">
        <v>1</v>
      </c>
      <c r="D250">
        <v>90</v>
      </c>
      <c r="E250">
        <v>2013</v>
      </c>
      <c r="F250" s="9" t="s">
        <v>1277</v>
      </c>
      <c r="H250" s="20" t="str">
        <f t="shared" si="3"/>
        <v>(nextval('obj_part_id_seq'), (select id from obj_building_v where zip||'|'||street||'|'||name||'|'||volume = '9470|Birkenaustrasse 12|Kindergarten-Pavillon Birkenau|1812.00'), 'P54', 1, 90, 2013,'Apparate neuwertig, Boiler vermutlich Jahrgang ''66'),</v>
      </c>
    </row>
    <row r="251" spans="1:8" x14ac:dyDescent="0.25">
      <c r="A251" s="9" t="s">
        <v>1270</v>
      </c>
      <c r="B251" s="9" t="s">
        <v>1137</v>
      </c>
      <c r="C251">
        <v>3</v>
      </c>
      <c r="D251">
        <v>90</v>
      </c>
      <c r="E251">
        <v>2013</v>
      </c>
      <c r="F251" s="9" t="s">
        <v>1278</v>
      </c>
      <c r="H251" s="20" t="str">
        <f t="shared" si="3"/>
        <v>(nextval('obj_part_id_seq'), (select id from obj_building_v where zip||'|'||street||'|'||name||'|'||volume = '9470|Birkenaustrasse 12|Kindergarten-Pavillon Birkenau|1812.00'), 'P55', 3, 90, 2013,'Leitungen wahrscheinlich älter, aber ohne Mängel'),</v>
      </c>
    </row>
    <row r="252" spans="1:8" x14ac:dyDescent="0.25">
      <c r="A252" s="9" t="s">
        <v>1270</v>
      </c>
      <c r="B252" s="9" t="s">
        <v>1138</v>
      </c>
      <c r="C252">
        <v>17</v>
      </c>
      <c r="D252">
        <v>90</v>
      </c>
      <c r="E252">
        <v>2013</v>
      </c>
      <c r="F252" s="9" t="s">
        <v>1279</v>
      </c>
      <c r="H252" s="20" t="str">
        <f t="shared" si="3"/>
        <v>(nextval('obj_part_id_seq'), (select id from obj_building_v where zip||'|'||street||'|'||name||'|'||volume = '9470|Birkenaustrasse 12|Kindergarten-Pavillon Birkenau|1812.00'), 'P57', 17, 90, 2013,'Garderobe, Einbauschränke, Schiebetüre, Küche, Innentüren aus Glas-/Holz'),</v>
      </c>
    </row>
    <row r="253" spans="1:8" x14ac:dyDescent="0.25">
      <c r="A253" s="9" t="s">
        <v>1270</v>
      </c>
      <c r="B253" s="9" t="s">
        <v>1140</v>
      </c>
      <c r="C253">
        <v>3</v>
      </c>
      <c r="D253">
        <v>90</v>
      </c>
      <c r="E253">
        <v>2013</v>
      </c>
      <c r="F253" s="9" t="s">
        <v>1280</v>
      </c>
      <c r="H253" s="20" t="str">
        <f t="shared" si="3"/>
        <v>(nextval('obj_part_id_seq'), (select id from obj_building_v where zip||'|'||street||'|'||name||'|'||volume = '9470|Birkenaustrasse 12|Kindergarten-Pavillon Birkenau|1812.00'), 'P58', 3, 90, 2013,'B: Gummi, Kork, W: Täfer tw. Verputz, D: Täfer'),</v>
      </c>
    </row>
    <row r="254" spans="1:8" x14ac:dyDescent="0.25">
      <c r="A254" s="9" t="s">
        <v>1270</v>
      </c>
      <c r="B254" s="9" t="s">
        <v>1142</v>
      </c>
      <c r="C254">
        <v>0</v>
      </c>
      <c r="D254" t="s">
        <v>4080</v>
      </c>
      <c r="E254">
        <v>2013</v>
      </c>
      <c r="F254" s="9"/>
      <c r="H254" s="20" t="str">
        <f t="shared" si="3"/>
        <v>(nextval('obj_part_id_seq'), (select id from obj_building_v where zip||'|'||street||'|'||name||'|'||volume = '9470|Birkenaustrasse 12|Kindergarten-Pavillon Birkenau|1812.00'), 'P60', 0, null, 2013,null),</v>
      </c>
    </row>
    <row r="255" spans="1:8" x14ac:dyDescent="0.25">
      <c r="A255" s="9" t="s">
        <v>1270</v>
      </c>
      <c r="B255" s="9" t="s">
        <v>1143</v>
      </c>
      <c r="C255">
        <v>0</v>
      </c>
      <c r="D255" t="s">
        <v>4080</v>
      </c>
      <c r="E255">
        <v>2013</v>
      </c>
      <c r="F255" s="9"/>
      <c r="H255" s="20" t="str">
        <f t="shared" si="3"/>
        <v>(nextval('obj_part_id_seq'), (select id from obj_building_v where zip||'|'||street||'|'||name||'|'||volume = '9470|Birkenaustrasse 12|Kindergarten-Pavillon Birkenau|1812.00'), 'P61', 0, null, 2013,null),</v>
      </c>
    </row>
    <row r="256" spans="1:8" x14ac:dyDescent="0.25">
      <c r="A256" s="9" t="s">
        <v>1270</v>
      </c>
      <c r="B256" s="9" t="s">
        <v>1144</v>
      </c>
      <c r="C256">
        <v>0</v>
      </c>
      <c r="D256" t="s">
        <v>4080</v>
      </c>
      <c r="E256">
        <v>2013</v>
      </c>
      <c r="F256" s="9"/>
      <c r="H256" s="20" t="str">
        <f t="shared" si="3"/>
        <v>(nextval('obj_part_id_seq'), (select id from obj_building_v where zip||'|'||street||'|'||name||'|'||volume = '9470|Birkenaustrasse 12|Kindergarten-Pavillon Birkenau|1812.00'), 'P62', 0, null, 2013,null),</v>
      </c>
    </row>
    <row r="257" spans="1:8" x14ac:dyDescent="0.25">
      <c r="A257" s="9" t="s">
        <v>1281</v>
      </c>
      <c r="B257" s="9" t="s">
        <v>1127</v>
      </c>
      <c r="C257">
        <v>42</v>
      </c>
      <c r="D257">
        <v>90</v>
      </c>
      <c r="E257">
        <v>2013</v>
      </c>
      <c r="F257" s="9" t="s">
        <v>1282</v>
      </c>
      <c r="H257" s="20" t="str">
        <f t="shared" si="3"/>
        <v>(nextval('obj_part_id_seq'), (select id from obj_building_v where zip||'|'||street||'|'||name||'|'||volume = '9470|Heldaustrasse 48|Aula OZ Flös|2117.00'), 'P48', 42, 90, 2013,'Stahlbeton und Natursteinmauerwerk'),</v>
      </c>
    </row>
    <row r="258" spans="1:8" x14ac:dyDescent="0.25">
      <c r="A258" s="9" t="s">
        <v>1281</v>
      </c>
      <c r="B258" s="9" t="s">
        <v>1129</v>
      </c>
      <c r="C258">
        <v>0</v>
      </c>
      <c r="D258" t="s">
        <v>4080</v>
      </c>
      <c r="E258">
        <v>2013</v>
      </c>
      <c r="F258" s="9"/>
      <c r="H258" s="20" t="str">
        <f t="shared" si="3"/>
        <v>(nextval('obj_part_id_seq'), (select id from obj_building_v where zip||'|'||street||'|'||name||'|'||volume = '9470|Heldaustrasse 48|Aula OZ Flös|2117.00'), 'P49', 0, null, 2013,null),</v>
      </c>
    </row>
    <row r="259" spans="1:8" x14ac:dyDescent="0.25">
      <c r="A259" s="9" t="s">
        <v>1281</v>
      </c>
      <c r="B259" s="9" t="s">
        <v>1097</v>
      </c>
      <c r="C259">
        <v>0</v>
      </c>
      <c r="D259" t="s">
        <v>4080</v>
      </c>
      <c r="E259">
        <v>2013</v>
      </c>
      <c r="F259" s="9"/>
      <c r="H259" s="20" t="str">
        <f t="shared" si="3"/>
        <v>(nextval('obj_part_id_seq'), (select id from obj_building_v where zip||'|'||street||'|'||name||'|'||volume = '9470|Heldaustrasse 48|Aula OZ Flös|2117.00'), 'P2', 0, null, 2013,null),</v>
      </c>
    </row>
    <row r="260" spans="1:8" x14ac:dyDescent="0.25">
      <c r="A260" s="9" t="s">
        <v>1281</v>
      </c>
      <c r="B260" s="9" t="s">
        <v>1099</v>
      </c>
      <c r="C260">
        <v>8</v>
      </c>
      <c r="D260">
        <v>90</v>
      </c>
      <c r="E260">
        <v>2013</v>
      </c>
      <c r="F260" s="9" t="s">
        <v>1283</v>
      </c>
      <c r="H260" s="20" t="str">
        <f t="shared" si="3"/>
        <v>(nextval('obj_part_id_seq'), (select id from obj_building_v where zip||'|'||street||'|'||name||'|'||volume = '9470|Heldaustrasse 48|Aula OZ Flös|2117.00'), 'P3', 8, 90, 2013,'Extensivbegrünung (konnte nicht besichtigt werden)'),</v>
      </c>
    </row>
    <row r="261" spans="1:8" x14ac:dyDescent="0.25">
      <c r="A261" s="9" t="s">
        <v>1281</v>
      </c>
      <c r="B261" s="9" t="s">
        <v>1100</v>
      </c>
      <c r="C261">
        <v>7</v>
      </c>
      <c r="D261">
        <v>90</v>
      </c>
      <c r="E261">
        <v>2013</v>
      </c>
      <c r="F261" s="9" t="s">
        <v>1284</v>
      </c>
      <c r="H261" s="20" t="str">
        <f t="shared" ref="H261:H324" si="4">"(nextval('obj_part_id_seq'), (select id from obj_building_v where zip||'|'||street||'|'||name||'|'||volume = '"&amp;A261&amp;"'), '"&amp;B261&amp;"', "&amp;C261&amp;", "&amp;D261&amp;", "&amp;IF(ISBLANK(E261),"null",E261)&amp;","&amp;IF(ISBLANK(F261),"null","'"&amp;F261&amp;"'")&amp;"),"</f>
        <v>(nextval('obj_part_id_seq'), (select id from obj_building_v where zip||'|'||street||'|'||name||'|'||volume = '9470|Heldaustrasse 48|Aula OZ Flös|2117.00'), 'P4', 7, 90, 2013,'Naturstein und Stulpschalung aus Zinkblechen, bei starkem Wind hebt es zum Teil die Platten der Aussenfassade ab, tw. Holz bei Bibliothek'),</v>
      </c>
    </row>
    <row r="262" spans="1:8" x14ac:dyDescent="0.25">
      <c r="A262" s="9" t="s">
        <v>1281</v>
      </c>
      <c r="B262" s="9" t="s">
        <v>1102</v>
      </c>
      <c r="C262">
        <v>10</v>
      </c>
      <c r="D262">
        <v>90</v>
      </c>
      <c r="E262">
        <v>2013</v>
      </c>
      <c r="F262" s="9" t="s">
        <v>1285</v>
      </c>
      <c r="H262" s="20" t="str">
        <f t="shared" si="4"/>
        <v>(nextval('obj_part_id_seq'), (select id from obj_building_v where zip||'|'||street||'|'||name||'|'||volume = '9470|Heldaustrasse 48|Aula OZ Flös|2117.00'), 'P5', 10, 90, 2013,'Holzmetall (''94/10), RL-Storen elektr., automatische Schiebetüre aus Metall/Glas, Bühnentor, Fluchttüre aus Metall'),</v>
      </c>
    </row>
    <row r="263" spans="1:8" x14ac:dyDescent="0.25">
      <c r="A263" s="9" t="s">
        <v>1281</v>
      </c>
      <c r="B263" s="9" t="s">
        <v>1164</v>
      </c>
      <c r="C263">
        <v>6</v>
      </c>
      <c r="D263">
        <v>90</v>
      </c>
      <c r="E263">
        <v>2013</v>
      </c>
      <c r="F263" s="9" t="s">
        <v>1286</v>
      </c>
      <c r="H263" s="20" t="str">
        <f t="shared" si="4"/>
        <v>(nextval('obj_part_id_seq'), (select id from obj_building_v where zip||'|'||street||'|'||name||'|'||volume = '9470|Heldaustrasse 48|Aula OZ Flös|2117.00'), 'P50', 6, 90, 2013,'neuere Sicherungen, Bühnentechnik, Beleuchtung'),</v>
      </c>
    </row>
    <row r="264" spans="1:8" x14ac:dyDescent="0.25">
      <c r="A264" s="9" t="s">
        <v>1281</v>
      </c>
      <c r="B264" s="9" t="s">
        <v>1166</v>
      </c>
      <c r="C264">
        <v>1</v>
      </c>
      <c r="D264">
        <v>90</v>
      </c>
      <c r="E264">
        <v>2013</v>
      </c>
      <c r="F264" s="9" t="s">
        <v>1287</v>
      </c>
      <c r="H264" s="20" t="str">
        <f t="shared" si="4"/>
        <v>(nextval('obj_part_id_seq'), (select id from obj_building_v where zip||'|'||street||'|'||name||'|'||volume = '9470|Heldaustrasse 48|Aula OZ Flös|2117.00'), 'P51', 1, 90, 2013,'Gong'),</v>
      </c>
    </row>
    <row r="265" spans="1:8" x14ac:dyDescent="0.25">
      <c r="A265" s="9" t="s">
        <v>1281</v>
      </c>
      <c r="B265" s="9" t="s">
        <v>1104</v>
      </c>
      <c r="C265">
        <v>0</v>
      </c>
      <c r="D265" t="s">
        <v>4080</v>
      </c>
      <c r="E265">
        <v>2013</v>
      </c>
      <c r="F265" s="9" t="s">
        <v>1235</v>
      </c>
      <c r="H265" s="20" t="str">
        <f t="shared" si="4"/>
        <v>(nextval('obj_part_id_seq'), (select id from obj_building_v where zip||'|'||street||'|'||name||'|'||volume = '9470|Heldaustrasse 48|Aula OZ Flös|2117.00'), 'P6', 0, null, 2013,'Fernwärme'),</v>
      </c>
    </row>
    <row r="266" spans="1:8" x14ac:dyDescent="0.25">
      <c r="A266" s="9" t="s">
        <v>1281</v>
      </c>
      <c r="B266" s="9" t="s">
        <v>1106</v>
      </c>
      <c r="C266">
        <v>3</v>
      </c>
      <c r="D266">
        <v>90</v>
      </c>
      <c r="E266">
        <v>2013</v>
      </c>
      <c r="F266" s="9" t="s">
        <v>1288</v>
      </c>
      <c r="H266" s="20" t="str">
        <f t="shared" si="4"/>
        <v>(nextval('obj_part_id_seq'), (select id from obj_building_v where zip||'|'||street||'|'||name||'|'||volume = '9470|Heldaustrasse 48|Aula OZ Flös|2117.00'), 'P7', 3, 90, 2013,'Heizlüftung, Radiatoren mit Thermostaten, tw. Bodenheizung'),</v>
      </c>
    </row>
    <row r="267" spans="1:8" x14ac:dyDescent="0.25">
      <c r="A267" s="9" t="s">
        <v>1281</v>
      </c>
      <c r="B267" s="9" t="s">
        <v>1108</v>
      </c>
      <c r="C267">
        <v>4</v>
      </c>
      <c r="D267">
        <v>90</v>
      </c>
      <c r="E267">
        <v>2013</v>
      </c>
      <c r="F267" s="9" t="s">
        <v>1257</v>
      </c>
      <c r="H267" s="20" t="str">
        <f t="shared" si="4"/>
        <v>(nextval('obj_part_id_seq'), (select id from obj_building_v where zip||'|'||street||'|'||name||'|'||volume = '9470|Heldaustrasse 48|Aula OZ Flös|2117.00'), 'P8', 4, 90, 2013,'Apparate neuwertig'),</v>
      </c>
    </row>
    <row r="268" spans="1:8" x14ac:dyDescent="0.25">
      <c r="A268" s="9" t="s">
        <v>1281</v>
      </c>
      <c r="B268" s="9" t="s">
        <v>1138</v>
      </c>
      <c r="C268">
        <v>11</v>
      </c>
      <c r="D268">
        <v>90</v>
      </c>
      <c r="E268">
        <v>2013</v>
      </c>
      <c r="F268" s="9" t="s">
        <v>1289</v>
      </c>
      <c r="H268" s="20" t="str">
        <f t="shared" si="4"/>
        <v>(nextval('obj_part_id_seq'), (select id from obj_building_v where zip||'|'||street||'|'||name||'|'||volume = '9470|Heldaustrasse 48|Aula OZ Flös|2117.00'), 'P57', 11, 90, 2013,'Bühne mit integriertem Tischmagazin, Holzschiebewand, Küche, Holztreppe im Bühnenbereich'),</v>
      </c>
    </row>
    <row r="269" spans="1:8" x14ac:dyDescent="0.25">
      <c r="A269" s="9" t="s">
        <v>1281</v>
      </c>
      <c r="B269" s="9" t="s">
        <v>1140</v>
      </c>
      <c r="C269">
        <v>8</v>
      </c>
      <c r="D269">
        <v>90</v>
      </c>
      <c r="E269">
        <v>2013</v>
      </c>
      <c r="F269" s="9" t="s">
        <v>1290</v>
      </c>
      <c r="H269" s="20" t="str">
        <f t="shared" si="4"/>
        <v>(nextval('obj_part_id_seq'), (select id from obj_building_v where zip||'|'||street||'|'||name||'|'||volume = '9470|Heldaustrasse 48|Aula OZ Flös|2117.00'), 'P58', 8, 90, 2013,'B: Parkett, Laminat, Teppich, Klinker, W: Sichtbeton, Pressspanplatten, Keramik, Verputz, D: Täfer, gelochte Metalldecke, tw. Beton'),</v>
      </c>
    </row>
    <row r="270" spans="1:8" x14ac:dyDescent="0.25">
      <c r="A270" s="9" t="s">
        <v>1281</v>
      </c>
      <c r="B270" s="9" t="s">
        <v>1142</v>
      </c>
      <c r="C270">
        <v>0</v>
      </c>
      <c r="D270" t="s">
        <v>4080</v>
      </c>
      <c r="E270">
        <v>2013</v>
      </c>
      <c r="F270" s="9"/>
      <c r="H270" s="20" t="str">
        <f t="shared" si="4"/>
        <v>(nextval('obj_part_id_seq'), (select id from obj_building_v where zip||'|'||street||'|'||name||'|'||volume = '9470|Heldaustrasse 48|Aula OZ Flös|2117.00'), 'P60', 0, null, 2013,null),</v>
      </c>
    </row>
    <row r="271" spans="1:8" x14ac:dyDescent="0.25">
      <c r="A271" s="9" t="s">
        <v>1281</v>
      </c>
      <c r="B271" s="9" t="s">
        <v>1143</v>
      </c>
      <c r="C271">
        <v>0</v>
      </c>
      <c r="D271" t="s">
        <v>4080</v>
      </c>
      <c r="E271">
        <v>2013</v>
      </c>
      <c r="F271" s="9"/>
      <c r="H271" s="20" t="str">
        <f t="shared" si="4"/>
        <v>(nextval('obj_part_id_seq'), (select id from obj_building_v where zip||'|'||street||'|'||name||'|'||volume = '9470|Heldaustrasse 48|Aula OZ Flös|2117.00'), 'P61', 0, null, 2013,null),</v>
      </c>
    </row>
    <row r="272" spans="1:8" x14ac:dyDescent="0.25">
      <c r="A272" s="9" t="s">
        <v>1281</v>
      </c>
      <c r="B272" s="9" t="s">
        <v>1144</v>
      </c>
      <c r="C272">
        <v>0</v>
      </c>
      <c r="D272" t="s">
        <v>4080</v>
      </c>
      <c r="E272">
        <v>2013</v>
      </c>
      <c r="F272" s="9"/>
      <c r="H272" s="20" t="str">
        <f t="shared" si="4"/>
        <v>(nextval('obj_part_id_seq'), (select id from obj_building_v where zip||'|'||street||'|'||name||'|'||volume = '9470|Heldaustrasse 48|Aula OZ Flös|2117.00'), 'P62', 0, null, 2013,null),</v>
      </c>
    </row>
    <row r="273" spans="1:8" x14ac:dyDescent="0.25">
      <c r="A273" s="9" t="s">
        <v>1291</v>
      </c>
      <c r="B273" s="9" t="s">
        <v>1127</v>
      </c>
      <c r="C273">
        <v>41</v>
      </c>
      <c r="D273">
        <v>90</v>
      </c>
      <c r="E273">
        <v>2013</v>
      </c>
      <c r="F273" s="9" t="s">
        <v>1282</v>
      </c>
      <c r="H273" s="20" t="str">
        <f t="shared" si="4"/>
        <v>(nextval('obj_part_id_seq'), (select id from obj_building_v where zip||'|'||street||'|'||name||'|'||volume = '9470|Heldaustrasse 50|Schulanlage / Hallenbad|57081.00'), 'P48', 41, 90, 2013,'Stahlbeton und Natursteinmauerwerk'),</v>
      </c>
    </row>
    <row r="274" spans="1:8" x14ac:dyDescent="0.25">
      <c r="A274" s="9" t="s">
        <v>1291</v>
      </c>
      <c r="B274" s="9" t="s">
        <v>1129</v>
      </c>
      <c r="C274">
        <v>0</v>
      </c>
      <c r="D274" t="s">
        <v>4080</v>
      </c>
      <c r="E274">
        <v>2013</v>
      </c>
      <c r="F274" s="9"/>
      <c r="H274" s="20" t="str">
        <f t="shared" si="4"/>
        <v>(nextval('obj_part_id_seq'), (select id from obj_building_v where zip||'|'||street||'|'||name||'|'||volume = '9470|Heldaustrasse 50|Schulanlage / Hallenbad|57081.00'), 'P49', 0, null, 2013,null),</v>
      </c>
    </row>
    <row r="275" spans="1:8" x14ac:dyDescent="0.25">
      <c r="A275" s="9" t="s">
        <v>1291</v>
      </c>
      <c r="B275" s="9" t="s">
        <v>1097</v>
      </c>
      <c r="C275">
        <v>0</v>
      </c>
      <c r="D275" t="s">
        <v>4080</v>
      </c>
      <c r="E275">
        <v>2013</v>
      </c>
      <c r="F275" s="9"/>
      <c r="H275" s="20" t="str">
        <f t="shared" si="4"/>
        <v>(nextval('obj_part_id_seq'), (select id from obj_building_v where zip||'|'||street||'|'||name||'|'||volume = '9470|Heldaustrasse 50|Schulanlage / Hallenbad|57081.00'), 'P2', 0, null, 2013,null),</v>
      </c>
    </row>
    <row r="276" spans="1:8" x14ac:dyDescent="0.25">
      <c r="A276" s="9" t="s">
        <v>1291</v>
      </c>
      <c r="B276" s="9" t="s">
        <v>1099</v>
      </c>
      <c r="C276">
        <v>8</v>
      </c>
      <c r="D276">
        <v>90</v>
      </c>
      <c r="E276">
        <v>2013</v>
      </c>
      <c r="F276" s="9" t="s">
        <v>1292</v>
      </c>
      <c r="H276" s="20" t="str">
        <f t="shared" si="4"/>
        <v>(nextval('obj_part_id_seq'), (select id from obj_building_v where zip||'|'||street||'|'||name||'|'||volume = '9470|Heldaustrasse 50|Schulanlage / Hallenbad|57081.00'), 'P3', 8, 90, 2013,'Glasbausteine, Cupolux, Oblichter aus Metall, Glasbausteine, Dach begehbar, Extensivbegrünung'),</v>
      </c>
    </row>
    <row r="277" spans="1:8" x14ac:dyDescent="0.25">
      <c r="A277" s="9" t="s">
        <v>1291</v>
      </c>
      <c r="B277" s="9" t="s">
        <v>1100</v>
      </c>
      <c r="C277">
        <v>7</v>
      </c>
      <c r="D277">
        <v>90</v>
      </c>
      <c r="E277">
        <v>2013</v>
      </c>
      <c r="F277" s="9" t="s">
        <v>1293</v>
      </c>
      <c r="H277" s="20" t="str">
        <f t="shared" si="4"/>
        <v>(nextval('obj_part_id_seq'), (select id from obj_building_v where zip||'|'||street||'|'||name||'|'||volume = '9470|Heldaustrasse 50|Schulanlage / Hallenbad|57081.00'), 'P4', 7, 90, 2013,'Naturstein, Stuplschalung aus vorbewitterten Zinkblechen, Gewände aus Blech'),</v>
      </c>
    </row>
    <row r="278" spans="1:8" x14ac:dyDescent="0.25">
      <c r="A278" s="9" t="s">
        <v>1291</v>
      </c>
      <c r="B278" s="9" t="s">
        <v>1102</v>
      </c>
      <c r="C278">
        <v>10</v>
      </c>
      <c r="D278">
        <v>90</v>
      </c>
      <c r="E278">
        <v>2013</v>
      </c>
      <c r="F278" s="9" t="s">
        <v>1294</v>
      </c>
      <c r="H278" s="20" t="str">
        <f t="shared" si="4"/>
        <v>(nextval('obj_part_id_seq'), (select id from obj_building_v where zip||'|'||street||'|'||name||'|'||volume = '9470|Heldaustrasse 50|Schulanlage / Hallenbad|57081.00'), 'P5', 10, 90, 2013,'Holz-/Metall, tw. Schiebefenster, Kunststoff, IV, Doppelverglasung, RL-Storen, Pfostenriegelsystem (''99), elektr. Glas-/Metallschiebetüre in Tiefgarage'),</v>
      </c>
    </row>
    <row r="279" spans="1:8" x14ac:dyDescent="0.25">
      <c r="A279" s="9" t="s">
        <v>1291</v>
      </c>
      <c r="B279" s="9" t="s">
        <v>1164</v>
      </c>
      <c r="C279">
        <v>6</v>
      </c>
      <c r="D279">
        <v>90</v>
      </c>
      <c r="E279">
        <v>2013</v>
      </c>
      <c r="F279" s="9" t="s">
        <v>1295</v>
      </c>
      <c r="H279" s="20" t="str">
        <f t="shared" si="4"/>
        <v>(nextval('obj_part_id_seq'), (select id from obj_building_v where zip||'|'||street||'|'||name||'|'||volume = '9470|Heldaustrasse 50|Schulanlage / Hallenbad|57081.00'), 'P50', 6, 90, 2013,'Beleuchtung'),</v>
      </c>
    </row>
    <row r="280" spans="1:8" x14ac:dyDescent="0.25">
      <c r="A280" s="9" t="s">
        <v>1291</v>
      </c>
      <c r="B280" s="9" t="s">
        <v>1166</v>
      </c>
      <c r="C280">
        <v>1</v>
      </c>
      <c r="D280">
        <v>90</v>
      </c>
      <c r="E280">
        <v>2013</v>
      </c>
      <c r="F280" s="9" t="s">
        <v>1296</v>
      </c>
      <c r="H280" s="20" t="str">
        <f t="shared" si="4"/>
        <v>(nextval('obj_part_id_seq'), (select id from obj_building_v where zip||'|'||street||'|'||name||'|'||volume = '9470|Heldaustrasse 50|Schulanlage / Hallenbad|57081.00'), 'P51', 1, 90, 2013,'Uhr, Gong, EDV'),</v>
      </c>
    </row>
    <row r="281" spans="1:8" x14ac:dyDescent="0.25">
      <c r="A281" s="9" t="s">
        <v>1291</v>
      </c>
      <c r="B281" s="9" t="s">
        <v>1104</v>
      </c>
      <c r="C281">
        <v>0</v>
      </c>
      <c r="D281" t="s">
        <v>4080</v>
      </c>
      <c r="E281">
        <v>2013</v>
      </c>
      <c r="F281" s="9" t="s">
        <v>1235</v>
      </c>
      <c r="H281" s="20" t="str">
        <f t="shared" si="4"/>
        <v>(nextval('obj_part_id_seq'), (select id from obj_building_v where zip||'|'||street||'|'||name||'|'||volume = '9470|Heldaustrasse 50|Schulanlage / Hallenbad|57081.00'), 'P6', 0, null, 2013,'Fernwärme'),</v>
      </c>
    </row>
    <row r="282" spans="1:8" x14ac:dyDescent="0.25">
      <c r="A282" s="9" t="s">
        <v>1291</v>
      </c>
      <c r="B282" s="9" t="s">
        <v>1106</v>
      </c>
      <c r="C282">
        <v>3</v>
      </c>
      <c r="D282">
        <v>90</v>
      </c>
      <c r="E282">
        <v>2013</v>
      </c>
      <c r="F282" s="9" t="s">
        <v>1297</v>
      </c>
      <c r="H282" s="20" t="str">
        <f t="shared" si="4"/>
        <v>(nextval('obj_part_id_seq'), (select id from obj_building_v where zip||'|'||street||'|'||name||'|'||volume = '9470|Heldaustrasse 50|Schulanlage / Hallenbad|57081.00'), 'P7', 3, 90, 2013,'Radiatoren mit Thermostaten, tw. Bodenheizung, Lüftung'),</v>
      </c>
    </row>
    <row r="283" spans="1:8" x14ac:dyDescent="0.25">
      <c r="A283" s="9" t="s">
        <v>1291</v>
      </c>
      <c r="B283" s="9" t="s">
        <v>1108</v>
      </c>
      <c r="C283">
        <v>4</v>
      </c>
      <c r="D283">
        <v>90</v>
      </c>
      <c r="E283">
        <v>2013</v>
      </c>
      <c r="F283" s="9" t="s">
        <v>1298</v>
      </c>
      <c r="H283" s="20" t="str">
        <f t="shared" si="4"/>
        <v>(nextval('obj_part_id_seq'), (select id from obj_building_v where zip||'|'||street||'|'||name||'|'||volume = '9470|Heldaustrasse 50|Schulanlage / Hallenbad|57081.00'), 'P8', 4, 90, 2013,'neuere Apparate, keine Mängel bekannt'),</v>
      </c>
    </row>
    <row r="284" spans="1:8" x14ac:dyDescent="0.25">
      <c r="A284" s="9" t="s">
        <v>1291</v>
      </c>
      <c r="B284" s="9" t="s">
        <v>1138</v>
      </c>
      <c r="C284">
        <v>11</v>
      </c>
      <c r="D284">
        <v>90</v>
      </c>
      <c r="E284">
        <v>2013</v>
      </c>
      <c r="F284" s="9" t="s">
        <v>1299</v>
      </c>
      <c r="H284" s="20" t="str">
        <f t="shared" si="4"/>
        <v>(nextval('obj_part_id_seq'), (select id from obj_building_v where zip||'|'||street||'|'||name||'|'||volume = '9470|Heldaustrasse 50|Schulanlage / Hallenbad|57081.00'), 'P57', 11, 90, 2013,'Garderobe, Einbauschränke, Glastrennwände (''06) im EG Hallenbad, Küche, Metallgitter und -türen'),</v>
      </c>
    </row>
    <row r="285" spans="1:8" x14ac:dyDescent="0.25">
      <c r="A285" s="9" t="s">
        <v>1291</v>
      </c>
      <c r="B285" s="9" t="s">
        <v>1140</v>
      </c>
      <c r="C285">
        <v>8</v>
      </c>
      <c r="D285">
        <v>90</v>
      </c>
      <c r="E285">
        <v>2013</v>
      </c>
      <c r="F285" s="9" t="s">
        <v>1300</v>
      </c>
      <c r="H285" s="20" t="str">
        <f t="shared" si="4"/>
        <v>(nextval('obj_part_id_seq'), (select id from obj_building_v where zip||'|'||street||'|'||name||'|'||volume = '9470|Heldaustrasse 50|Schulanlage / Hallenbad|57081.00'), 'P58', 8, 90, 2013,'B: Klinker, Parkett, Linol, Keramik, Kork, Gummi, Zementüberzug, Turnhallenboden, W: Verputz, Sichtbeton, D: Metall, Täfer, abgehängt, Beton gestrichen'),</v>
      </c>
    </row>
    <row r="286" spans="1:8" x14ac:dyDescent="0.25">
      <c r="A286" s="9" t="s">
        <v>1291</v>
      </c>
      <c r="B286" s="9" t="s">
        <v>1142</v>
      </c>
      <c r="C286">
        <v>0</v>
      </c>
      <c r="D286" t="s">
        <v>4080</v>
      </c>
      <c r="E286">
        <v>2013</v>
      </c>
      <c r="F286" s="9"/>
      <c r="H286" s="20" t="str">
        <f t="shared" si="4"/>
        <v>(nextval('obj_part_id_seq'), (select id from obj_building_v where zip||'|'||street||'|'||name||'|'||volume = '9470|Heldaustrasse 50|Schulanlage / Hallenbad|57081.00'), 'P60', 0, null, 2013,null),</v>
      </c>
    </row>
    <row r="287" spans="1:8" x14ac:dyDescent="0.25">
      <c r="A287" s="9" t="s">
        <v>1291</v>
      </c>
      <c r="B287" s="9" t="s">
        <v>1143</v>
      </c>
      <c r="C287">
        <v>1</v>
      </c>
      <c r="D287">
        <v>90</v>
      </c>
      <c r="E287">
        <v>2013</v>
      </c>
      <c r="F287" s="9" t="s">
        <v>1301</v>
      </c>
      <c r="H287" s="20" t="str">
        <f t="shared" si="4"/>
        <v>(nextval('obj_part_id_seq'), (select id from obj_building_v where zip||'|'||street||'|'||name||'|'||volume = '9470|Heldaustrasse 50|Schulanlage / Hallenbad|57081.00'), 'P61', 1, 90, 2013,'Aufzug ohne Mängel'),</v>
      </c>
    </row>
    <row r="288" spans="1:8" x14ac:dyDescent="0.25">
      <c r="A288" s="9" t="s">
        <v>1291</v>
      </c>
      <c r="B288" s="9" t="s">
        <v>1144</v>
      </c>
      <c r="C288">
        <v>0</v>
      </c>
      <c r="D288" t="s">
        <v>4080</v>
      </c>
      <c r="E288">
        <v>2013</v>
      </c>
      <c r="F288" s="9"/>
      <c r="H288" s="20" t="str">
        <f t="shared" si="4"/>
        <v>(nextval('obj_part_id_seq'), (select id from obj_building_v where zip||'|'||street||'|'||name||'|'||volume = '9470|Heldaustrasse 50|Schulanlage / Hallenbad|57081.00'), 'P62', 0, null, 2013,null),</v>
      </c>
    </row>
    <row r="289" spans="1:8" x14ac:dyDescent="0.25">
      <c r="A289" s="9" t="s">
        <v>1302</v>
      </c>
      <c r="B289" s="9" t="s">
        <v>1127</v>
      </c>
      <c r="C289">
        <v>27</v>
      </c>
      <c r="D289">
        <v>90</v>
      </c>
      <c r="E289">
        <v>2013</v>
      </c>
      <c r="F289" s="9" t="s">
        <v>1303</v>
      </c>
      <c r="H289" s="20" t="str">
        <f t="shared" si="4"/>
        <v>(nextval('obj_part_id_seq'), (select id from obj_building_v where zip||'|'||street||'|'||name||'|'||volume = '9470|Flösweg 3|Kindergarten-Pavillon|832.00'), 'P48', 27, 90, 2013,'Holzbau'),</v>
      </c>
    </row>
    <row r="290" spans="1:8" x14ac:dyDescent="0.25">
      <c r="A290" s="9" t="s">
        <v>1302</v>
      </c>
      <c r="B290" s="9" t="s">
        <v>1129</v>
      </c>
      <c r="C290">
        <v>0</v>
      </c>
      <c r="D290" t="s">
        <v>4080</v>
      </c>
      <c r="E290">
        <v>2013</v>
      </c>
      <c r="F290" s="9"/>
      <c r="H290" s="20" t="str">
        <f t="shared" si="4"/>
        <v>(nextval('obj_part_id_seq'), (select id from obj_building_v where zip||'|'||street||'|'||name||'|'||volume = '9470|Flösweg 3|Kindergarten-Pavillon|832.00'), 'P49', 0, null, 2013,null),</v>
      </c>
    </row>
    <row r="291" spans="1:8" x14ac:dyDescent="0.25">
      <c r="A291" s="9" t="s">
        <v>1302</v>
      </c>
      <c r="B291" s="9" t="s">
        <v>1097</v>
      </c>
      <c r="C291">
        <v>0</v>
      </c>
      <c r="D291" t="s">
        <v>4080</v>
      </c>
      <c r="E291">
        <v>2013</v>
      </c>
      <c r="F291" s="9"/>
      <c r="H291" s="20" t="str">
        <f t="shared" si="4"/>
        <v>(nextval('obj_part_id_seq'), (select id from obj_building_v where zip||'|'||street||'|'||name||'|'||volume = '9470|Flösweg 3|Kindergarten-Pavillon|832.00'), 'P2', 0, null, 2013,null),</v>
      </c>
    </row>
    <row r="292" spans="1:8" x14ac:dyDescent="0.25">
      <c r="A292" s="9" t="s">
        <v>1302</v>
      </c>
      <c r="B292" s="9" t="s">
        <v>1099</v>
      </c>
      <c r="C292">
        <v>20</v>
      </c>
      <c r="D292">
        <v>90</v>
      </c>
      <c r="E292">
        <v>2013</v>
      </c>
      <c r="F292" s="9" t="s">
        <v>1304</v>
      </c>
      <c r="H292" s="20" t="str">
        <f t="shared" si="4"/>
        <v>(nextval('obj_part_id_seq'), (select id from obj_building_v where zip||'|'||street||'|'||name||'|'||volume = '9470|Flösweg 3|Kindergarten-Pavillon|832.00'), 'P3', 20, 90, 2013,'Kiesdach (konnte nicht besichtigt werden)'),</v>
      </c>
    </row>
    <row r="293" spans="1:8" x14ac:dyDescent="0.25">
      <c r="A293" s="9" t="s">
        <v>1302</v>
      </c>
      <c r="B293" s="9" t="s">
        <v>1100</v>
      </c>
      <c r="C293">
        <v>8</v>
      </c>
      <c r="D293">
        <v>80</v>
      </c>
      <c r="E293">
        <v>2013</v>
      </c>
      <c r="F293" s="9" t="s">
        <v>1305</v>
      </c>
      <c r="H293" s="20" t="str">
        <f t="shared" si="4"/>
        <v>(nextval('obj_part_id_seq'), (select id from obj_building_v where zip||'|'||street||'|'||name||'|'||volume = '9470|Flösweg 3|Kindergarten-Pavillon|832.00'), 'P4', 8, 80, 2013,'Holz'),</v>
      </c>
    </row>
    <row r="294" spans="1:8" x14ac:dyDescent="0.25">
      <c r="A294" s="9" t="s">
        <v>1302</v>
      </c>
      <c r="B294" s="9" t="s">
        <v>1102</v>
      </c>
      <c r="C294">
        <v>14</v>
      </c>
      <c r="D294">
        <v>90</v>
      </c>
      <c r="E294">
        <v>2013</v>
      </c>
      <c r="F294" s="9" t="s">
        <v>1306</v>
      </c>
      <c r="H294" s="20" t="str">
        <f t="shared" si="4"/>
        <v>(nextval('obj_part_id_seq'), (select id from obj_building_v where zip||'|'||street||'|'||name||'|'||volume = '9470|Flösweg 3|Kindergarten-Pavillon|832.00'), 'P5', 14, 90, 2013,'Kunststofffenster (''00), RL-Storen, Aussentüre aus Metall'),</v>
      </c>
    </row>
    <row r="295" spans="1:8" x14ac:dyDescent="0.25">
      <c r="A295" s="9" t="s">
        <v>1302</v>
      </c>
      <c r="B295" s="9" t="s">
        <v>1110</v>
      </c>
      <c r="C295">
        <v>4</v>
      </c>
      <c r="D295">
        <v>90</v>
      </c>
      <c r="E295">
        <v>2013</v>
      </c>
      <c r="F295" s="9" t="s">
        <v>1307</v>
      </c>
      <c r="H295" s="20" t="str">
        <f t="shared" si="4"/>
        <v>(nextval('obj_part_id_seq'), (select id from obj_building_v where zip||'|'||street||'|'||name||'|'||volume = '9470|Flösweg 3|Kindergarten-Pavillon|832.00'), 'P9', 4, 90, 2013,'alte Keramiksicherungen und Schalter, Telefonanschluss, Beleuchtung'),</v>
      </c>
    </row>
    <row r="296" spans="1:8" x14ac:dyDescent="0.25">
      <c r="A296" s="9" t="s">
        <v>1302</v>
      </c>
      <c r="B296" s="9" t="s">
        <v>1104</v>
      </c>
      <c r="C296">
        <v>0</v>
      </c>
      <c r="D296" t="s">
        <v>4080</v>
      </c>
      <c r="E296">
        <v>2013</v>
      </c>
      <c r="F296" s="9" t="s">
        <v>1235</v>
      </c>
      <c r="H296" s="20" t="str">
        <f t="shared" si="4"/>
        <v>(nextval('obj_part_id_seq'), (select id from obj_building_v where zip||'|'||street||'|'||name||'|'||volume = '9470|Flösweg 3|Kindergarten-Pavillon|832.00'), 'P6', 0, null, 2013,'Fernwärme'),</v>
      </c>
    </row>
    <row r="297" spans="1:8" x14ac:dyDescent="0.25">
      <c r="A297" s="9" t="s">
        <v>1302</v>
      </c>
      <c r="B297" s="9" t="s">
        <v>1106</v>
      </c>
      <c r="C297">
        <v>3</v>
      </c>
      <c r="D297">
        <v>90</v>
      </c>
      <c r="E297">
        <v>2013</v>
      </c>
      <c r="F297" s="9" t="s">
        <v>1107</v>
      </c>
      <c r="H297" s="20" t="str">
        <f t="shared" si="4"/>
        <v>(nextval('obj_part_id_seq'), (select id from obj_building_v where zip||'|'||street||'|'||name||'|'||volume = '9470|Flösweg 3|Kindergarten-Pavillon|832.00'), 'P7', 3, 90, 2013,'Radiatoren mit Thermostaten'),</v>
      </c>
    </row>
    <row r="298" spans="1:8" x14ac:dyDescent="0.25">
      <c r="A298" s="9" t="s">
        <v>1302</v>
      </c>
      <c r="B298" s="9" t="s">
        <v>1135</v>
      </c>
      <c r="C298">
        <v>1</v>
      </c>
      <c r="D298">
        <v>90</v>
      </c>
      <c r="E298">
        <v>2013</v>
      </c>
      <c r="F298" s="9" t="s">
        <v>1308</v>
      </c>
      <c r="H298" s="20" t="str">
        <f t="shared" si="4"/>
        <v>(nextval('obj_part_id_seq'), (select id from obj_building_v where zip||'|'||street||'|'||name||'|'||volume = '9470|Flösweg 3|Kindergarten-Pavillon|832.00'), 'P54', 1, 90, 2013,'Apparate älter, aber funktionstüchtig, Boiler'),</v>
      </c>
    </row>
    <row r="299" spans="1:8" x14ac:dyDescent="0.25">
      <c r="A299" s="9" t="s">
        <v>1302</v>
      </c>
      <c r="B299" s="9" t="s">
        <v>1137</v>
      </c>
      <c r="C299">
        <v>3</v>
      </c>
      <c r="D299">
        <v>90</v>
      </c>
      <c r="E299">
        <v>2013</v>
      </c>
      <c r="F299" s="9" t="s">
        <v>1309</v>
      </c>
      <c r="H299" s="20" t="str">
        <f t="shared" si="4"/>
        <v>(nextval('obj_part_id_seq'), (select id from obj_building_v where zip||'|'||street||'|'||name||'|'||volume = '9470|Flösweg 3|Kindergarten-Pavillon|832.00'), 'P55', 3, 90, 2013,'Durchfluss ok'),</v>
      </c>
    </row>
    <row r="300" spans="1:8" x14ac:dyDescent="0.25">
      <c r="A300" s="9" t="s">
        <v>1302</v>
      </c>
      <c r="B300" s="9" t="s">
        <v>1138</v>
      </c>
      <c r="C300">
        <v>17</v>
      </c>
      <c r="D300">
        <v>90</v>
      </c>
      <c r="E300">
        <v>2013</v>
      </c>
      <c r="F300" s="9" t="s">
        <v>1310</v>
      </c>
      <c r="H300" s="20" t="str">
        <f t="shared" si="4"/>
        <v>(nextval('obj_part_id_seq'), (select id from obj_building_v where zip||'|'||street||'|'||name||'|'||volume = '9470|Flösweg 3|Kindergarten-Pavillon|832.00'), 'P57', 17, 90, 2013,'Garderobe, Küche, Fenstersimse und Innentüren aus Holz'),</v>
      </c>
    </row>
    <row r="301" spans="1:8" x14ac:dyDescent="0.25">
      <c r="A301" s="9" t="s">
        <v>1302</v>
      </c>
      <c r="B301" s="9" t="s">
        <v>1140</v>
      </c>
      <c r="C301">
        <v>3</v>
      </c>
      <c r="D301">
        <v>90</v>
      </c>
      <c r="E301">
        <v>2013</v>
      </c>
      <c r="F301" s="9" t="s">
        <v>1311</v>
      </c>
      <c r="H301" s="20" t="str">
        <f t="shared" si="4"/>
        <v>(nextval('obj_part_id_seq'), (select id from obj_building_v where zip||'|'||street||'|'||name||'|'||volume = '9470|Flösweg 3|Kindergarten-Pavillon|832.00'), 'P58', 3, 90, 2013,'B: Linol, Zementüberzug, W: Holzwerkstoffplatten, Verputz, D: Akustikd., Verputz'),</v>
      </c>
    </row>
    <row r="302" spans="1:8" x14ac:dyDescent="0.25">
      <c r="A302" s="9" t="s">
        <v>1302</v>
      </c>
      <c r="B302" s="9" t="s">
        <v>1142</v>
      </c>
      <c r="C302">
        <v>0</v>
      </c>
      <c r="D302" t="s">
        <v>4080</v>
      </c>
      <c r="E302">
        <v>2013</v>
      </c>
      <c r="F302" s="9"/>
      <c r="H302" s="20" t="str">
        <f t="shared" si="4"/>
        <v>(nextval('obj_part_id_seq'), (select id from obj_building_v where zip||'|'||street||'|'||name||'|'||volume = '9470|Flösweg 3|Kindergarten-Pavillon|832.00'), 'P60', 0, null, 2013,null),</v>
      </c>
    </row>
    <row r="303" spans="1:8" x14ac:dyDescent="0.25">
      <c r="A303" s="9" t="s">
        <v>1302</v>
      </c>
      <c r="B303" s="9" t="s">
        <v>1143</v>
      </c>
      <c r="C303">
        <v>0</v>
      </c>
      <c r="D303" t="s">
        <v>4080</v>
      </c>
      <c r="E303">
        <v>2013</v>
      </c>
      <c r="F303" s="9"/>
      <c r="H303" s="20" t="str">
        <f t="shared" si="4"/>
        <v>(nextval('obj_part_id_seq'), (select id from obj_building_v where zip||'|'||street||'|'||name||'|'||volume = '9470|Flösweg 3|Kindergarten-Pavillon|832.00'), 'P61', 0, null, 2013,null),</v>
      </c>
    </row>
    <row r="304" spans="1:8" x14ac:dyDescent="0.25">
      <c r="A304" s="9" t="s">
        <v>1302</v>
      </c>
      <c r="B304" s="9" t="s">
        <v>1144</v>
      </c>
      <c r="C304">
        <v>0</v>
      </c>
      <c r="D304" t="s">
        <v>4080</v>
      </c>
      <c r="E304">
        <v>2013</v>
      </c>
      <c r="F304" s="9"/>
      <c r="H304" s="20" t="str">
        <f t="shared" si="4"/>
        <v>(nextval('obj_part_id_seq'), (select id from obj_building_v where zip||'|'||street||'|'||name||'|'||volume = '9470|Flösweg 3|Kindergarten-Pavillon|832.00'), 'P62', 0, null, 2013,null),</v>
      </c>
    </row>
    <row r="305" spans="1:8" x14ac:dyDescent="0.25">
      <c r="A305" s="9" t="s">
        <v>1312</v>
      </c>
      <c r="B305" s="9" t="s">
        <v>1127</v>
      </c>
      <c r="C305">
        <v>42</v>
      </c>
      <c r="D305">
        <v>90</v>
      </c>
      <c r="E305">
        <v>2013</v>
      </c>
      <c r="F305" s="9" t="s">
        <v>1313</v>
      </c>
      <c r="H305" s="20" t="str">
        <f t="shared" si="4"/>
        <v>(nextval('obj_part_id_seq'), (select id from obj_building_v where zip||'|'||street||'|'||name||'|'||volume = '9470|Volksgartenstrasse 12|Schulhaus Kappeli|7874.00'), 'P48', 42, 90, 2013,'Mauerwerk, Stahlbetondecken'),</v>
      </c>
    </row>
    <row r="306" spans="1:8" x14ac:dyDescent="0.25">
      <c r="A306" s="9" t="s">
        <v>1312</v>
      </c>
      <c r="B306" s="9" t="s">
        <v>1129</v>
      </c>
      <c r="C306">
        <v>0</v>
      </c>
      <c r="D306" t="s">
        <v>4080</v>
      </c>
      <c r="E306">
        <v>2013</v>
      </c>
      <c r="F306" s="9"/>
      <c r="H306" s="20" t="str">
        <f t="shared" si="4"/>
        <v>(nextval('obj_part_id_seq'), (select id from obj_building_v where zip||'|'||street||'|'||name||'|'||volume = '9470|Volksgartenstrasse 12|Schulhaus Kappeli|7874.00'), 'P49', 0, null, 2013,null),</v>
      </c>
    </row>
    <row r="307" spans="1:8" x14ac:dyDescent="0.25">
      <c r="A307" s="9" t="s">
        <v>1312</v>
      </c>
      <c r="B307" s="9" t="s">
        <v>1097</v>
      </c>
      <c r="C307">
        <v>8</v>
      </c>
      <c r="D307">
        <v>90</v>
      </c>
      <c r="E307">
        <v>2013</v>
      </c>
      <c r="F307" s="9" t="s">
        <v>1314</v>
      </c>
      <c r="H307" s="20" t="str">
        <f t="shared" si="4"/>
        <v>(nextval('obj_part_id_seq'), (select id from obj_building_v where zip||'|'||street||'|'||name||'|'||volume = '9470|Volksgartenstrasse 12|Schulhaus Kappeli|7874.00'), 'P2', 8, 90, 2013,'Satteldach mit Falzziegel, Holzwerk mängelfrei, Dachuntersichten z.T. verwittert, Spenglerabschlüsse rel. neu, Garage: zweiseitiges Pultdach'),</v>
      </c>
    </row>
    <row r="308" spans="1:8" x14ac:dyDescent="0.25">
      <c r="A308" s="9" t="s">
        <v>1312</v>
      </c>
      <c r="B308" s="9" t="s">
        <v>1099</v>
      </c>
      <c r="C308">
        <v>0</v>
      </c>
      <c r="D308" t="s">
        <v>4080</v>
      </c>
      <c r="E308">
        <v>2013</v>
      </c>
      <c r="F308" s="9"/>
      <c r="H308" s="20" t="str">
        <f t="shared" si="4"/>
        <v>(nextval('obj_part_id_seq'), (select id from obj_building_v where zip||'|'||street||'|'||name||'|'||volume = '9470|Volksgartenstrasse 12|Schulhaus Kappeli|7874.00'), 'P3', 0, null, 2013,null),</v>
      </c>
    </row>
    <row r="309" spans="1:8" x14ac:dyDescent="0.25">
      <c r="A309" s="9" t="s">
        <v>1312</v>
      </c>
      <c r="B309" s="9" t="s">
        <v>1100</v>
      </c>
      <c r="C309">
        <v>7</v>
      </c>
      <c r="D309">
        <v>90</v>
      </c>
      <c r="E309">
        <v>2013</v>
      </c>
      <c r="F309" s="9" t="s">
        <v>1315</v>
      </c>
      <c r="H309" s="20" t="str">
        <f t="shared" si="4"/>
        <v>(nextval('obj_part_id_seq'), (select id from obj_building_v where zip||'|'||street||'|'||name||'|'||volume = '9470|Volksgartenstrasse 12|Schulhaus Kappeli|7874.00'), 'P4', 7, 90, 2013,'Mauerwerk verputzt, RL-Storen, Metallgewände'),</v>
      </c>
    </row>
    <row r="310" spans="1:8" x14ac:dyDescent="0.25">
      <c r="A310" s="9" t="s">
        <v>1312</v>
      </c>
      <c r="B310" s="9" t="s">
        <v>1102</v>
      </c>
      <c r="C310">
        <v>10</v>
      </c>
      <c r="D310">
        <v>90</v>
      </c>
      <c r="E310">
        <v>2013</v>
      </c>
      <c r="F310" s="9" t="s">
        <v>1316</v>
      </c>
      <c r="H310" s="20" t="str">
        <f t="shared" si="4"/>
        <v>(nextval('obj_part_id_seq'), (select id from obj_building_v where zip||'|'||street||'|'||name||'|'||volume = '9470|Volksgartenstrasse 12|Schulhaus Kappeli|7874.00'), 'P5', 10, 90, 2013,'Holz-Metall (''93), Kunststoff, RL-Storen elektr., Holztüren, Metall-/Glastüre, Garagentore'),</v>
      </c>
    </row>
    <row r="311" spans="1:8" x14ac:dyDescent="0.25">
      <c r="A311" s="9" t="s">
        <v>1312</v>
      </c>
      <c r="B311" s="9" t="s">
        <v>1164</v>
      </c>
      <c r="C311">
        <v>6</v>
      </c>
      <c r="D311">
        <v>90</v>
      </c>
      <c r="E311">
        <v>2013</v>
      </c>
      <c r="F311" s="9" t="s">
        <v>1254</v>
      </c>
      <c r="H311" s="20" t="str">
        <f t="shared" si="4"/>
        <v>(nextval('obj_part_id_seq'), (select id from obj_building_v where zip||'|'||street||'|'||name||'|'||volume = '9470|Volksgartenstrasse 12|Schulhaus Kappeli|7874.00'), 'P50', 6, 90, 2013,'neuere Sicherungen'),</v>
      </c>
    </row>
    <row r="312" spans="1:8" x14ac:dyDescent="0.25">
      <c r="A312" s="9" t="s">
        <v>1312</v>
      </c>
      <c r="B312" s="9" t="s">
        <v>1166</v>
      </c>
      <c r="C312">
        <v>1</v>
      </c>
      <c r="D312">
        <v>90</v>
      </c>
      <c r="E312">
        <v>2013</v>
      </c>
      <c r="F312" s="9" t="s">
        <v>1317</v>
      </c>
      <c r="H312" s="20" t="str">
        <f t="shared" si="4"/>
        <v>(nextval('obj_part_id_seq'), (select id from obj_building_v where zip||'|'||street||'|'||name||'|'||volume = '9470|Volksgartenstrasse 12|Schulhaus Kappeli|7874.00'), 'P51', 1, 90, 2013,'Gong, EDV, Beamer'),</v>
      </c>
    </row>
    <row r="313" spans="1:8" x14ac:dyDescent="0.25">
      <c r="A313" s="9" t="s">
        <v>1312</v>
      </c>
      <c r="B313" s="9" t="s">
        <v>1104</v>
      </c>
      <c r="C313">
        <v>0</v>
      </c>
      <c r="D313" t="s">
        <v>4080</v>
      </c>
      <c r="E313">
        <v>2013</v>
      </c>
      <c r="F313" s="9" t="s">
        <v>1235</v>
      </c>
      <c r="H313" s="20" t="str">
        <f t="shared" si="4"/>
        <v>(nextval('obj_part_id_seq'), (select id from obj_building_v where zip||'|'||street||'|'||name||'|'||volume = '9470|Volksgartenstrasse 12|Schulhaus Kappeli|7874.00'), 'P6', 0, null, 2013,'Fernwärme'),</v>
      </c>
    </row>
    <row r="314" spans="1:8" x14ac:dyDescent="0.25">
      <c r="A314" s="9" t="s">
        <v>1312</v>
      </c>
      <c r="B314" s="9" t="s">
        <v>1106</v>
      </c>
      <c r="C314">
        <v>3</v>
      </c>
      <c r="D314">
        <v>90</v>
      </c>
      <c r="E314">
        <v>2013</v>
      </c>
      <c r="F314" s="9" t="s">
        <v>1107</v>
      </c>
      <c r="H314" s="20" t="str">
        <f t="shared" si="4"/>
        <v>(nextval('obj_part_id_seq'), (select id from obj_building_v where zip||'|'||street||'|'||name||'|'||volume = '9470|Volksgartenstrasse 12|Schulhaus Kappeli|7874.00'), 'P7', 3, 90, 2013,'Radiatoren mit Thermostaten'),</v>
      </c>
    </row>
    <row r="315" spans="1:8" x14ac:dyDescent="0.25">
      <c r="A315" s="9" t="s">
        <v>1312</v>
      </c>
      <c r="B315" s="9" t="s">
        <v>1108</v>
      </c>
      <c r="C315">
        <v>4</v>
      </c>
      <c r="D315">
        <v>90</v>
      </c>
      <c r="E315">
        <v>2013</v>
      </c>
      <c r="F315" s="9" t="s">
        <v>1318</v>
      </c>
      <c r="H315" s="20" t="str">
        <f t="shared" si="4"/>
        <v>(nextval('obj_part_id_seq'), (select id from obj_building_v where zip||'|'||street||'|'||name||'|'||volume = '9470|Volksgartenstrasse 12|Schulhaus Kappeli|7874.00'), 'P8', 4, 90, 2013,'Apparate zeitgemäss, Waschküche, Leitungen: keine Mängel bekannt'),</v>
      </c>
    </row>
    <row r="316" spans="1:8" x14ac:dyDescent="0.25">
      <c r="A316" s="9" t="s">
        <v>1312</v>
      </c>
      <c r="B316" s="9" t="s">
        <v>1138</v>
      </c>
      <c r="C316">
        <v>11</v>
      </c>
      <c r="D316">
        <v>90</v>
      </c>
      <c r="E316">
        <v>2013</v>
      </c>
      <c r="F316" s="9" t="s">
        <v>1319</v>
      </c>
      <c r="H316" s="20" t="str">
        <f t="shared" si="4"/>
        <v>(nextval('obj_part_id_seq'), (select id from obj_building_v where zip||'|'||street||'|'||name||'|'||volume = '9470|Volksgartenstrasse 12|Schulhaus Kappeli|7874.00'), 'P57', 11, 90, 2013,'Garderobe, Einbauschränke, Küche, Innentüren aus Holz'),</v>
      </c>
    </row>
    <row r="317" spans="1:8" x14ac:dyDescent="0.25">
      <c r="A317" s="9" t="s">
        <v>1312</v>
      </c>
      <c r="B317" s="9" t="s">
        <v>1140</v>
      </c>
      <c r="C317">
        <v>8</v>
      </c>
      <c r="D317">
        <v>90</v>
      </c>
      <c r="E317">
        <v>2013</v>
      </c>
      <c r="F317" s="9" t="s">
        <v>1320</v>
      </c>
      <c r="H317" s="20" t="str">
        <f t="shared" si="4"/>
        <v>(nextval('obj_part_id_seq'), (select id from obj_building_v where zip||'|'||street||'|'||name||'|'||volume = '9470|Volksgartenstrasse 12|Schulhaus Kappeli|7874.00'), 'P58', 8, 90, 2013,'B: PVC, Linol, Kunststein, Asphaltplatten, Zementüberzug, W: Verputz, D: Täfer, Akustikd.'),</v>
      </c>
    </row>
    <row r="318" spans="1:8" x14ac:dyDescent="0.25">
      <c r="A318" s="9" t="s">
        <v>1312</v>
      </c>
      <c r="B318" s="9" t="s">
        <v>1142</v>
      </c>
      <c r="C318">
        <v>0</v>
      </c>
      <c r="D318" t="s">
        <v>4080</v>
      </c>
      <c r="E318">
        <v>2013</v>
      </c>
      <c r="F318" s="9"/>
      <c r="H318" s="20" t="str">
        <f t="shared" si="4"/>
        <v>(nextval('obj_part_id_seq'), (select id from obj_building_v where zip||'|'||street||'|'||name||'|'||volume = '9470|Volksgartenstrasse 12|Schulhaus Kappeli|7874.00'), 'P60', 0, null, 2013,null),</v>
      </c>
    </row>
    <row r="319" spans="1:8" x14ac:dyDescent="0.25">
      <c r="A319" s="9" t="s">
        <v>1312</v>
      </c>
      <c r="B319" s="9" t="s">
        <v>1143</v>
      </c>
      <c r="C319">
        <v>0</v>
      </c>
      <c r="D319" t="s">
        <v>4080</v>
      </c>
      <c r="E319">
        <v>2013</v>
      </c>
      <c r="F319" s="9"/>
      <c r="H319" s="20" t="str">
        <f t="shared" si="4"/>
        <v>(nextval('obj_part_id_seq'), (select id from obj_building_v where zip||'|'||street||'|'||name||'|'||volume = '9470|Volksgartenstrasse 12|Schulhaus Kappeli|7874.00'), 'P61', 0, null, 2013,null),</v>
      </c>
    </row>
    <row r="320" spans="1:8" x14ac:dyDescent="0.25">
      <c r="A320" s="9" t="s">
        <v>1312</v>
      </c>
      <c r="B320" s="9" t="s">
        <v>1144</v>
      </c>
      <c r="C320">
        <v>0</v>
      </c>
      <c r="D320" t="s">
        <v>4080</v>
      </c>
      <c r="E320">
        <v>2013</v>
      </c>
      <c r="F320" s="9"/>
      <c r="H320" s="20" t="str">
        <f t="shared" si="4"/>
        <v>(nextval('obj_part_id_seq'), (select id from obj_building_v where zip||'|'||street||'|'||name||'|'||volume = '9470|Volksgartenstrasse 12|Schulhaus Kappeli|7874.00'), 'P62', 0, null, 2013,null),</v>
      </c>
    </row>
    <row r="321" spans="1:8" x14ac:dyDescent="0.25">
      <c r="A321" s="9" t="s">
        <v>1321</v>
      </c>
      <c r="B321" s="9" t="s">
        <v>1127</v>
      </c>
      <c r="C321">
        <v>37</v>
      </c>
      <c r="D321">
        <v>80</v>
      </c>
      <c r="E321">
        <v>2012</v>
      </c>
      <c r="F321" s="9" t="s">
        <v>1322</v>
      </c>
      <c r="H321" s="20" t="str">
        <f t="shared" si="4"/>
        <v>(nextval('obj_part_id_seq'), (select id from obj_building_v where zip||'|'||street||'|'||name||'|'||volume = '3032|Bergfeldstrasse 8|Wohn- und Geschäftshaus|1840.00'), 'P48', 37, 80, 2012,'Senkungen vorh. z.Z. stabil, tw. Risse, rep.'),</v>
      </c>
    </row>
    <row r="322" spans="1:8" x14ac:dyDescent="0.25">
      <c r="A322" s="9" t="s">
        <v>1321</v>
      </c>
      <c r="B322" s="9" t="s">
        <v>1129</v>
      </c>
      <c r="C322">
        <v>0</v>
      </c>
      <c r="D322" t="s">
        <v>4080</v>
      </c>
      <c r="E322">
        <v>2012</v>
      </c>
      <c r="F322" s="9"/>
      <c r="H322" s="20" t="str">
        <f t="shared" si="4"/>
        <v>(nextval('obj_part_id_seq'), (select id from obj_building_v where zip||'|'||street||'|'||name||'|'||volume = '3032|Bergfeldstrasse 8|Wohn- und Geschäftshaus|1840.00'), 'P49', 0, null, 2012,null),</v>
      </c>
    </row>
    <row r="323" spans="1:8" x14ac:dyDescent="0.25">
      <c r="A323" s="9" t="s">
        <v>1321</v>
      </c>
      <c r="B323" s="9" t="s">
        <v>1097</v>
      </c>
      <c r="C323">
        <v>8</v>
      </c>
      <c r="D323">
        <v>85</v>
      </c>
      <c r="E323">
        <v>2012</v>
      </c>
      <c r="F323" s="9" t="s">
        <v>1323</v>
      </c>
      <c r="H323" s="20" t="str">
        <f t="shared" si="4"/>
        <v>(nextval('obj_part_id_seq'), (select id from obj_building_v where zip||'|'||street||'|'||name||'|'||volume = '3032|Bergfeldstrasse 8|Wohn- und Geschäftshaus|1840.00'), 'P2', 8, 85, 2012,'Ziegeldach, isol., im Estrich Abteile für Wg.'),</v>
      </c>
    </row>
    <row r="324" spans="1:8" x14ac:dyDescent="0.25">
      <c r="A324" s="9" t="s">
        <v>1321</v>
      </c>
      <c r="B324" s="9" t="s">
        <v>1099</v>
      </c>
      <c r="C324">
        <v>0</v>
      </c>
      <c r="D324" t="s">
        <v>4080</v>
      </c>
      <c r="E324">
        <v>2012</v>
      </c>
      <c r="F324" s="9"/>
      <c r="H324" s="20" t="str">
        <f t="shared" si="4"/>
        <v>(nextval('obj_part_id_seq'), (select id from obj_building_v where zip||'|'||street||'|'||name||'|'||volume = '3032|Bergfeldstrasse 8|Wohn- und Geschäftshaus|1840.00'), 'P3', 0, null, 2012,null),</v>
      </c>
    </row>
    <row r="325" spans="1:8" x14ac:dyDescent="0.25">
      <c r="A325" s="9" t="s">
        <v>1321</v>
      </c>
      <c r="B325" s="9" t="s">
        <v>1100</v>
      </c>
      <c r="C325">
        <v>7</v>
      </c>
      <c r="D325">
        <v>90</v>
      </c>
      <c r="E325">
        <v>2012</v>
      </c>
      <c r="F325" s="9" t="s">
        <v>1324</v>
      </c>
      <c r="H325" s="20" t="str">
        <f t="shared" ref="H325:H388" si="5">"(nextval('obj_part_id_seq'), (select id from obj_building_v where zip||'|'||street||'|'||name||'|'||volume = '"&amp;A325&amp;"'), '"&amp;B325&amp;"', "&amp;C325&amp;", "&amp;D325&amp;", "&amp;IF(ISBLANK(E325),"null",E325)&amp;","&amp;IF(ISBLANK(F325),"null","'"&amp;F325&amp;"'")&amp;"),"</f>
        <v>(nextval('obj_part_id_seq'), (select id from obj_building_v where zip||'|'||street||'|'||name||'|'||volume = '3032|Bergfeldstrasse 8|Wohn- und Geschäftshaus|1840.00'), 'P4', 7, 90, 2012,'Fachwerk, verp. Ausfachungen / Holzschindeln, Sockelbereich im 2011/12 san., Holztäfer, Glasanbau (Windfang), Laube Holz'),</v>
      </c>
    </row>
    <row r="326" spans="1:8" x14ac:dyDescent="0.25">
      <c r="A326" s="9" t="s">
        <v>1321</v>
      </c>
      <c r="B326" s="9" t="s">
        <v>1102</v>
      </c>
      <c r="C326">
        <v>11</v>
      </c>
      <c r="D326">
        <v>80</v>
      </c>
      <c r="E326">
        <v>2012</v>
      </c>
      <c r="F326" s="9" t="s">
        <v>1325</v>
      </c>
      <c r="H326" s="20" t="str">
        <f t="shared" si="5"/>
        <v>(nextval('obj_part_id_seq'), (select id from obj_building_v where zip||'|'||street||'|'||name||'|'||volume = '3032|Bergfeldstrasse 8|Wohn- und Geschäftshaus|1840.00'), 'P5', 11, 80, 2012,'Doppelvergl. (keine IV) Holzf. m. Sprossen, Stoffstoren'),</v>
      </c>
    </row>
    <row r="327" spans="1:8" x14ac:dyDescent="0.25">
      <c r="A327" s="9" t="s">
        <v>1321</v>
      </c>
      <c r="B327" s="9" t="s">
        <v>1110</v>
      </c>
      <c r="C327">
        <v>4</v>
      </c>
      <c r="D327">
        <v>70</v>
      </c>
      <c r="E327">
        <v>2012</v>
      </c>
      <c r="F327" s="9" t="s">
        <v>1326</v>
      </c>
      <c r="H327" s="20" t="str">
        <f t="shared" si="5"/>
        <v>(nextval('obj_part_id_seq'), (select id from obj_building_v where zip||'|'||street||'|'||name||'|'||volume = '3032|Bergfeldstrasse 8|Wohn- und Geschäftshaus|1840.00'), 'P9', 4, 70, 2012,'tw. alte Keramiksicherungen'),</v>
      </c>
    </row>
    <row r="328" spans="1:8" x14ac:dyDescent="0.25">
      <c r="A328" s="9" t="s">
        <v>1321</v>
      </c>
      <c r="B328" s="9" t="s">
        <v>1104</v>
      </c>
      <c r="C328">
        <v>2</v>
      </c>
      <c r="D328">
        <v>90</v>
      </c>
      <c r="E328">
        <v>2012</v>
      </c>
      <c r="F328" s="9" t="s">
        <v>1327</v>
      </c>
      <c r="H328" s="20" t="str">
        <f t="shared" si="5"/>
        <v>(nextval('obj_part_id_seq'), (select id from obj_building_v where zip||'|'||street||'|'||name||'|'||volume = '3032|Bergfeldstrasse 8|Wohn- und Geschäftshaus|1840.00'), 'P6', 2, 90, 2012,'Luft-/Luft-WP (wird 2012 ersetzt), Oelbrenner als Notheizung (lief in den letzten 2 Jahren permanent!), WW über dezentr. Boiler in Wohnungen (3. Stk.), Kachelofen in Betrieb'),</v>
      </c>
    </row>
    <row r="329" spans="1:8" x14ac:dyDescent="0.25">
      <c r="A329" s="9" t="s">
        <v>1321</v>
      </c>
      <c r="B329" s="9" t="s">
        <v>1106</v>
      </c>
      <c r="C329">
        <v>3</v>
      </c>
      <c r="D329">
        <v>85</v>
      </c>
      <c r="E329">
        <v>2012</v>
      </c>
      <c r="F329" s="9" t="s">
        <v>1107</v>
      </c>
      <c r="H329" s="20" t="str">
        <f t="shared" si="5"/>
        <v>(nextval('obj_part_id_seq'), (select id from obj_building_v where zip||'|'||street||'|'||name||'|'||volume = '3032|Bergfeldstrasse 8|Wohn- und Geschäftshaus|1840.00'), 'P7', 3, 85, 2012,'Radiatoren mit Thermostaten'),</v>
      </c>
    </row>
    <row r="330" spans="1:8" x14ac:dyDescent="0.25">
      <c r="A330" s="9" t="s">
        <v>1321</v>
      </c>
      <c r="B330" s="9" t="s">
        <v>1135</v>
      </c>
      <c r="C330">
        <v>3</v>
      </c>
      <c r="D330">
        <v>90</v>
      </c>
      <c r="E330">
        <v>2012</v>
      </c>
      <c r="F330" s="9" t="s">
        <v>1328</v>
      </c>
      <c r="H330" s="20" t="str">
        <f t="shared" si="5"/>
        <v>(nextval('obj_part_id_seq'), (select id from obj_building_v where zip||'|'||street||'|'||name||'|'||volume = '3032|Bergfeldstrasse 8|Wohn- und Geschäftshaus|1840.00'), 'P54', 3, 90, 2012,'WM/WT neu, App. i.O.'),</v>
      </c>
    </row>
    <row r="331" spans="1:8" x14ac:dyDescent="0.25">
      <c r="A331" s="9" t="s">
        <v>1321</v>
      </c>
      <c r="B331" s="9" t="s">
        <v>1137</v>
      </c>
      <c r="C331">
        <v>4</v>
      </c>
      <c r="D331">
        <v>85</v>
      </c>
      <c r="E331">
        <v>2012</v>
      </c>
      <c r="F331" s="9" t="s">
        <v>1329</v>
      </c>
      <c r="H331" s="20" t="str">
        <f t="shared" si="5"/>
        <v>(nextval('obj_part_id_seq'), (select id from obj_building_v where zip||'|'||street||'|'||name||'|'||volume = '3032|Bergfeldstrasse 8|Wohn- und Geschäftshaus|1840.00'), 'P55', 4, 85, 2012,'ev. Undichtigkeit vorh. (Wasserschaden; Ursache nicht abgeklärt)'),</v>
      </c>
    </row>
    <row r="332" spans="1:8" x14ac:dyDescent="0.25">
      <c r="A332" s="9" t="s">
        <v>1321</v>
      </c>
      <c r="B332" s="9" t="s">
        <v>1155</v>
      </c>
      <c r="C332">
        <v>0</v>
      </c>
      <c r="D332" t="s">
        <v>4080</v>
      </c>
      <c r="E332">
        <v>2012</v>
      </c>
      <c r="F332" s="9"/>
      <c r="H332" s="20" t="str">
        <f t="shared" si="5"/>
        <v>(nextval('obj_part_id_seq'), (select id from obj_building_v where zip||'|'||street||'|'||name||'|'||volume = '3032|Bergfeldstrasse 8|Wohn- und Geschäftshaus|1840.00'), 'P56', 0, null, 2012,null),</v>
      </c>
    </row>
    <row r="333" spans="1:8" x14ac:dyDescent="0.25">
      <c r="A333" s="9" t="s">
        <v>1321</v>
      </c>
      <c r="B333" s="9" t="s">
        <v>1138</v>
      </c>
      <c r="C333">
        <v>9</v>
      </c>
      <c r="D333">
        <v>85</v>
      </c>
      <c r="E333">
        <v>2012</v>
      </c>
      <c r="F333" s="9" t="s">
        <v>1330</v>
      </c>
      <c r="H333" s="20" t="str">
        <f t="shared" si="5"/>
        <v>(nextval('obj_part_id_seq'), (select id from obj_building_v where zip||'|'||street||'|'||name||'|'||volume = '3032|Bergfeldstrasse 8|Wohn- und Geschäftshaus|1840.00'), 'P57', 9, 85, 2012,'W: Gips gestr., MW verp.&lt;br&gt;im DG D: Täfer, W: Täfer'),</v>
      </c>
    </row>
    <row r="334" spans="1:8" x14ac:dyDescent="0.25">
      <c r="A334" s="9" t="s">
        <v>1321</v>
      </c>
      <c r="B334" s="9" t="s">
        <v>1140</v>
      </c>
      <c r="C334">
        <v>8</v>
      </c>
      <c r="D334">
        <v>80</v>
      </c>
      <c r="E334">
        <v>2012</v>
      </c>
      <c r="F334" s="9" t="s">
        <v>1331</v>
      </c>
      <c r="H334" s="20" t="str">
        <f t="shared" si="5"/>
        <v>(nextval('obj_part_id_seq'), (select id from obj_building_v where zip||'|'||street||'|'||name||'|'||volume = '3032|Bergfeldstrasse 8|Wohn- und Geschäftshaus|1840.00'), 'P58', 8, 80, 2012,'B: PVC/Linol, Keramik, Teppich in DG&lt;br&gt;W: Täfer, Gips gestr., Keramik&lt;br&gt;D: Gips gestr.'),</v>
      </c>
    </row>
    <row r="335" spans="1:8" x14ac:dyDescent="0.25">
      <c r="A335" s="9" t="s">
        <v>1321</v>
      </c>
      <c r="B335" s="9" t="s">
        <v>1157</v>
      </c>
      <c r="C335">
        <v>4</v>
      </c>
      <c r="D335">
        <v>90</v>
      </c>
      <c r="E335">
        <v>2017</v>
      </c>
      <c r="F335" s="9" t="s">
        <v>1332</v>
      </c>
      <c r="H335" s="20" t="str">
        <f t="shared" si="5"/>
        <v>(nextval('obj_part_id_seq'), (select id from obj_building_v where zip||'|'||street||'|'||name||'|'||volume = '3032|Bergfeldstrasse 8|Wohn- und Geschäftshaus|1840.00'), 'P59', 4, 90, 2017,'Küchen wurden ''13/''14 ersetzt'),</v>
      </c>
    </row>
    <row r="336" spans="1:8" x14ac:dyDescent="0.25">
      <c r="A336" s="9" t="s">
        <v>1321</v>
      </c>
      <c r="B336" s="9" t="s">
        <v>1142</v>
      </c>
      <c r="C336">
        <v>0</v>
      </c>
      <c r="D336" t="s">
        <v>4080</v>
      </c>
      <c r="E336">
        <v>2012</v>
      </c>
      <c r="F336" s="9"/>
      <c r="H336" s="20" t="str">
        <f t="shared" si="5"/>
        <v>(nextval('obj_part_id_seq'), (select id from obj_building_v where zip||'|'||street||'|'||name||'|'||volume = '3032|Bergfeldstrasse 8|Wohn- und Geschäftshaus|1840.00'), 'P60', 0, null, 2012,null),</v>
      </c>
    </row>
    <row r="337" spans="1:8" x14ac:dyDescent="0.25">
      <c r="A337" s="9" t="s">
        <v>1321</v>
      </c>
      <c r="B337" s="9" t="s">
        <v>1143</v>
      </c>
      <c r="C337">
        <v>0</v>
      </c>
      <c r="D337" t="s">
        <v>4080</v>
      </c>
      <c r="E337">
        <v>2012</v>
      </c>
      <c r="F337" s="9"/>
      <c r="H337" s="20" t="str">
        <f t="shared" si="5"/>
        <v>(nextval('obj_part_id_seq'), (select id from obj_building_v where zip||'|'||street||'|'||name||'|'||volume = '3032|Bergfeldstrasse 8|Wohn- und Geschäftshaus|1840.00'), 'P61', 0, null, 2012,null),</v>
      </c>
    </row>
    <row r="338" spans="1:8" x14ac:dyDescent="0.25">
      <c r="A338" s="9" t="s">
        <v>1321</v>
      </c>
      <c r="B338" s="9" t="s">
        <v>1144</v>
      </c>
      <c r="C338">
        <v>0</v>
      </c>
      <c r="D338" t="s">
        <v>4080</v>
      </c>
      <c r="E338">
        <v>2012</v>
      </c>
      <c r="F338" s="9"/>
      <c r="H338" s="20" t="str">
        <f t="shared" si="5"/>
        <v>(nextval('obj_part_id_seq'), (select id from obj_building_v where zip||'|'||street||'|'||name||'|'||volume = '3032|Bergfeldstrasse 8|Wohn- und Geschäftshaus|1840.00'), 'P62', 0, null, 2012,null),</v>
      </c>
    </row>
    <row r="339" spans="1:8" x14ac:dyDescent="0.25">
      <c r="A339" s="9" t="s">
        <v>1333</v>
      </c>
      <c r="B339" s="9" t="s">
        <v>1127</v>
      </c>
      <c r="C339">
        <v>39</v>
      </c>
      <c r="D339">
        <v>90</v>
      </c>
      <c r="E339">
        <v>2012</v>
      </c>
      <c r="F339" s="9" t="s">
        <v>1334</v>
      </c>
      <c r="H339" s="20" t="str">
        <f t="shared" si="5"/>
        <v>(nextval('obj_part_id_seq'), (select id from obj_building_v where zip||'|'||street||'|'||name||'|'||volume = '3032|Dorfstrasse 45|Feuerwehrmagazin/3 Wohnungen|6160.00'), 'P48', 39, 90, 2012,'Stahlbeton, im Boden Risse, wahrsch. d. Setzungen, san. KS-Wände roh'),</v>
      </c>
    </row>
    <row r="340" spans="1:8" x14ac:dyDescent="0.25">
      <c r="A340" s="9" t="s">
        <v>1333</v>
      </c>
      <c r="B340" s="9" t="s">
        <v>1129</v>
      </c>
      <c r="C340">
        <v>0</v>
      </c>
      <c r="D340" t="s">
        <v>4080</v>
      </c>
      <c r="E340">
        <v>2012</v>
      </c>
      <c r="F340" s="9"/>
      <c r="H340" s="20" t="str">
        <f t="shared" si="5"/>
        <v>(nextval('obj_part_id_seq'), (select id from obj_building_v where zip||'|'||street||'|'||name||'|'||volume = '3032|Dorfstrasse 45|Feuerwehrmagazin/3 Wohnungen|6160.00'), 'P49', 0, null, 2012,null),</v>
      </c>
    </row>
    <row r="341" spans="1:8" x14ac:dyDescent="0.25">
      <c r="A341" s="9" t="s">
        <v>1333</v>
      </c>
      <c r="B341" s="9" t="s">
        <v>1097</v>
      </c>
      <c r="C341">
        <v>0</v>
      </c>
      <c r="D341" t="s">
        <v>4080</v>
      </c>
      <c r="E341">
        <v>2012</v>
      </c>
      <c r="F341" s="9"/>
      <c r="H341" s="20" t="str">
        <f t="shared" si="5"/>
        <v>(nextval('obj_part_id_seq'), (select id from obj_building_v where zip||'|'||street||'|'||name||'|'||volume = '3032|Dorfstrasse 45|Feuerwehrmagazin/3 Wohnungen|6160.00'), 'P2', 0, null, 2012,null),</v>
      </c>
    </row>
    <row r="342" spans="1:8" x14ac:dyDescent="0.25">
      <c r="A342" s="9" t="s">
        <v>1333</v>
      </c>
      <c r="B342" s="9" t="s">
        <v>1099</v>
      </c>
      <c r="C342">
        <v>8</v>
      </c>
      <c r="D342">
        <v>85</v>
      </c>
      <c r="E342">
        <v>2012</v>
      </c>
      <c r="F342" s="9" t="s">
        <v>1335</v>
      </c>
      <c r="H342" s="20" t="str">
        <f t="shared" si="5"/>
        <v>(nextval('obj_part_id_seq'), (select id from obj_building_v where zip||'|'||street||'|'||name||'|'||volume = '3032|Dorfstrasse 45|Feuerwehrmagazin/3 Wohnungen|6160.00'), 'P3', 8, 85, 2012,'Kiesklebedach, san. n. Wassereintritt Oblicht in Wg. mit Glasbausteinen'),</v>
      </c>
    </row>
    <row r="343" spans="1:8" x14ac:dyDescent="0.25">
      <c r="A343" s="9" t="s">
        <v>1333</v>
      </c>
      <c r="B343" s="9" t="s">
        <v>1100</v>
      </c>
      <c r="C343">
        <v>7</v>
      </c>
      <c r="D343">
        <v>85</v>
      </c>
      <c r="E343">
        <v>2012</v>
      </c>
      <c r="F343" s="9" t="s">
        <v>1336</v>
      </c>
      <c r="H343" s="20" t="str">
        <f t="shared" si="5"/>
        <v>(nextval('obj_part_id_seq'), (select id from obj_building_v where zip||'|'||street||'|'||name||'|'||volume = '3032|Dorfstrasse 45|Feuerwehrmagazin/3 Wohnungen|6160.00'), 'P4', 7, 85, 2012,'Betonelemente, Fugen i.O.'),</v>
      </c>
    </row>
    <row r="344" spans="1:8" x14ac:dyDescent="0.25">
      <c r="A344" s="9" t="s">
        <v>1333</v>
      </c>
      <c r="B344" s="9" t="s">
        <v>1102</v>
      </c>
      <c r="C344">
        <v>11</v>
      </c>
      <c r="D344">
        <v>70</v>
      </c>
      <c r="E344">
        <v>2012</v>
      </c>
      <c r="F344" s="9" t="s">
        <v>1337</v>
      </c>
      <c r="H344" s="20" t="str">
        <f t="shared" si="5"/>
        <v>(nextval('obj_part_id_seq'), (select id from obj_building_v where zip||'|'||street||'|'||name||'|'||volume = '3032|Dorfstrasse 45|Feuerwehrmagazin/3 Wohnungen|6160.00'), 'P5', 11, 70, 2012,'Metallfenster, IV, Glasbausteinen EG'),</v>
      </c>
    </row>
    <row r="345" spans="1:8" x14ac:dyDescent="0.25">
      <c r="A345" s="9" t="s">
        <v>1333</v>
      </c>
      <c r="B345" s="9" t="s">
        <v>1110</v>
      </c>
      <c r="C345">
        <v>4</v>
      </c>
      <c r="D345">
        <v>80</v>
      </c>
      <c r="E345">
        <v>2012</v>
      </c>
      <c r="F345" s="9" t="s">
        <v>1338</v>
      </c>
      <c r="H345" s="20" t="str">
        <f t="shared" si="5"/>
        <v>(nextval('obj_part_id_seq'), (select id from obj_building_v where zip||'|'||street||'|'||name||'|'||volume = '3032|Dorfstrasse 45|Feuerwehrmagazin/3 Wohnungen|6160.00'), 'P9', 4, 80, 2012,'Alte LS-Röhren (Leuchtmittel), alle Sicherungen Keramik'),</v>
      </c>
    </row>
    <row r="346" spans="1:8" x14ac:dyDescent="0.25">
      <c r="A346" s="9" t="s">
        <v>1333</v>
      </c>
      <c r="B346" s="9" t="s">
        <v>1104</v>
      </c>
      <c r="C346">
        <v>2</v>
      </c>
      <c r="D346">
        <v>85</v>
      </c>
      <c r="E346">
        <v>2012</v>
      </c>
      <c r="F346" s="9" t="s">
        <v>1339</v>
      </c>
      <c r="H346" s="20" t="str">
        <f t="shared" si="5"/>
        <v>(nextval('obj_part_id_seq'), (select id from obj_building_v where zip||'|'||street||'|'||name||'|'||volume = '3032|Dorfstrasse 45|Feuerwehrmagazin/3 Wohnungen|6160.00'), 'P6', 2, 85, 2012,'Oelheizung/Brenner vor ca. 4. Jahren ersetzt, Heizlüftungen ok., Lüftung/Heizl. in Schulraum'),</v>
      </c>
    </row>
    <row r="347" spans="1:8" x14ac:dyDescent="0.25">
      <c r="A347" s="9" t="s">
        <v>1333</v>
      </c>
      <c r="B347" s="9" t="s">
        <v>1106</v>
      </c>
      <c r="C347">
        <v>3</v>
      </c>
      <c r="D347">
        <v>85</v>
      </c>
      <c r="E347">
        <v>2012</v>
      </c>
      <c r="F347" s="9" t="s">
        <v>1340</v>
      </c>
      <c r="H347" s="20" t="str">
        <f t="shared" si="5"/>
        <v>(nextval('obj_part_id_seq'), (select id from obj_building_v where zip||'|'||street||'|'||name||'|'||volume = '3032|Dorfstrasse 45|Feuerwehrmagazin/3 Wohnungen|6160.00'), 'P7', 3, 85, 2012,'Radiator m. Thermostat, auch in Schutzraum, Heizlüfter ok'),</v>
      </c>
    </row>
    <row r="348" spans="1:8" x14ac:dyDescent="0.25">
      <c r="A348" s="9" t="s">
        <v>1333</v>
      </c>
      <c r="B348" s="9" t="s">
        <v>1135</v>
      </c>
      <c r="C348">
        <v>3</v>
      </c>
      <c r="D348">
        <v>80</v>
      </c>
      <c r="E348">
        <v>2012</v>
      </c>
      <c r="F348" s="9" t="s">
        <v>1341</v>
      </c>
      <c r="H348" s="20" t="str">
        <f t="shared" si="5"/>
        <v>(nextval('obj_part_id_seq'), (select id from obj_building_v where zip||'|'||street||'|'||name||'|'||volume = '3032|Dorfstrasse 45|Feuerwehrmagazin/3 Wohnungen|6160.00'), 'P54', 3, 80, 2012,'WC, Spaltanlage (f. Reinigung Abwasser), EG ok'),</v>
      </c>
    </row>
    <row r="349" spans="1:8" x14ac:dyDescent="0.25">
      <c r="A349" s="9" t="s">
        <v>1333</v>
      </c>
      <c r="B349" s="9" t="s">
        <v>1137</v>
      </c>
      <c r="C349">
        <v>4</v>
      </c>
      <c r="D349">
        <v>70</v>
      </c>
      <c r="E349">
        <v>2012</v>
      </c>
      <c r="F349" s="9" t="s">
        <v>1342</v>
      </c>
      <c r="H349" s="20" t="str">
        <f t="shared" si="5"/>
        <v>(nextval('obj_part_id_seq'), (select id from obj_building_v where zip||'|'||street||'|'||name||'|'||volume = '3032|Dorfstrasse 45|Feuerwehrmagazin/3 Wohnungen|6160.00'), 'P55', 4, 70, 2012,'tw. saniert nach Leitungsbruch, tw. rostig (s. UG) -&gt; immer noch rostig'),</v>
      </c>
    </row>
    <row r="350" spans="1:8" x14ac:dyDescent="0.25">
      <c r="A350" s="9" t="s">
        <v>1333</v>
      </c>
      <c r="B350" s="9" t="s">
        <v>1155</v>
      </c>
      <c r="C350">
        <v>0</v>
      </c>
      <c r="D350" t="s">
        <v>4080</v>
      </c>
      <c r="E350">
        <v>2012</v>
      </c>
      <c r="F350" s="9"/>
      <c r="H350" s="20" t="str">
        <f t="shared" si="5"/>
        <v>(nextval('obj_part_id_seq'), (select id from obj_building_v where zip||'|'||street||'|'||name||'|'||volume = '3032|Dorfstrasse 45|Feuerwehrmagazin/3 Wohnungen|6160.00'), 'P56', 0, null, 2012,null),</v>
      </c>
    </row>
    <row r="351" spans="1:8" x14ac:dyDescent="0.25">
      <c r="A351" s="9" t="s">
        <v>1333</v>
      </c>
      <c r="B351" s="9" t="s">
        <v>1138</v>
      </c>
      <c r="C351">
        <v>9</v>
      </c>
      <c r="D351">
        <v>90</v>
      </c>
      <c r="E351">
        <v>2012</v>
      </c>
      <c r="F351" s="9" t="s">
        <v>1343</v>
      </c>
      <c r="H351" s="20" t="str">
        <f t="shared" si="5"/>
        <v>(nextval('obj_part_id_seq'), (select id from obj_building_v where zip||'|'||street||'|'||name||'|'||volume = '3032|Dorfstrasse 45|Feuerwehrmagazin/3 Wohnungen|6160.00'), 'P57', 9, 90, 2012,'Innentüren aus Holz, guter Zustand'),</v>
      </c>
    </row>
    <row r="352" spans="1:8" x14ac:dyDescent="0.25">
      <c r="A352" s="9" t="s">
        <v>1333</v>
      </c>
      <c r="B352" s="9" t="s">
        <v>1140</v>
      </c>
      <c r="C352">
        <v>8</v>
      </c>
      <c r="D352">
        <v>85</v>
      </c>
      <c r="E352">
        <v>2012</v>
      </c>
      <c r="F352" s="9" t="s">
        <v>1344</v>
      </c>
      <c r="H352" s="20" t="str">
        <f t="shared" si="5"/>
        <v>(nextval('obj_part_id_seq'), (select id from obj_building_v where zip||'|'||street||'|'||name||'|'||volume = '3032|Dorfstrasse 45|Feuerwehrmagazin/3 Wohnungen|6160.00'), 'P58', 8, 85, 2012,'B: Parkett, Bad/Küche Keramikpl., in Schulungsraum Gussasphalt und Hartbeton, gestr. (wird ersetzt) W: Putz, gestr., Bad: Keramik D: Putz, gestr., Heraklitpl.'),</v>
      </c>
    </row>
    <row r="353" spans="1:8" x14ac:dyDescent="0.25">
      <c r="A353" s="9" t="s">
        <v>1333</v>
      </c>
      <c r="B353" s="9" t="s">
        <v>1157</v>
      </c>
      <c r="C353">
        <v>2</v>
      </c>
      <c r="D353">
        <v>90</v>
      </c>
      <c r="E353">
        <v>2017</v>
      </c>
      <c r="F353" s="9" t="s">
        <v>1345</v>
      </c>
      <c r="H353" s="20" t="str">
        <f t="shared" si="5"/>
        <v>(nextval('obj_part_id_seq'), (select id from obj_building_v where zip||'|'||street||'|'||name||'|'||volume = '3032|Dorfstrasse 45|Feuerwehrmagazin/3 Wohnungen|6160.00'), 'P59', 2, 90, 2017,'Küche Ersatz ''13'),</v>
      </c>
    </row>
    <row r="354" spans="1:8" x14ac:dyDescent="0.25">
      <c r="A354" s="9" t="s">
        <v>1333</v>
      </c>
      <c r="B354" s="9" t="s">
        <v>1142</v>
      </c>
      <c r="C354">
        <v>0</v>
      </c>
      <c r="D354" t="s">
        <v>4080</v>
      </c>
      <c r="E354">
        <v>2012</v>
      </c>
      <c r="F354" s="9"/>
      <c r="H354" s="20" t="str">
        <f t="shared" si="5"/>
        <v>(nextval('obj_part_id_seq'), (select id from obj_building_v where zip||'|'||street||'|'||name||'|'||volume = '3032|Dorfstrasse 45|Feuerwehrmagazin/3 Wohnungen|6160.00'), 'P60', 0, null, 2012,null),</v>
      </c>
    </row>
    <row r="355" spans="1:8" x14ac:dyDescent="0.25">
      <c r="A355" s="9" t="s">
        <v>1333</v>
      </c>
      <c r="B355" s="9" t="s">
        <v>1143</v>
      </c>
      <c r="C355">
        <v>0</v>
      </c>
      <c r="D355" t="s">
        <v>4080</v>
      </c>
      <c r="E355">
        <v>2017</v>
      </c>
      <c r="F355" s="9"/>
      <c r="H355" s="20" t="str">
        <f t="shared" si="5"/>
        <v>(nextval('obj_part_id_seq'), (select id from obj_building_v where zip||'|'||street||'|'||name||'|'||volume = '3032|Dorfstrasse 45|Feuerwehrmagazin/3 Wohnungen|6160.00'), 'P61', 0, null, 2017,null),</v>
      </c>
    </row>
    <row r="356" spans="1:8" x14ac:dyDescent="0.25">
      <c r="A356" s="9" t="s">
        <v>1333</v>
      </c>
      <c r="B356" s="9" t="s">
        <v>1144</v>
      </c>
      <c r="C356">
        <v>0</v>
      </c>
      <c r="D356" t="s">
        <v>4080</v>
      </c>
      <c r="E356">
        <v>2017</v>
      </c>
      <c r="F356" s="9"/>
      <c r="H356" s="20" t="str">
        <f t="shared" si="5"/>
        <v>(nextval('obj_part_id_seq'), (select id from obj_building_v where zip||'|'||street||'|'||name||'|'||volume = '3032|Dorfstrasse 45|Feuerwehrmagazin/3 Wohnungen|6160.00'), 'P62', 0, null, 2017,null),</v>
      </c>
    </row>
    <row r="357" spans="1:8" x14ac:dyDescent="0.25">
      <c r="A357" s="9" t="s">
        <v>1346</v>
      </c>
      <c r="B357" s="9" t="s">
        <v>1127</v>
      </c>
      <c r="C357">
        <v>41</v>
      </c>
      <c r="D357">
        <v>90</v>
      </c>
      <c r="E357">
        <v>2012</v>
      </c>
      <c r="F357" s="9" t="s">
        <v>1261</v>
      </c>
      <c r="H357" s="20" t="str">
        <f t="shared" si="5"/>
        <v>(nextval('obj_part_id_seq'), (select id from obj_building_v where zip||'|'||street||'|'||name||'|'||volume = '3034|Schulstrasse 4|Schulhaus, Pausenhalle , Kita|7481.00'), 'P48', 41, 90, 2012,'Mauerwerk und Stahlbeton'),</v>
      </c>
    </row>
    <row r="358" spans="1:8" x14ac:dyDescent="0.25">
      <c r="A358" s="9" t="s">
        <v>1346</v>
      </c>
      <c r="B358" s="9" t="s">
        <v>1129</v>
      </c>
      <c r="C358">
        <v>0</v>
      </c>
      <c r="D358" t="s">
        <v>4080</v>
      </c>
      <c r="E358">
        <v>2012</v>
      </c>
      <c r="F358" s="9"/>
      <c r="H358" s="20" t="str">
        <f t="shared" si="5"/>
        <v>(nextval('obj_part_id_seq'), (select id from obj_building_v where zip||'|'||street||'|'||name||'|'||volume = '3034|Schulstrasse 4|Schulhaus, Pausenhalle , Kita|7481.00'), 'P49', 0, null, 2012,null),</v>
      </c>
    </row>
    <row r="359" spans="1:8" x14ac:dyDescent="0.25">
      <c r="A359" s="9" t="s">
        <v>1346</v>
      </c>
      <c r="B359" s="9" t="s">
        <v>1097</v>
      </c>
      <c r="C359">
        <v>8</v>
      </c>
      <c r="D359">
        <v>90</v>
      </c>
      <c r="E359">
        <v>2012</v>
      </c>
      <c r="F359" s="9" t="s">
        <v>1347</v>
      </c>
      <c r="H359" s="20" t="str">
        <f t="shared" si="5"/>
        <v>(nextval('obj_part_id_seq'), (select id from obj_building_v where zip||'|'||street||'|'||name||'|'||volume = '3034|Schulstrasse 4|Schulhaus, Pausenhalle , Kita|7481.00'), 'P2', 8, 90, 2012,'Nach Brand ersetzt, im Dachboden isoliert'),</v>
      </c>
    </row>
    <row r="360" spans="1:8" x14ac:dyDescent="0.25">
      <c r="A360" s="9" t="s">
        <v>1346</v>
      </c>
      <c r="B360" s="9" t="s">
        <v>1099</v>
      </c>
      <c r="C360">
        <v>0</v>
      </c>
      <c r="D360" t="s">
        <v>4080</v>
      </c>
      <c r="E360">
        <v>2012</v>
      </c>
      <c r="F360" s="9"/>
      <c r="H360" s="20" t="str">
        <f t="shared" si="5"/>
        <v>(nextval('obj_part_id_seq'), (select id from obj_building_v where zip||'|'||street||'|'||name||'|'||volume = '3034|Schulstrasse 4|Schulhaus, Pausenhalle , Kita|7481.00'), 'P3', 0, null, 2012,null),</v>
      </c>
    </row>
    <row r="361" spans="1:8" x14ac:dyDescent="0.25">
      <c r="A361" s="9" t="s">
        <v>1346</v>
      </c>
      <c r="B361" s="9" t="s">
        <v>1100</v>
      </c>
      <c r="C361">
        <v>7</v>
      </c>
      <c r="D361">
        <v>90</v>
      </c>
      <c r="E361">
        <v>2012</v>
      </c>
      <c r="F361" s="9" t="s">
        <v>1348</v>
      </c>
      <c r="H361" s="20" t="str">
        <f t="shared" si="5"/>
        <v>(nextval('obj_part_id_seq'), (select id from obj_building_v where zip||'|'||street||'|'||name||'|'||volume = '3034|Schulstrasse 4|Schulhaus, Pausenhalle , Kita|7481.00'), 'P4', 7, 90, 2012,'Zweischalenmauerwerk, verputzt, neu gestr./verp.'),</v>
      </c>
    </row>
    <row r="362" spans="1:8" x14ac:dyDescent="0.25">
      <c r="A362" s="9" t="s">
        <v>1346</v>
      </c>
      <c r="B362" s="9" t="s">
        <v>1102</v>
      </c>
      <c r="C362">
        <v>10</v>
      </c>
      <c r="D362">
        <v>90</v>
      </c>
      <c r="E362">
        <v>2012</v>
      </c>
      <c r="F362" s="9" t="s">
        <v>1349</v>
      </c>
      <c r="H362" s="20" t="str">
        <f t="shared" si="5"/>
        <v>(nextval('obj_part_id_seq'), (select id from obj_building_v where zip||'|'||street||'|'||name||'|'||volume = '3034|Schulstrasse 4|Schulhaus, Pausenhalle , Kita|7481.00'), 'P5', 10, 90, 2012,'Holz-/Metallfenster, IV, Stoffstoren, Eingangstüren aus Metall / Windfang undicht'),</v>
      </c>
    </row>
    <row r="363" spans="1:8" x14ac:dyDescent="0.25">
      <c r="A363" s="9" t="s">
        <v>1346</v>
      </c>
      <c r="B363" s="9" t="s">
        <v>1164</v>
      </c>
      <c r="C363">
        <v>6</v>
      </c>
      <c r="D363">
        <v>90</v>
      </c>
      <c r="E363">
        <v>2012</v>
      </c>
      <c r="F363" s="9"/>
      <c r="H363" s="20" t="str">
        <f t="shared" si="5"/>
        <v>(nextval('obj_part_id_seq'), (select id from obj_building_v where zip||'|'||street||'|'||name||'|'||volume = '3034|Schulstrasse 4|Schulhaus, Pausenhalle , Kita|7481.00'), 'P50', 6, 90, 2012,null),</v>
      </c>
    </row>
    <row r="364" spans="1:8" x14ac:dyDescent="0.25">
      <c r="A364" s="9" t="s">
        <v>1346</v>
      </c>
      <c r="B364" s="9" t="s">
        <v>1166</v>
      </c>
      <c r="C364">
        <v>1</v>
      </c>
      <c r="D364">
        <v>90</v>
      </c>
      <c r="E364">
        <v>2012</v>
      </c>
      <c r="F364" s="9"/>
      <c r="H364" s="20" t="str">
        <f t="shared" si="5"/>
        <v>(nextval('obj_part_id_seq'), (select id from obj_building_v where zip||'|'||street||'|'||name||'|'||volume = '3034|Schulstrasse 4|Schulhaus, Pausenhalle , Kita|7481.00'), 'P51', 1, 90, 2012,null),</v>
      </c>
    </row>
    <row r="365" spans="1:8" x14ac:dyDescent="0.25">
      <c r="A365" s="9" t="s">
        <v>1346</v>
      </c>
      <c r="B365" s="9" t="s">
        <v>1104</v>
      </c>
      <c r="C365">
        <v>1</v>
      </c>
      <c r="D365">
        <v>90</v>
      </c>
      <c r="E365">
        <v>2012</v>
      </c>
      <c r="F365" s="9" t="s">
        <v>1350</v>
      </c>
      <c r="H365" s="20" t="str">
        <f t="shared" si="5"/>
        <v>(nextval('obj_part_id_seq'), (select id from obj_building_v where zip||'|'||street||'|'||name||'|'||volume = '3034|Schulstrasse 4|Schulhaus, Pausenhalle , Kita|7481.00'), 'P6', 1, 90, 2012,'Oelheizung ''04 für ganze Schulanlage'),</v>
      </c>
    </row>
    <row r="366" spans="1:8" x14ac:dyDescent="0.25">
      <c r="A366" s="9" t="s">
        <v>1346</v>
      </c>
      <c r="B366" s="9" t="s">
        <v>1106</v>
      </c>
      <c r="C366">
        <v>3</v>
      </c>
      <c r="D366">
        <v>90</v>
      </c>
      <c r="E366">
        <v>2012</v>
      </c>
      <c r="F366" s="9" t="s">
        <v>1351</v>
      </c>
      <c r="H366" s="20" t="str">
        <f t="shared" si="5"/>
        <v>(nextval('obj_part_id_seq'), (select id from obj_building_v where zip||'|'||street||'|'||name||'|'||volume = '3034|Schulstrasse 4|Schulhaus, Pausenhalle , Kita|7481.00'), 'P7', 3, 90, 2012,'Rad. m. Thermostaten'),</v>
      </c>
    </row>
    <row r="367" spans="1:8" x14ac:dyDescent="0.25">
      <c r="A367" s="9" t="s">
        <v>1346</v>
      </c>
      <c r="B367" s="9" t="s">
        <v>1108</v>
      </c>
      <c r="C367">
        <v>4</v>
      </c>
      <c r="D367">
        <v>90</v>
      </c>
      <c r="E367">
        <v>2012</v>
      </c>
      <c r="F367" s="9" t="s">
        <v>1352</v>
      </c>
      <c r="H367" s="20" t="str">
        <f t="shared" si="5"/>
        <v>(nextval('obj_part_id_seq'), (select id from obj_building_v where zip||'|'||street||'|'||name||'|'||volume = '3034|Schulstrasse 4|Schulhaus, Pausenhalle , Kita|7481.00'), 'P8', 4, 90, 2012,'Leitungen: ausr. Druck'),</v>
      </c>
    </row>
    <row r="368" spans="1:8" x14ac:dyDescent="0.25">
      <c r="A368" s="9" t="s">
        <v>1346</v>
      </c>
      <c r="B368" s="9" t="s">
        <v>1138</v>
      </c>
      <c r="C368">
        <v>11</v>
      </c>
      <c r="D368">
        <v>90</v>
      </c>
      <c r="E368">
        <v>2012</v>
      </c>
      <c r="F368" s="9" t="s">
        <v>1353</v>
      </c>
      <c r="H368" s="20" t="str">
        <f t="shared" si="5"/>
        <v>(nextval('obj_part_id_seq'), (select id from obj_building_v where zip||'|'||street||'|'||name||'|'||volume = '3034|Schulstrasse 4|Schulhaus, Pausenhalle , Kita|7481.00'), 'P57', 11, 90, 2012,'Wandschränke/Arbeitssimse, Glastrennw. im EG'),</v>
      </c>
    </row>
    <row r="369" spans="1:8" x14ac:dyDescent="0.25">
      <c r="A369" s="9" t="s">
        <v>1346</v>
      </c>
      <c r="B369" s="9" t="s">
        <v>1140</v>
      </c>
      <c r="C369">
        <v>8</v>
      </c>
      <c r="D369">
        <v>90</v>
      </c>
      <c r="E369">
        <v>2012</v>
      </c>
      <c r="F369" s="9" t="s">
        <v>1354</v>
      </c>
      <c r="H369" s="20" t="str">
        <f t="shared" si="5"/>
        <v>(nextval('obj_part_id_seq'), (select id from obj_building_v where zip||'|'||street||'|'||name||'|'||volume = '3034|Schulstrasse 4|Schulhaus, Pausenhalle , Kita|7481.00'), 'P58', 8, 90, 2012,'Klassenzimmer: B: Linol, Keramik, Putzraum:Kstst.,  Werkräume: Parkett/Linol, D: Akustik/Täfer, Akustikd. in Werkräumen Sritzputz, Zellulose, W: Putz/Täfer'),</v>
      </c>
    </row>
    <row r="370" spans="1:8" x14ac:dyDescent="0.25">
      <c r="A370" s="9" t="s">
        <v>1346</v>
      </c>
      <c r="B370" s="9" t="s">
        <v>1142</v>
      </c>
      <c r="C370">
        <v>0</v>
      </c>
      <c r="D370" t="s">
        <v>4080</v>
      </c>
      <c r="E370">
        <v>2012</v>
      </c>
      <c r="F370" s="9"/>
      <c r="H370" s="20" t="str">
        <f t="shared" si="5"/>
        <v>(nextval('obj_part_id_seq'), (select id from obj_building_v where zip||'|'||street||'|'||name||'|'||volume = '3034|Schulstrasse 4|Schulhaus, Pausenhalle , Kita|7481.00'), 'P60', 0, null, 2012,null),</v>
      </c>
    </row>
    <row r="371" spans="1:8" x14ac:dyDescent="0.25">
      <c r="A371" s="9" t="s">
        <v>1346</v>
      </c>
      <c r="B371" s="9" t="s">
        <v>1143</v>
      </c>
      <c r="C371">
        <v>0</v>
      </c>
      <c r="D371" t="s">
        <v>4080</v>
      </c>
      <c r="E371">
        <v>2012</v>
      </c>
      <c r="F371" s="9"/>
      <c r="H371" s="20" t="str">
        <f t="shared" si="5"/>
        <v>(nextval('obj_part_id_seq'), (select id from obj_building_v where zip||'|'||street||'|'||name||'|'||volume = '3034|Schulstrasse 4|Schulhaus, Pausenhalle , Kita|7481.00'), 'P61', 0, null, 2012,null),</v>
      </c>
    </row>
    <row r="372" spans="1:8" x14ac:dyDescent="0.25">
      <c r="A372" s="9" t="s">
        <v>1346</v>
      </c>
      <c r="B372" s="9" t="s">
        <v>1144</v>
      </c>
      <c r="C372">
        <v>0</v>
      </c>
      <c r="D372" t="s">
        <v>4080</v>
      </c>
      <c r="E372">
        <v>2012</v>
      </c>
      <c r="F372" s="9"/>
      <c r="H372" s="20" t="str">
        <f t="shared" si="5"/>
        <v>(nextval('obj_part_id_seq'), (select id from obj_building_v where zip||'|'||street||'|'||name||'|'||volume = '3034|Schulstrasse 4|Schulhaus, Pausenhalle , Kita|7481.00'), 'P62', 0, null, 2012,null),</v>
      </c>
    </row>
    <row r="373" spans="1:8" x14ac:dyDescent="0.25">
      <c r="A373" s="9" t="s">
        <v>1355</v>
      </c>
      <c r="B373" s="9" t="s">
        <v>1127</v>
      </c>
      <c r="C373">
        <v>41</v>
      </c>
      <c r="D373">
        <v>80</v>
      </c>
      <c r="E373">
        <v>2012</v>
      </c>
      <c r="F373" s="9" t="s">
        <v>1356</v>
      </c>
      <c r="H373" s="20" t="str">
        <f t="shared" si="5"/>
        <v>(nextval('obj_part_id_seq'), (select id from obj_building_v where zip||'|'||street||'|'||name||'|'||volume = '3034|Schulstrasse 5|Turnhalle und Lehrschwimmbecken|9627.00'), 'P48', 41, 80, 2012,'Stahlbeton, Mauerwerk, tw. Risse bei Innenwänden'),</v>
      </c>
    </row>
    <row r="374" spans="1:8" x14ac:dyDescent="0.25">
      <c r="A374" s="9" t="s">
        <v>1355</v>
      </c>
      <c r="B374" s="9" t="s">
        <v>1129</v>
      </c>
      <c r="C374">
        <v>0</v>
      </c>
      <c r="D374" t="s">
        <v>4080</v>
      </c>
      <c r="E374">
        <v>2012</v>
      </c>
      <c r="F374" s="9"/>
      <c r="H374" s="20" t="str">
        <f t="shared" si="5"/>
        <v>(nextval('obj_part_id_seq'), (select id from obj_building_v where zip||'|'||street||'|'||name||'|'||volume = '3034|Schulstrasse 5|Turnhalle und Lehrschwimmbecken|9627.00'), 'P49', 0, null, 2012,null),</v>
      </c>
    </row>
    <row r="375" spans="1:8" x14ac:dyDescent="0.25">
      <c r="A375" s="9" t="s">
        <v>1355</v>
      </c>
      <c r="B375" s="9" t="s">
        <v>1097</v>
      </c>
      <c r="C375">
        <v>5</v>
      </c>
      <c r="D375">
        <v>85</v>
      </c>
      <c r="E375">
        <v>2012</v>
      </c>
      <c r="F375" s="9" t="s">
        <v>1357</v>
      </c>
      <c r="H375" s="20" t="str">
        <f t="shared" si="5"/>
        <v>(nextval('obj_part_id_seq'), (select id from obj_building_v where zip||'|'||street||'|'||name||'|'||volume = '3034|Schulstrasse 5|Turnhalle und Lehrschwimmbecken|9627.00'), 'P2', 5, 85, 2012,'Ziegeldach; Dachraum konnte nicht besichtigt werden'),</v>
      </c>
    </row>
    <row r="376" spans="1:8" x14ac:dyDescent="0.25">
      <c r="A376" s="9" t="s">
        <v>1355</v>
      </c>
      <c r="B376" s="9" t="s">
        <v>1099</v>
      </c>
      <c r="C376">
        <v>3</v>
      </c>
      <c r="D376">
        <v>85</v>
      </c>
      <c r="E376">
        <v>2012</v>
      </c>
      <c r="F376" s="9" t="s">
        <v>1358</v>
      </c>
      <c r="H376" s="20" t="str">
        <f t="shared" si="5"/>
        <v>(nextval('obj_part_id_seq'), (select id from obj_building_v where zip||'|'||street||'|'||name||'|'||volume = '3034|Schulstrasse 5|Turnhalle und Lehrschwimmbecken|9627.00'), 'P3', 3, 85, 2012,'Flachdachteil Foyer und Verbindungsgänge'),</v>
      </c>
    </row>
    <row r="377" spans="1:8" x14ac:dyDescent="0.25">
      <c r="A377" s="9" t="s">
        <v>1355</v>
      </c>
      <c r="B377" s="9" t="s">
        <v>1100</v>
      </c>
      <c r="C377">
        <v>7</v>
      </c>
      <c r="D377">
        <v>90</v>
      </c>
      <c r="E377">
        <v>2012</v>
      </c>
      <c r="F377" s="9" t="s">
        <v>1359</v>
      </c>
      <c r="H377" s="20" t="str">
        <f t="shared" si="5"/>
        <v>(nextval('obj_part_id_seq'), (select id from obj_building_v where zip||'|'||street||'|'||name||'|'||volume = '3034|Schulstrasse 5|Turnhalle und Lehrschwimmbecken|9627.00'), 'P4', 7, 90, 2012,'Zweischalen- Mauerwerk, Eternitschindeln'),</v>
      </c>
    </row>
    <row r="378" spans="1:8" x14ac:dyDescent="0.25">
      <c r="A378" s="9" t="s">
        <v>1355</v>
      </c>
      <c r="B378" s="9" t="s">
        <v>1102</v>
      </c>
      <c r="C378">
        <v>10</v>
      </c>
      <c r="D378">
        <v>80</v>
      </c>
      <c r="E378">
        <v>2012</v>
      </c>
      <c r="F378" s="9" t="s">
        <v>1360</v>
      </c>
      <c r="H378" s="20" t="str">
        <f t="shared" si="5"/>
        <v>(nextval('obj_part_id_seq'), (select id from obj_building_v where zip||'|'||street||'|'||name||'|'||volume = '3034|Schulstrasse 5|Turnhalle und Lehrschwimmbecken|9627.00'), 'P5', 10, 80, 2012,'Im Foyer: Metallf. ''98, Holzf. in Turnhalle, 3-fach Vergl.'),</v>
      </c>
    </row>
    <row r="379" spans="1:8" x14ac:dyDescent="0.25">
      <c r="A379" s="9" t="s">
        <v>1355</v>
      </c>
      <c r="B379" s="9" t="s">
        <v>1164</v>
      </c>
      <c r="C379">
        <v>6</v>
      </c>
      <c r="D379">
        <v>90</v>
      </c>
      <c r="E379">
        <v>2012</v>
      </c>
      <c r="F379" s="9" t="s">
        <v>1361</v>
      </c>
      <c r="H379" s="20" t="str">
        <f t="shared" si="5"/>
        <v>(nextval('obj_part_id_seq'), (select id from obj_building_v where zip||'|'||street||'|'||name||'|'||volume = '3034|Schulstrasse 5|Turnhalle und Lehrschwimmbecken|9627.00'), 'P50', 6, 90, 2012,'Beleuchtung TH neu, in Lehrschwimmbecken neu'),</v>
      </c>
    </row>
    <row r="380" spans="1:8" x14ac:dyDescent="0.25">
      <c r="A380" s="9" t="s">
        <v>1355</v>
      </c>
      <c r="B380" s="9" t="s">
        <v>1166</v>
      </c>
      <c r="C380">
        <v>1</v>
      </c>
      <c r="D380">
        <v>90</v>
      </c>
      <c r="E380">
        <v>2012</v>
      </c>
      <c r="F380" s="9" t="s">
        <v>1362</v>
      </c>
      <c r="H380" s="20" t="str">
        <f t="shared" si="5"/>
        <v>(nextval('obj_part_id_seq'), (select id from obj_building_v where zip||'|'||street||'|'||name||'|'||volume = '3034|Schulstrasse 5|Turnhalle und Lehrschwimmbecken|9627.00'), 'P51', 1, 90, 2012,'Lautsprecheranlage'),</v>
      </c>
    </row>
    <row r="381" spans="1:8" x14ac:dyDescent="0.25">
      <c r="A381" s="9" t="s">
        <v>1355</v>
      </c>
      <c r="B381" s="9" t="s">
        <v>1104</v>
      </c>
      <c r="C381">
        <v>1</v>
      </c>
      <c r="D381">
        <v>90</v>
      </c>
      <c r="E381">
        <v>2012</v>
      </c>
      <c r="F381" s="9" t="s">
        <v>1363</v>
      </c>
      <c r="H381" s="20" t="str">
        <f t="shared" si="5"/>
        <v>(nextval('obj_part_id_seq'), (select id from obj_building_v where zip||'|'||street||'|'||name||'|'||volume = '3034|Schulstrasse 5|Turnhalle und Lehrschwimmbecken|9627.00'), 'P6', 1, 90, 2012,'Wärmepumpe'),</v>
      </c>
    </row>
    <row r="382" spans="1:8" x14ac:dyDescent="0.25">
      <c r="A382" s="9" t="s">
        <v>1355</v>
      </c>
      <c r="B382" s="9" t="s">
        <v>1106</v>
      </c>
      <c r="C382">
        <v>3</v>
      </c>
      <c r="D382">
        <v>90</v>
      </c>
      <c r="E382">
        <v>2012</v>
      </c>
      <c r="F382" s="9" t="s">
        <v>1364</v>
      </c>
      <c r="H382" s="20" t="str">
        <f t="shared" si="5"/>
        <v>(nextval('obj_part_id_seq'), (select id from obj_building_v where zip||'|'||street||'|'||name||'|'||volume = '3034|Schulstrasse 5|Turnhalle und Lehrschwimmbecken|9627.00'), 'P7', 3, 90, 2012,'Bodenheizung in Lehrschwimmbecken'),</v>
      </c>
    </row>
    <row r="383" spans="1:8" x14ac:dyDescent="0.25">
      <c r="A383" s="9" t="s">
        <v>1355</v>
      </c>
      <c r="B383" s="9" t="s">
        <v>1108</v>
      </c>
      <c r="C383">
        <v>4</v>
      </c>
      <c r="D383">
        <v>90</v>
      </c>
      <c r="E383">
        <v>2012</v>
      </c>
      <c r="F383" s="9" t="s">
        <v>1365</v>
      </c>
      <c r="H383" s="20" t="str">
        <f t="shared" si="5"/>
        <v>(nextval('obj_part_id_seq'), (select id from obj_building_v where zip||'|'||street||'|'||name||'|'||volume = '3034|Schulstrasse 5|Turnhalle und Lehrschwimmbecken|9627.00'), 'P8', 4, 90, 2012,'WC z.T. älter, Druck i.O.'),</v>
      </c>
    </row>
    <row r="384" spans="1:8" x14ac:dyDescent="0.25">
      <c r="A384" s="9" t="s">
        <v>1355</v>
      </c>
      <c r="B384" s="9" t="s">
        <v>1138</v>
      </c>
      <c r="C384">
        <v>11</v>
      </c>
      <c r="D384">
        <v>90</v>
      </c>
      <c r="E384">
        <v>2012</v>
      </c>
      <c r="F384" s="9" t="s">
        <v>1366</v>
      </c>
      <c r="H384" s="20" t="str">
        <f t="shared" si="5"/>
        <v>(nextval('obj_part_id_seq'), (select id from obj_building_v where zip||'|'||street||'|'||name||'|'||volume = '3034|Schulstrasse 5|Turnhalle und Lehrschwimmbecken|9627.00'), 'P57', 11, 90, 2012,'Metalldecke in WC, Holztäferdecken in Turnhalle'),</v>
      </c>
    </row>
    <row r="385" spans="1:8" x14ac:dyDescent="0.25">
      <c r="A385" s="9" t="s">
        <v>1355</v>
      </c>
      <c r="B385" s="9" t="s">
        <v>1140</v>
      </c>
      <c r="C385">
        <v>8</v>
      </c>
      <c r="D385">
        <v>90</v>
      </c>
      <c r="E385">
        <v>2012</v>
      </c>
      <c r="F385" s="9" t="s">
        <v>1367</v>
      </c>
      <c r="H385" s="20" t="str">
        <f t="shared" si="5"/>
        <v>(nextval('obj_part_id_seq'), (select id from obj_building_v where zip||'|'||street||'|'||name||'|'||volume = '3034|Schulstrasse 5|Turnhalle und Lehrschwimmbecken|9627.00'), 'P58', 8, 90, 2012,'B: Keramik, Parkett (neu), Teppich&lt;br&gt;D: Täfer'),</v>
      </c>
    </row>
    <row r="386" spans="1:8" x14ac:dyDescent="0.25">
      <c r="A386" s="9" t="s">
        <v>1355</v>
      </c>
      <c r="B386" s="9" t="s">
        <v>1142</v>
      </c>
      <c r="C386">
        <v>0</v>
      </c>
      <c r="D386" t="s">
        <v>4080</v>
      </c>
      <c r="E386">
        <v>2012</v>
      </c>
      <c r="F386" s="9"/>
      <c r="H386" s="20" t="str">
        <f t="shared" si="5"/>
        <v>(nextval('obj_part_id_seq'), (select id from obj_building_v where zip||'|'||street||'|'||name||'|'||volume = '3034|Schulstrasse 5|Turnhalle und Lehrschwimmbecken|9627.00'), 'P60', 0, null, 2012,null),</v>
      </c>
    </row>
    <row r="387" spans="1:8" x14ac:dyDescent="0.25">
      <c r="A387" s="9" t="s">
        <v>1355</v>
      </c>
      <c r="B387" s="9" t="s">
        <v>1143</v>
      </c>
      <c r="C387">
        <v>0</v>
      </c>
      <c r="D387" t="s">
        <v>4080</v>
      </c>
      <c r="E387">
        <v>2012</v>
      </c>
      <c r="F387" s="9"/>
      <c r="H387" s="20" t="str">
        <f t="shared" si="5"/>
        <v>(nextval('obj_part_id_seq'), (select id from obj_building_v where zip||'|'||street||'|'||name||'|'||volume = '3034|Schulstrasse 5|Turnhalle und Lehrschwimmbecken|9627.00'), 'P61', 0, null, 2012,null),</v>
      </c>
    </row>
    <row r="388" spans="1:8" x14ac:dyDescent="0.25">
      <c r="A388" s="9" t="s">
        <v>1355</v>
      </c>
      <c r="B388" s="9" t="s">
        <v>1144</v>
      </c>
      <c r="C388">
        <v>0</v>
      </c>
      <c r="D388" t="s">
        <v>4080</v>
      </c>
      <c r="E388">
        <v>2012</v>
      </c>
      <c r="F388" s="9"/>
      <c r="H388" s="20" t="str">
        <f t="shared" si="5"/>
        <v>(nextval('obj_part_id_seq'), (select id from obj_building_v where zip||'|'||street||'|'||name||'|'||volume = '3034|Schulstrasse 5|Turnhalle und Lehrschwimmbecken|9627.00'), 'P62', 0, null, 2012,null),</v>
      </c>
    </row>
    <row r="389" spans="1:8" x14ac:dyDescent="0.25">
      <c r="A389" s="9" t="s">
        <v>1368</v>
      </c>
      <c r="B389" s="9" t="s">
        <v>1127</v>
      </c>
      <c r="C389">
        <v>35</v>
      </c>
      <c r="D389">
        <v>90</v>
      </c>
      <c r="E389">
        <v>2012</v>
      </c>
      <c r="F389" s="9" t="s">
        <v>1369</v>
      </c>
      <c r="H389" s="20" t="str">
        <f t="shared" ref="H389:H452" si="6">"(nextval('obj_part_id_seq'), (select id from obj_building_v where zip||'|'||street||'|'||name||'|'||volume = '"&amp;A389&amp;"'), '"&amp;B389&amp;"', "&amp;C389&amp;", "&amp;D389&amp;", "&amp;IF(ISBLANK(E389),"null",E389)&amp;","&amp;IF(ISBLANK(F389),"null","'"&amp;F389&amp;"'")&amp;"),"</f>
        <v>(nextval('obj_part_id_seq'), (select id from obj_building_v where zip||'|'||street||'|'||name||'|'||volume = '3034|Schulstrasse 6|Wohnhaus (2 Wohnungen)|1150.00'), 'P48', 35, 90, 2012,'Stahlbeton, Mauerwerk'),</v>
      </c>
    </row>
    <row r="390" spans="1:8" x14ac:dyDescent="0.25">
      <c r="A390" s="9" t="s">
        <v>1368</v>
      </c>
      <c r="B390" s="9" t="s">
        <v>1129</v>
      </c>
      <c r="C390">
        <v>0</v>
      </c>
      <c r="D390" t="s">
        <v>4080</v>
      </c>
      <c r="E390">
        <v>2012</v>
      </c>
      <c r="F390" s="9"/>
      <c r="H390" s="20" t="str">
        <f t="shared" si="6"/>
        <v>(nextval('obj_part_id_seq'), (select id from obj_building_v where zip||'|'||street||'|'||name||'|'||volume = '3034|Schulstrasse 6|Wohnhaus (2 Wohnungen)|1150.00'), 'P49', 0, null, 2012,null),</v>
      </c>
    </row>
    <row r="391" spans="1:8" x14ac:dyDescent="0.25">
      <c r="A391" s="9" t="s">
        <v>1368</v>
      </c>
      <c r="B391" s="9" t="s">
        <v>1097</v>
      </c>
      <c r="C391">
        <v>8</v>
      </c>
      <c r="D391">
        <v>90</v>
      </c>
      <c r="E391">
        <v>2012</v>
      </c>
      <c r="F391" s="9" t="s">
        <v>1370</v>
      </c>
      <c r="H391" s="20" t="str">
        <f t="shared" si="6"/>
        <v>(nextval('obj_part_id_seq'), (select id from obj_building_v where zip||'|'||street||'|'||name||'|'||volume = '3034|Schulstrasse 6|Wohnhaus (2 Wohnungen)|1150.00'), 'P2', 8, 90, 2012,'Ziegeldach'),</v>
      </c>
    </row>
    <row r="392" spans="1:8" x14ac:dyDescent="0.25">
      <c r="A392" s="9" t="s">
        <v>1368</v>
      </c>
      <c r="B392" s="9" t="s">
        <v>1099</v>
      </c>
      <c r="C392">
        <v>0</v>
      </c>
      <c r="D392" t="s">
        <v>4080</v>
      </c>
      <c r="E392">
        <v>2012</v>
      </c>
      <c r="F392" s="9"/>
      <c r="H392" s="20" t="str">
        <f t="shared" si="6"/>
        <v>(nextval('obj_part_id_seq'), (select id from obj_building_v where zip||'|'||street||'|'||name||'|'||volume = '3034|Schulstrasse 6|Wohnhaus (2 Wohnungen)|1150.00'), 'P3', 0, null, 2012,null),</v>
      </c>
    </row>
    <row r="393" spans="1:8" x14ac:dyDescent="0.25">
      <c r="A393" s="9" t="s">
        <v>1368</v>
      </c>
      <c r="B393" s="9" t="s">
        <v>1100</v>
      </c>
      <c r="C393">
        <v>7</v>
      </c>
      <c r="D393">
        <v>80</v>
      </c>
      <c r="E393">
        <v>2012</v>
      </c>
      <c r="F393" s="9" t="s">
        <v>1371</v>
      </c>
      <c r="H393" s="20" t="str">
        <f t="shared" si="6"/>
        <v>(nextval('obj_part_id_seq'), (select id from obj_building_v where zip||'|'||street||'|'||name||'|'||volume = '3034|Schulstrasse 6|Wohnhaus (2 Wohnungen)|1150.00'), 'P4', 7, 80, 2012,'Verp. Aussenwärmedämmung'),</v>
      </c>
    </row>
    <row r="394" spans="1:8" x14ac:dyDescent="0.25">
      <c r="A394" s="9" t="s">
        <v>1368</v>
      </c>
      <c r="B394" s="9" t="s">
        <v>1102</v>
      </c>
      <c r="C394">
        <v>11</v>
      </c>
      <c r="D394">
        <v>90</v>
      </c>
      <c r="E394">
        <v>2012</v>
      </c>
      <c r="F394" s="9" t="s">
        <v>1372</v>
      </c>
      <c r="H394" s="20" t="str">
        <f t="shared" si="6"/>
        <v>(nextval('obj_part_id_seq'), (select id from obj_building_v where zip||'|'||street||'|'||name||'|'||volume = '3034|Schulstrasse 6|Wohnhaus (2 Wohnungen)|1150.00'), 'P5', 11, 90, 2012,'Holz-/Metallf. mit IV'),</v>
      </c>
    </row>
    <row r="395" spans="1:8" x14ac:dyDescent="0.25">
      <c r="A395" s="9" t="s">
        <v>1368</v>
      </c>
      <c r="B395" s="9" t="s">
        <v>1110</v>
      </c>
      <c r="C395">
        <v>4</v>
      </c>
      <c r="D395">
        <v>90</v>
      </c>
      <c r="E395">
        <v>2012</v>
      </c>
      <c r="F395" s="9" t="s">
        <v>1373</v>
      </c>
      <c r="H395" s="20" t="str">
        <f t="shared" si="6"/>
        <v>(nextval('obj_part_id_seq'), (select id from obj_building_v where zip||'|'||street||'|'||name||'|'||volume = '3034|Schulstrasse 6|Wohnhaus (2 Wohnungen)|1150.00'), 'P9', 4, 90, 2012,'alte Sicherungen (Keramik)'),</v>
      </c>
    </row>
    <row r="396" spans="1:8" x14ac:dyDescent="0.25">
      <c r="A396" s="9" t="s">
        <v>1368</v>
      </c>
      <c r="B396" s="9" t="s">
        <v>1104</v>
      </c>
      <c r="C396">
        <v>2</v>
      </c>
      <c r="D396">
        <v>60</v>
      </c>
      <c r="E396">
        <v>2012</v>
      </c>
      <c r="F396" s="9" t="s">
        <v>1374</v>
      </c>
      <c r="H396" s="20" t="str">
        <f t="shared" si="6"/>
        <v>(nextval('obj_part_id_seq'), (select id from obj_building_v where zip||'|'||street||'|'||name||'|'||volume = '3034|Schulstrasse 6|Wohnhaus (2 Wohnungen)|1150.00'), 'P6', 2, 60, 2012,'Oelheizung, Brenner ''10, Kessel ''82, Boiler älter'),</v>
      </c>
    </row>
    <row r="397" spans="1:8" x14ac:dyDescent="0.25">
      <c r="A397" s="9" t="s">
        <v>1368</v>
      </c>
      <c r="B397" s="9" t="s">
        <v>1106</v>
      </c>
      <c r="C397">
        <v>3</v>
      </c>
      <c r="D397">
        <v>90</v>
      </c>
      <c r="E397">
        <v>2012</v>
      </c>
      <c r="F397" s="9" t="s">
        <v>1375</v>
      </c>
      <c r="H397" s="20" t="str">
        <f t="shared" si="6"/>
        <v>(nextval('obj_part_id_seq'), (select id from obj_building_v where zip||'|'||street||'|'||name||'|'||volume = '3034|Schulstrasse 6|Wohnhaus (2 Wohnungen)|1150.00'), 'P7', 3, 90, 2012,'Radiatoren m. Thermostaten'),</v>
      </c>
    </row>
    <row r="398" spans="1:8" x14ac:dyDescent="0.25">
      <c r="A398" s="9" t="s">
        <v>1368</v>
      </c>
      <c r="B398" s="9" t="s">
        <v>1135</v>
      </c>
      <c r="C398">
        <v>3</v>
      </c>
      <c r="D398">
        <v>90</v>
      </c>
      <c r="E398">
        <v>2012</v>
      </c>
      <c r="F398" s="9"/>
      <c r="H398" s="20" t="str">
        <f t="shared" si="6"/>
        <v>(nextval('obj_part_id_seq'), (select id from obj_building_v where zip||'|'||street||'|'||name||'|'||volume = '3034|Schulstrasse 6|Wohnhaus (2 Wohnungen)|1150.00'), 'P54', 3, 90, 2012,null),</v>
      </c>
    </row>
    <row r="399" spans="1:8" x14ac:dyDescent="0.25">
      <c r="A399" s="9" t="s">
        <v>1368</v>
      </c>
      <c r="B399" s="9" t="s">
        <v>1137</v>
      </c>
      <c r="C399">
        <v>4</v>
      </c>
      <c r="D399">
        <v>90</v>
      </c>
      <c r="E399">
        <v>2012</v>
      </c>
      <c r="F399" s="9"/>
      <c r="H399" s="20" t="str">
        <f t="shared" si="6"/>
        <v>(nextval('obj_part_id_seq'), (select id from obj_building_v where zip||'|'||street||'|'||name||'|'||volume = '3034|Schulstrasse 6|Wohnhaus (2 Wohnungen)|1150.00'), 'P55', 4, 90, 2012,null),</v>
      </c>
    </row>
    <row r="400" spans="1:8" x14ac:dyDescent="0.25">
      <c r="A400" s="9" t="s">
        <v>1368</v>
      </c>
      <c r="B400" s="9" t="s">
        <v>1155</v>
      </c>
      <c r="C400">
        <v>2</v>
      </c>
      <c r="D400">
        <v>90</v>
      </c>
      <c r="E400">
        <v>2012</v>
      </c>
      <c r="F400" s="9"/>
      <c r="H400" s="20" t="str">
        <f t="shared" si="6"/>
        <v>(nextval('obj_part_id_seq'), (select id from obj_building_v where zip||'|'||street||'|'||name||'|'||volume = '3034|Schulstrasse 6|Wohnhaus (2 Wohnungen)|1150.00'), 'P56', 2, 90, 2012,null),</v>
      </c>
    </row>
    <row r="401" spans="1:8" x14ac:dyDescent="0.25">
      <c r="A401" s="9" t="s">
        <v>1368</v>
      </c>
      <c r="B401" s="9" t="s">
        <v>1138</v>
      </c>
      <c r="C401">
        <v>9</v>
      </c>
      <c r="D401">
        <v>90</v>
      </c>
      <c r="E401">
        <v>2012</v>
      </c>
      <c r="F401" s="9" t="s">
        <v>1376</v>
      </c>
      <c r="H401" s="20" t="str">
        <f t="shared" si="6"/>
        <v>(nextval('obj_part_id_seq'), (select id from obj_building_v where zip||'|'||street||'|'||name||'|'||volume = '3034|Schulstrasse 6|Wohnhaus (2 Wohnungen)|1150.00'), 'P57', 9, 90, 2012,'Wandschränke (Garderobe)'),</v>
      </c>
    </row>
    <row r="402" spans="1:8" x14ac:dyDescent="0.25">
      <c r="A402" s="9" t="s">
        <v>1368</v>
      </c>
      <c r="B402" s="9" t="s">
        <v>1140</v>
      </c>
      <c r="C402">
        <v>8</v>
      </c>
      <c r="D402">
        <v>85</v>
      </c>
      <c r="E402">
        <v>2012</v>
      </c>
      <c r="F402" s="9" t="s">
        <v>1377</v>
      </c>
      <c r="H402" s="20" t="str">
        <f t="shared" si="6"/>
        <v>(nextval('obj_part_id_seq'), (select id from obj_building_v where zip||'|'||street||'|'||name||'|'||volume = '3034|Schulstrasse 6|Wohnhaus (2 Wohnungen)|1150.00'), 'P58', 8, 85, 2012,'B: Parkett, Keramikpl., Laminat, Teppich, Linol, W: verputzt, D: verp. und Täfer'),</v>
      </c>
    </row>
    <row r="403" spans="1:8" x14ac:dyDescent="0.25">
      <c r="A403" s="9" t="s">
        <v>1368</v>
      </c>
      <c r="B403" s="9" t="s">
        <v>1157</v>
      </c>
      <c r="C403">
        <v>4</v>
      </c>
      <c r="D403">
        <v>80</v>
      </c>
      <c r="E403">
        <v>2012</v>
      </c>
      <c r="F403" s="9" t="s">
        <v>1378</v>
      </c>
      <c r="H403" s="20" t="str">
        <f t="shared" si="6"/>
        <v>(nextval('obj_part_id_seq'), (select id from obj_building_v where zip||'|'||street||'|'||name||'|'||volume = '3034|Schulstrasse 6|Wohnhaus (2 Wohnungen)|1150.00'), 'P59', 4, 80, 2012,'wird tw. ersetzt'),</v>
      </c>
    </row>
    <row r="404" spans="1:8" x14ac:dyDescent="0.25">
      <c r="A404" s="9" t="s">
        <v>1368</v>
      </c>
      <c r="B404" s="9" t="s">
        <v>1142</v>
      </c>
      <c r="C404">
        <v>0</v>
      </c>
      <c r="D404" t="s">
        <v>4080</v>
      </c>
      <c r="E404">
        <v>2012</v>
      </c>
      <c r="F404" s="9"/>
      <c r="H404" s="20" t="str">
        <f t="shared" si="6"/>
        <v>(nextval('obj_part_id_seq'), (select id from obj_building_v where zip||'|'||street||'|'||name||'|'||volume = '3034|Schulstrasse 6|Wohnhaus (2 Wohnungen)|1150.00'), 'P60', 0, null, 2012,null),</v>
      </c>
    </row>
    <row r="405" spans="1:8" x14ac:dyDescent="0.25">
      <c r="A405" s="9" t="s">
        <v>1368</v>
      </c>
      <c r="B405" s="9" t="s">
        <v>1143</v>
      </c>
      <c r="C405">
        <v>0</v>
      </c>
      <c r="D405" t="s">
        <v>4080</v>
      </c>
      <c r="E405">
        <v>2012</v>
      </c>
      <c r="F405" s="9"/>
      <c r="H405" s="20" t="str">
        <f t="shared" si="6"/>
        <v>(nextval('obj_part_id_seq'), (select id from obj_building_v where zip||'|'||street||'|'||name||'|'||volume = '3034|Schulstrasse 6|Wohnhaus (2 Wohnungen)|1150.00'), 'P61', 0, null, 2012,null),</v>
      </c>
    </row>
    <row r="406" spans="1:8" x14ac:dyDescent="0.25">
      <c r="A406" s="9" t="s">
        <v>1368</v>
      </c>
      <c r="B406" s="9" t="s">
        <v>1144</v>
      </c>
      <c r="C406">
        <v>0</v>
      </c>
      <c r="D406" t="s">
        <v>4080</v>
      </c>
      <c r="E406">
        <v>2012</v>
      </c>
      <c r="F406" s="9"/>
      <c r="H406" s="20" t="str">
        <f t="shared" si="6"/>
        <v>(nextval('obj_part_id_seq'), (select id from obj_building_v where zip||'|'||street||'|'||name||'|'||volume = '3034|Schulstrasse 6|Wohnhaus (2 Wohnungen)|1150.00'), 'P62', 0, null, 2012,null),</v>
      </c>
    </row>
    <row r="407" spans="1:8" x14ac:dyDescent="0.25">
      <c r="A407" s="9" t="s">
        <v>1379</v>
      </c>
      <c r="B407" s="9" t="s">
        <v>1127</v>
      </c>
      <c r="C407">
        <v>41</v>
      </c>
      <c r="D407">
        <v>90</v>
      </c>
      <c r="E407">
        <v>2012</v>
      </c>
      <c r="F407" s="9" t="s">
        <v>1380</v>
      </c>
      <c r="H407" s="20" t="str">
        <f t="shared" si="6"/>
        <v>(nextval('obj_part_id_seq'), (select id from obj_building_v where zip||'|'||street||'|'||name||'|'||volume = '3034|Schulstrasse 7|Schulhaus|3440.00'), 'P48', 41, 90, 2012,'Stahlbeton/Mauerwerk, Treppen Kunstststein'),</v>
      </c>
    </row>
    <row r="408" spans="1:8" x14ac:dyDescent="0.25">
      <c r="A408" s="9" t="s">
        <v>1379</v>
      </c>
      <c r="B408" s="9" t="s">
        <v>1129</v>
      </c>
      <c r="C408">
        <v>0</v>
      </c>
      <c r="D408" t="s">
        <v>4080</v>
      </c>
      <c r="E408">
        <v>2012</v>
      </c>
      <c r="F408" s="9"/>
      <c r="H408" s="20" t="str">
        <f t="shared" si="6"/>
        <v>(nextval('obj_part_id_seq'), (select id from obj_building_v where zip||'|'||street||'|'||name||'|'||volume = '3034|Schulstrasse 7|Schulhaus|3440.00'), 'P49', 0, null, 2012,null),</v>
      </c>
    </row>
    <row r="409" spans="1:8" x14ac:dyDescent="0.25">
      <c r="A409" s="9" t="s">
        <v>1379</v>
      </c>
      <c r="B409" s="9" t="s">
        <v>1097</v>
      </c>
      <c r="C409">
        <v>8</v>
      </c>
      <c r="D409">
        <v>90</v>
      </c>
      <c r="E409">
        <v>2012</v>
      </c>
      <c r="F409" s="9" t="s">
        <v>1381</v>
      </c>
      <c r="H409" s="20" t="str">
        <f t="shared" si="6"/>
        <v>(nextval('obj_part_id_seq'), (select id from obj_building_v where zip||'|'||street||'|'||name||'|'||volume = '3034|Schulstrasse 7|Schulhaus|3440.00'), 'P2', 8, 90, 2012,'keine sichtb. Mängel vorh.'),</v>
      </c>
    </row>
    <row r="410" spans="1:8" x14ac:dyDescent="0.25">
      <c r="A410" s="9" t="s">
        <v>1379</v>
      </c>
      <c r="B410" s="9" t="s">
        <v>1099</v>
      </c>
      <c r="C410">
        <v>0</v>
      </c>
      <c r="D410" t="s">
        <v>4080</v>
      </c>
      <c r="E410">
        <v>2012</v>
      </c>
      <c r="F410" s="9"/>
      <c r="H410" s="20" t="str">
        <f t="shared" si="6"/>
        <v>(nextval('obj_part_id_seq'), (select id from obj_building_v where zip||'|'||street||'|'||name||'|'||volume = '3034|Schulstrasse 7|Schulhaus|3440.00'), 'P3', 0, null, 2012,null),</v>
      </c>
    </row>
    <row r="411" spans="1:8" x14ac:dyDescent="0.25">
      <c r="A411" s="9" t="s">
        <v>1379</v>
      </c>
      <c r="B411" s="9" t="s">
        <v>1100</v>
      </c>
      <c r="C411">
        <v>7</v>
      </c>
      <c r="D411">
        <v>90</v>
      </c>
      <c r="E411">
        <v>2012</v>
      </c>
      <c r="F411" s="9" t="s">
        <v>1382</v>
      </c>
      <c r="H411" s="20" t="str">
        <f t="shared" si="6"/>
        <v>(nextval('obj_part_id_seq'), (select id from obj_building_v where zip||'|'||street||'|'||name||'|'||volume = '3034|Schulstrasse 7|Schulhaus|3440.00'), 'P4', 7, 90, 2012,'Zweischalen-MW, verp./Sichtbetonelem. (Fugen)'),</v>
      </c>
    </row>
    <row r="412" spans="1:8" x14ac:dyDescent="0.25">
      <c r="A412" s="9" t="s">
        <v>1379</v>
      </c>
      <c r="B412" s="9" t="s">
        <v>1102</v>
      </c>
      <c r="C412">
        <v>11</v>
      </c>
      <c r="D412">
        <v>90</v>
      </c>
      <c r="E412">
        <v>2012</v>
      </c>
      <c r="F412" s="9" t="s">
        <v>1383</v>
      </c>
      <c r="H412" s="20" t="str">
        <f t="shared" si="6"/>
        <v>(nextval('obj_part_id_seq'), (select id from obj_building_v where zip||'|'||street||'|'||name||'|'||volume = '3034|Schulstrasse 7|Schulhaus|3440.00'), 'P5', 11, 90, 2012,'Im UG: Holz/IV, Metalllamellenstoren'),</v>
      </c>
    </row>
    <row r="413" spans="1:8" x14ac:dyDescent="0.25">
      <c r="A413" s="9" t="s">
        <v>1379</v>
      </c>
      <c r="B413" s="9" t="s">
        <v>1164</v>
      </c>
      <c r="C413">
        <v>6</v>
      </c>
      <c r="D413">
        <v>80</v>
      </c>
      <c r="E413">
        <v>2012</v>
      </c>
      <c r="F413" s="9" t="s">
        <v>1384</v>
      </c>
      <c r="H413" s="20" t="str">
        <f t="shared" si="6"/>
        <v>(nextval('obj_part_id_seq'), (select id from obj_building_v where zip||'|'||street||'|'||name||'|'||volume = '3034|Schulstrasse 7|Schulhaus|3440.00'), 'P50', 6, 80, 2012,'Beleuchtung alt, ungenügend'),</v>
      </c>
    </row>
    <row r="414" spans="1:8" x14ac:dyDescent="0.25">
      <c r="A414" s="9" t="s">
        <v>1379</v>
      </c>
      <c r="B414" s="9" t="s">
        <v>1166</v>
      </c>
      <c r="C414">
        <v>1</v>
      </c>
      <c r="D414">
        <v>90</v>
      </c>
      <c r="E414">
        <v>2012</v>
      </c>
      <c r="F414" s="9" t="s">
        <v>1385</v>
      </c>
      <c r="H414" s="20" t="str">
        <f t="shared" si="6"/>
        <v>(nextval('obj_part_id_seq'), (select id from obj_building_v where zip||'|'||street||'|'||name||'|'||volume = '3034|Schulstrasse 7|Schulhaus|3440.00'), 'P51', 1, 90, 2012,'Uhr'),</v>
      </c>
    </row>
    <row r="415" spans="1:8" x14ac:dyDescent="0.25">
      <c r="A415" s="9" t="s">
        <v>1379</v>
      </c>
      <c r="B415" s="9" t="s">
        <v>1104</v>
      </c>
      <c r="C415">
        <v>0</v>
      </c>
      <c r="D415" t="s">
        <v>4080</v>
      </c>
      <c r="E415">
        <v>2012</v>
      </c>
      <c r="F415" s="9" t="s">
        <v>1386</v>
      </c>
      <c r="H415" s="20" t="str">
        <f t="shared" si="6"/>
        <v>(nextval('obj_part_id_seq'), (select id from obj_building_v where zip||'|'||street||'|'||name||'|'||volume = '3034|Schulstrasse 7|Schulhaus|3440.00'), 'P6', 0, null, 2012,'Fernwärme von Schulstr. 4, Fotovotaikanlage vorh. (wird von SOKAWE finanz.)'),</v>
      </c>
    </row>
    <row r="416" spans="1:8" x14ac:dyDescent="0.25">
      <c r="A416" s="9" t="s">
        <v>1379</v>
      </c>
      <c r="B416" s="9" t="s">
        <v>1106</v>
      </c>
      <c r="C416">
        <v>3</v>
      </c>
      <c r="D416">
        <v>90</v>
      </c>
      <c r="E416">
        <v>2012</v>
      </c>
      <c r="F416" s="9" t="s">
        <v>1375</v>
      </c>
      <c r="H416" s="20" t="str">
        <f t="shared" si="6"/>
        <v>(nextval('obj_part_id_seq'), (select id from obj_building_v where zip||'|'||street||'|'||name||'|'||volume = '3034|Schulstrasse 7|Schulhaus|3440.00'), 'P7', 3, 90, 2012,'Radiatoren m. Thermostaten'),</v>
      </c>
    </row>
    <row r="417" spans="1:8" x14ac:dyDescent="0.25">
      <c r="A417" s="9" t="s">
        <v>1379</v>
      </c>
      <c r="B417" s="9" t="s">
        <v>1108</v>
      </c>
      <c r="C417">
        <v>4</v>
      </c>
      <c r="D417">
        <v>90</v>
      </c>
      <c r="E417">
        <v>2012</v>
      </c>
      <c r="F417" s="9" t="s">
        <v>1387</v>
      </c>
      <c r="H417" s="20" t="str">
        <f t="shared" si="6"/>
        <v>(nextval('obj_part_id_seq'), (select id from obj_building_v where zip||'|'||street||'|'||name||'|'||volume = '3034|Schulstrasse 7|Schulhaus|3440.00'), 'P8', 4, 90, 2012,'Druck Leitungen normal'),</v>
      </c>
    </row>
    <row r="418" spans="1:8" x14ac:dyDescent="0.25">
      <c r="A418" s="9" t="s">
        <v>1379</v>
      </c>
      <c r="B418" s="9" t="s">
        <v>1138</v>
      </c>
      <c r="C418">
        <v>11</v>
      </c>
      <c r="D418">
        <v>80</v>
      </c>
      <c r="E418">
        <v>2012</v>
      </c>
      <c r="F418" s="9" t="s">
        <v>1388</v>
      </c>
      <c r="H418" s="20" t="str">
        <f t="shared" si="6"/>
        <v>(nextval('obj_part_id_seq'), (select id from obj_building_v where zip||'|'||street||'|'||name||'|'||volume = '3034|Schulstrasse 7|Schulhaus|3440.00'), 'P57', 11, 80, 2012,'Innentüren z.T. schadhaft, Simse aus Holz'),</v>
      </c>
    </row>
    <row r="419" spans="1:8" x14ac:dyDescent="0.25">
      <c r="A419" s="9" t="s">
        <v>1379</v>
      </c>
      <c r="B419" s="9" t="s">
        <v>1140</v>
      </c>
      <c r="C419">
        <v>8</v>
      </c>
      <c r="D419">
        <v>90</v>
      </c>
      <c r="E419">
        <v>2012</v>
      </c>
      <c r="F419" s="9" t="s">
        <v>1389</v>
      </c>
      <c r="H419" s="20" t="str">
        <f t="shared" si="6"/>
        <v>(nextval('obj_part_id_seq'), (select id from obj_building_v where zip||'|'||street||'|'||name||'|'||volume = '3034|Schulstrasse 7|Schulhaus|3440.00'), 'P58', 8, 90, 2012,'B: PVC, Klinker&lt;br&gt;W: Putz, gestr.&lt;br&gt;D: Putz, gestr., Täfer'),</v>
      </c>
    </row>
    <row r="420" spans="1:8" x14ac:dyDescent="0.25">
      <c r="A420" s="9" t="s">
        <v>1379</v>
      </c>
      <c r="B420" s="9" t="s">
        <v>1142</v>
      </c>
      <c r="C420">
        <v>0</v>
      </c>
      <c r="D420" t="s">
        <v>4080</v>
      </c>
      <c r="E420">
        <v>2012</v>
      </c>
      <c r="F420" s="9"/>
      <c r="H420" s="20" t="str">
        <f t="shared" si="6"/>
        <v>(nextval('obj_part_id_seq'), (select id from obj_building_v where zip||'|'||street||'|'||name||'|'||volume = '3034|Schulstrasse 7|Schulhaus|3440.00'), 'P60', 0, null, 2012,null),</v>
      </c>
    </row>
    <row r="421" spans="1:8" x14ac:dyDescent="0.25">
      <c r="A421" s="9" t="s">
        <v>1379</v>
      </c>
      <c r="B421" s="9" t="s">
        <v>1143</v>
      </c>
      <c r="C421">
        <v>0</v>
      </c>
      <c r="D421" t="s">
        <v>4080</v>
      </c>
      <c r="E421">
        <v>2012</v>
      </c>
      <c r="F421" s="9"/>
      <c r="H421" s="20" t="str">
        <f t="shared" si="6"/>
        <v>(nextval('obj_part_id_seq'), (select id from obj_building_v where zip||'|'||street||'|'||name||'|'||volume = '3034|Schulstrasse 7|Schulhaus|3440.00'), 'P61', 0, null, 2012,null),</v>
      </c>
    </row>
    <row r="422" spans="1:8" x14ac:dyDescent="0.25">
      <c r="A422" s="9" t="s">
        <v>1379</v>
      </c>
      <c r="B422" s="9" t="s">
        <v>1144</v>
      </c>
      <c r="C422">
        <v>0</v>
      </c>
      <c r="D422" t="s">
        <v>4080</v>
      </c>
      <c r="E422">
        <v>2012</v>
      </c>
      <c r="F422" s="9"/>
      <c r="H422" s="20" t="str">
        <f t="shared" si="6"/>
        <v>(nextval('obj_part_id_seq'), (select id from obj_building_v where zip||'|'||street||'|'||name||'|'||volume = '3034|Schulstrasse 7|Schulhaus|3440.00'), 'P62', 0, null, 2012,null),</v>
      </c>
    </row>
    <row r="423" spans="1:8" x14ac:dyDescent="0.25">
      <c r="A423" s="9" t="s">
        <v>1390</v>
      </c>
      <c r="B423" s="9" t="s">
        <v>1127</v>
      </c>
      <c r="C423">
        <v>41</v>
      </c>
      <c r="D423">
        <v>90</v>
      </c>
      <c r="E423">
        <v>2012</v>
      </c>
      <c r="F423" s="9" t="s">
        <v>1192</v>
      </c>
      <c r="H423" s="20" t="str">
        <f t="shared" si="6"/>
        <v>(nextval('obj_part_id_seq'), (select id from obj_building_v where zip||'|'||street||'|'||name||'|'||volume = '3034|Schulstrasse 9|Schulhaus/ZS-Anlage/Verbindungsgang|7446.00'), 'P48', 41, 90, 2012,'Stahlbeton'),</v>
      </c>
    </row>
    <row r="424" spans="1:8" x14ac:dyDescent="0.25">
      <c r="A424" s="9" t="s">
        <v>1390</v>
      </c>
      <c r="B424" s="9" t="s">
        <v>1129</v>
      </c>
      <c r="C424">
        <v>0</v>
      </c>
      <c r="D424" t="s">
        <v>4080</v>
      </c>
      <c r="E424">
        <v>2012</v>
      </c>
      <c r="F424" s="9"/>
      <c r="H424" s="20" t="str">
        <f t="shared" si="6"/>
        <v>(nextval('obj_part_id_seq'), (select id from obj_building_v where zip||'|'||street||'|'||name||'|'||volume = '3034|Schulstrasse 9|Schulhaus/ZS-Anlage/Verbindungsgang|7446.00'), 'P49', 0, null, 2012,null),</v>
      </c>
    </row>
    <row r="425" spans="1:8" x14ac:dyDescent="0.25">
      <c r="A425" s="9" t="s">
        <v>1390</v>
      </c>
      <c r="B425" s="9" t="s">
        <v>1097</v>
      </c>
      <c r="C425">
        <v>8</v>
      </c>
      <c r="D425">
        <v>90</v>
      </c>
      <c r="E425">
        <v>2012</v>
      </c>
      <c r="F425" s="9" t="s">
        <v>1370</v>
      </c>
      <c r="H425" s="20" t="str">
        <f t="shared" si="6"/>
        <v>(nextval('obj_part_id_seq'), (select id from obj_building_v where zip||'|'||street||'|'||name||'|'||volume = '3034|Schulstrasse 9|Schulhaus/ZS-Anlage/Verbindungsgang|7446.00'), 'P2', 8, 90, 2012,'Ziegeldach'),</v>
      </c>
    </row>
    <row r="426" spans="1:8" x14ac:dyDescent="0.25">
      <c r="A426" s="9" t="s">
        <v>1390</v>
      </c>
      <c r="B426" s="9" t="s">
        <v>1099</v>
      </c>
      <c r="C426">
        <v>0</v>
      </c>
      <c r="D426">
        <v>90</v>
      </c>
      <c r="E426">
        <v>2012</v>
      </c>
      <c r="F426" s="9"/>
      <c r="H426" s="20" t="str">
        <f t="shared" si="6"/>
        <v>(nextval('obj_part_id_seq'), (select id from obj_building_v where zip||'|'||street||'|'||name||'|'||volume = '3034|Schulstrasse 9|Schulhaus/ZS-Anlage/Verbindungsgang|7446.00'), 'P3', 0, 90, 2012,null),</v>
      </c>
    </row>
    <row r="427" spans="1:8" x14ac:dyDescent="0.25">
      <c r="A427" s="9" t="s">
        <v>1390</v>
      </c>
      <c r="B427" s="9" t="s">
        <v>1100</v>
      </c>
      <c r="C427">
        <v>7</v>
      </c>
      <c r="D427">
        <v>90</v>
      </c>
      <c r="E427">
        <v>2012</v>
      </c>
      <c r="F427" s="9" t="s">
        <v>1192</v>
      </c>
      <c r="H427" s="20" t="str">
        <f t="shared" si="6"/>
        <v>(nextval('obj_part_id_seq'), (select id from obj_building_v where zip||'|'||street||'|'||name||'|'||volume = '3034|Schulstrasse 9|Schulhaus/ZS-Anlage/Verbindungsgang|7446.00'), 'P4', 7, 90, 2012,'Stahlbeton'),</v>
      </c>
    </row>
    <row r="428" spans="1:8" x14ac:dyDescent="0.25">
      <c r="A428" s="9" t="s">
        <v>1390</v>
      </c>
      <c r="B428" s="9" t="s">
        <v>1102</v>
      </c>
      <c r="C428">
        <v>10</v>
      </c>
      <c r="D428">
        <v>80</v>
      </c>
      <c r="E428">
        <v>2012</v>
      </c>
      <c r="F428" s="9" t="s">
        <v>1391</v>
      </c>
      <c r="H428" s="20" t="str">
        <f t="shared" si="6"/>
        <v>(nextval('obj_part_id_seq'), (select id from obj_building_v where zip||'|'||street||'|'||name||'|'||volume = '3034|Schulstrasse 9|Schulhaus/ZS-Anlage/Verbindungsgang|7446.00'), 'P5', 10, 80, 2012,'Holz, z.T. verzogen, Rafflamellenstoren, Dicht. spröde'),</v>
      </c>
    </row>
    <row r="429" spans="1:8" x14ac:dyDescent="0.25">
      <c r="A429" s="9" t="s">
        <v>1390</v>
      </c>
      <c r="B429" s="9" t="s">
        <v>1164</v>
      </c>
      <c r="C429">
        <v>6</v>
      </c>
      <c r="D429">
        <v>90</v>
      </c>
      <c r="E429">
        <v>2012</v>
      </c>
      <c r="F429" s="9" t="s">
        <v>1392</v>
      </c>
      <c r="H429" s="20" t="str">
        <f t="shared" si="6"/>
        <v>(nextval('obj_part_id_seq'), (select id from obj_building_v where zip||'|'||street||'|'||name||'|'||volume = '3034|Schulstrasse 9|Schulhaus/ZS-Anlage/Verbindungsgang|7446.00'), 'P50', 6, 90, 2012,'Sicherungen, Schalter'),</v>
      </c>
    </row>
    <row r="430" spans="1:8" x14ac:dyDescent="0.25">
      <c r="A430" s="9" t="s">
        <v>1390</v>
      </c>
      <c r="B430" s="9" t="s">
        <v>1166</v>
      </c>
      <c r="C430">
        <v>1</v>
      </c>
      <c r="D430">
        <v>90</v>
      </c>
      <c r="E430">
        <v>2012</v>
      </c>
      <c r="F430" s="9" t="s">
        <v>1393</v>
      </c>
      <c r="H430" s="20" t="str">
        <f t="shared" si="6"/>
        <v>(nextval('obj_part_id_seq'), (select id from obj_building_v where zip||'|'||street||'|'||name||'|'||volume = '3034|Schulstrasse 9|Schulhaus/ZS-Anlage/Verbindungsgang|7446.00'), 'P51', 1, 90, 2012,'Uhr, Gong'),</v>
      </c>
    </row>
    <row r="431" spans="1:8" x14ac:dyDescent="0.25">
      <c r="A431" s="9" t="s">
        <v>1390</v>
      </c>
      <c r="B431" s="9" t="s">
        <v>1104</v>
      </c>
      <c r="C431">
        <v>0</v>
      </c>
      <c r="D431">
        <v>90</v>
      </c>
      <c r="E431">
        <v>2012</v>
      </c>
      <c r="F431" s="9"/>
      <c r="H431" s="20" t="str">
        <f t="shared" si="6"/>
        <v>(nextval('obj_part_id_seq'), (select id from obj_building_v where zip||'|'||street||'|'||name||'|'||volume = '3034|Schulstrasse 9|Schulhaus/ZS-Anlage/Verbindungsgang|7446.00'), 'P6', 0, 90, 2012,null),</v>
      </c>
    </row>
    <row r="432" spans="1:8" x14ac:dyDescent="0.25">
      <c r="A432" s="9" t="s">
        <v>1390</v>
      </c>
      <c r="B432" s="9" t="s">
        <v>1106</v>
      </c>
      <c r="C432">
        <v>3</v>
      </c>
      <c r="D432">
        <v>90</v>
      </c>
      <c r="E432">
        <v>2012</v>
      </c>
      <c r="F432" s="9" t="s">
        <v>1394</v>
      </c>
      <c r="H432" s="20" t="str">
        <f t="shared" si="6"/>
        <v>(nextval('obj_part_id_seq'), (select id from obj_building_v where zip||'|'||street||'|'||name||'|'||volume = '3034|Schulstrasse 9|Schulhaus/ZS-Anlage/Verbindungsgang|7446.00'), 'P7', 3, 90, 2012,'Radiatoren/Konvektoren'),</v>
      </c>
    </row>
    <row r="433" spans="1:8" x14ac:dyDescent="0.25">
      <c r="A433" s="9" t="s">
        <v>1390</v>
      </c>
      <c r="B433" s="9" t="s">
        <v>1108</v>
      </c>
      <c r="C433">
        <v>4</v>
      </c>
      <c r="D433">
        <v>90</v>
      </c>
      <c r="E433">
        <v>2012</v>
      </c>
      <c r="F433" s="9" t="s">
        <v>1395</v>
      </c>
      <c r="H433" s="20" t="str">
        <f t="shared" si="6"/>
        <v>(nextval('obj_part_id_seq'), (select id from obj_building_v where zip||'|'||street||'|'||name||'|'||volume = '3034|Schulstrasse 9|Schulhaus/ZS-Anlage/Verbindungsgang|7446.00'), 'P8', 4, 90, 2012,'Leitungen und Apparate i.O.'),</v>
      </c>
    </row>
    <row r="434" spans="1:8" x14ac:dyDescent="0.25">
      <c r="A434" s="9" t="s">
        <v>1390</v>
      </c>
      <c r="B434" s="9" t="s">
        <v>1138</v>
      </c>
      <c r="C434">
        <v>11</v>
      </c>
      <c r="D434">
        <v>90</v>
      </c>
      <c r="E434">
        <v>2012</v>
      </c>
      <c r="F434" s="9" t="s">
        <v>1396</v>
      </c>
      <c r="H434" s="20" t="str">
        <f t="shared" si="6"/>
        <v>(nextval('obj_part_id_seq'), (select id from obj_building_v where zip||'|'||street||'|'||name||'|'||volume = '3034|Schulstrasse 9|Schulhaus/ZS-Anlage/Verbindungsgang|7446.00'), 'P57', 11, 90, 2012,'Holztäferwand in GR und K(EG)'),</v>
      </c>
    </row>
    <row r="435" spans="1:8" x14ac:dyDescent="0.25">
      <c r="A435" s="9" t="s">
        <v>1390</v>
      </c>
      <c r="B435" s="9" t="s">
        <v>1140</v>
      </c>
      <c r="C435">
        <v>8</v>
      </c>
      <c r="D435">
        <v>90</v>
      </c>
      <c r="E435">
        <v>2012</v>
      </c>
      <c r="F435" s="9" t="s">
        <v>1397</v>
      </c>
      <c r="H435" s="20" t="str">
        <f t="shared" si="6"/>
        <v>(nextval('obj_part_id_seq'), (select id from obj_building_v where zip||'|'||street||'|'||name||'|'||volume = '3034|Schulstrasse 9|Schulhaus/ZS-Anlage/Verbindungsgang|7446.00'), 'P58', 8, 90, 2012,'B: Kunststein, Keramik, PVC'),</v>
      </c>
    </row>
    <row r="436" spans="1:8" x14ac:dyDescent="0.25">
      <c r="A436" s="9" t="s">
        <v>1390</v>
      </c>
      <c r="B436" s="9" t="s">
        <v>1142</v>
      </c>
      <c r="C436">
        <v>0</v>
      </c>
      <c r="D436" t="s">
        <v>4080</v>
      </c>
      <c r="E436">
        <v>2012</v>
      </c>
      <c r="F436" s="9"/>
      <c r="H436" s="20" t="str">
        <f t="shared" si="6"/>
        <v>(nextval('obj_part_id_seq'), (select id from obj_building_v where zip||'|'||street||'|'||name||'|'||volume = '3034|Schulstrasse 9|Schulhaus/ZS-Anlage/Verbindungsgang|7446.00'), 'P60', 0, null, 2012,null),</v>
      </c>
    </row>
    <row r="437" spans="1:8" x14ac:dyDescent="0.25">
      <c r="A437" s="9" t="s">
        <v>1390</v>
      </c>
      <c r="B437" s="9" t="s">
        <v>1143</v>
      </c>
      <c r="C437">
        <v>0</v>
      </c>
      <c r="D437" t="s">
        <v>4080</v>
      </c>
      <c r="E437">
        <v>2012</v>
      </c>
      <c r="F437" s="9"/>
      <c r="H437" s="20" t="str">
        <f t="shared" si="6"/>
        <v>(nextval('obj_part_id_seq'), (select id from obj_building_v where zip||'|'||street||'|'||name||'|'||volume = '3034|Schulstrasse 9|Schulhaus/ZS-Anlage/Verbindungsgang|7446.00'), 'P61', 0, null, 2012,null),</v>
      </c>
    </row>
    <row r="438" spans="1:8" x14ac:dyDescent="0.25">
      <c r="A438" s="9" t="s">
        <v>1390</v>
      </c>
      <c r="B438" s="9" t="s">
        <v>1144</v>
      </c>
      <c r="C438">
        <v>0</v>
      </c>
      <c r="D438" t="s">
        <v>4080</v>
      </c>
      <c r="E438">
        <v>2012</v>
      </c>
      <c r="F438" s="9"/>
      <c r="H438" s="20" t="str">
        <f t="shared" si="6"/>
        <v>(nextval('obj_part_id_seq'), (select id from obj_building_v where zip||'|'||street||'|'||name||'|'||volume = '3034|Schulstrasse 9|Schulhaus/ZS-Anlage/Verbindungsgang|7446.00'), 'P62', 0, null, 2012,null),</v>
      </c>
    </row>
    <row r="439" spans="1:8" x14ac:dyDescent="0.25">
      <c r="A439" s="9" t="s">
        <v>1398</v>
      </c>
      <c r="B439" s="9" t="s">
        <v>1127</v>
      </c>
      <c r="C439">
        <v>26</v>
      </c>
      <c r="D439">
        <v>90</v>
      </c>
      <c r="E439">
        <v>2012</v>
      </c>
      <c r="F439" s="9" t="s">
        <v>1399</v>
      </c>
      <c r="H439" s="20" t="str">
        <f t="shared" si="6"/>
        <v>(nextval('obj_part_id_seq'), (select id from obj_building_v where zip||'|'||street||'|'||name||'|'||volume = '3032|Araweg 9|Jugendtreff (Pavillon)|1460.00'), 'P48', 26, 90, 2012,'Holzständerbau'),</v>
      </c>
    </row>
    <row r="440" spans="1:8" x14ac:dyDescent="0.25">
      <c r="A440" s="9" t="s">
        <v>1398</v>
      </c>
      <c r="B440" s="9" t="s">
        <v>1129</v>
      </c>
      <c r="C440">
        <v>0</v>
      </c>
      <c r="D440" t="s">
        <v>4080</v>
      </c>
      <c r="E440">
        <v>2012</v>
      </c>
      <c r="F440" s="9"/>
      <c r="H440" s="20" t="str">
        <f t="shared" si="6"/>
        <v>(nextval('obj_part_id_seq'), (select id from obj_building_v where zip||'|'||street||'|'||name||'|'||volume = '3032|Araweg 9|Jugendtreff (Pavillon)|1460.00'), 'P49', 0, null, 2012,null),</v>
      </c>
    </row>
    <row r="441" spans="1:8" x14ac:dyDescent="0.25">
      <c r="A441" s="9" t="s">
        <v>1398</v>
      </c>
      <c r="B441" s="9" t="s">
        <v>1097</v>
      </c>
      <c r="C441">
        <v>17</v>
      </c>
      <c r="D441">
        <v>90</v>
      </c>
      <c r="E441">
        <v>2012</v>
      </c>
      <c r="F441" s="9" t="s">
        <v>1400</v>
      </c>
      <c r="H441" s="20" t="str">
        <f t="shared" si="6"/>
        <v>(nextval('obj_part_id_seq'), (select id from obj_building_v where zip||'|'||street||'|'||name||'|'||volume = '3032|Araweg 9|Jugendtreff (Pavillon)|1460.00'), 'P2', 17, 90, 2012,'Trapezwellblech'),</v>
      </c>
    </row>
    <row r="442" spans="1:8" x14ac:dyDescent="0.25">
      <c r="A442" s="9" t="s">
        <v>1398</v>
      </c>
      <c r="B442" s="9" t="s">
        <v>1099</v>
      </c>
      <c r="C442">
        <v>0</v>
      </c>
      <c r="D442" t="s">
        <v>4080</v>
      </c>
      <c r="E442">
        <v>2012</v>
      </c>
      <c r="F442" s="9"/>
      <c r="H442" s="20" t="str">
        <f t="shared" si="6"/>
        <v>(nextval('obj_part_id_seq'), (select id from obj_building_v where zip||'|'||street||'|'||name||'|'||volume = '3032|Araweg 9|Jugendtreff (Pavillon)|1460.00'), 'P3', 0, null, 2012,null),</v>
      </c>
    </row>
    <row r="443" spans="1:8" x14ac:dyDescent="0.25">
      <c r="A443" s="9" t="s">
        <v>1398</v>
      </c>
      <c r="B443" s="9" t="s">
        <v>1100</v>
      </c>
      <c r="C443">
        <v>10</v>
      </c>
      <c r="D443">
        <v>90</v>
      </c>
      <c r="E443">
        <v>2012</v>
      </c>
      <c r="F443" s="9" t="s">
        <v>1305</v>
      </c>
      <c r="H443" s="20" t="str">
        <f t="shared" si="6"/>
        <v>(nextval('obj_part_id_seq'), (select id from obj_building_v where zip||'|'||street||'|'||name||'|'||volume = '3032|Araweg 9|Jugendtreff (Pavillon)|1460.00'), 'P4', 10, 90, 2012,'Holz'),</v>
      </c>
    </row>
    <row r="444" spans="1:8" x14ac:dyDescent="0.25">
      <c r="A444" s="9" t="s">
        <v>1398</v>
      </c>
      <c r="B444" s="9" t="s">
        <v>1102</v>
      </c>
      <c r="C444">
        <v>12</v>
      </c>
      <c r="D444">
        <v>90</v>
      </c>
      <c r="E444">
        <v>2012</v>
      </c>
      <c r="F444" s="9" t="s">
        <v>1401</v>
      </c>
      <c r="H444" s="20" t="str">
        <f t="shared" si="6"/>
        <v>(nextval('obj_part_id_seq'), (select id from obj_building_v where zip||'|'||street||'|'||name||'|'||volume = '3032|Araweg 9|Jugendtreff (Pavillon)|1460.00'), 'P5', 12, 90, 2012,'Holz, IV'),</v>
      </c>
    </row>
    <row r="445" spans="1:8" x14ac:dyDescent="0.25">
      <c r="A445" s="9" t="s">
        <v>1398</v>
      </c>
      <c r="B445" s="9" t="s">
        <v>1110</v>
      </c>
      <c r="C445">
        <v>4</v>
      </c>
      <c r="D445">
        <v>90</v>
      </c>
      <c r="E445">
        <v>2012</v>
      </c>
      <c r="F445" s="9" t="s">
        <v>1295</v>
      </c>
      <c r="H445" s="20" t="str">
        <f t="shared" si="6"/>
        <v>(nextval('obj_part_id_seq'), (select id from obj_building_v where zip||'|'||street||'|'||name||'|'||volume = '3032|Araweg 9|Jugendtreff (Pavillon)|1460.00'), 'P9', 4, 90, 2012,'Beleuchtung'),</v>
      </c>
    </row>
    <row r="446" spans="1:8" x14ac:dyDescent="0.25">
      <c r="A446" s="9" t="s">
        <v>1398</v>
      </c>
      <c r="B446" s="9" t="s">
        <v>1104</v>
      </c>
      <c r="C446">
        <v>1</v>
      </c>
      <c r="D446">
        <v>90</v>
      </c>
      <c r="E446">
        <v>2012</v>
      </c>
      <c r="F446" s="9" t="s">
        <v>1402</v>
      </c>
      <c r="H446" s="20" t="str">
        <f t="shared" si="6"/>
        <v>(nextval('obj_part_id_seq'), (select id from obj_building_v where zip||'|'||street||'|'||name||'|'||volume = '3032|Araweg 9|Jugendtreff (Pavillon)|1460.00'), 'P6', 1, 90, 2012,'?'),</v>
      </c>
    </row>
    <row r="447" spans="1:8" x14ac:dyDescent="0.25">
      <c r="A447" s="9" t="s">
        <v>1398</v>
      </c>
      <c r="B447" s="9" t="s">
        <v>1106</v>
      </c>
      <c r="C447">
        <v>4</v>
      </c>
      <c r="D447">
        <v>90</v>
      </c>
      <c r="E447">
        <v>2012</v>
      </c>
      <c r="F447" s="9" t="s">
        <v>1375</v>
      </c>
      <c r="H447" s="20" t="str">
        <f t="shared" si="6"/>
        <v>(nextval('obj_part_id_seq'), (select id from obj_building_v where zip||'|'||street||'|'||name||'|'||volume = '3032|Araweg 9|Jugendtreff (Pavillon)|1460.00'), 'P7', 4, 90, 2012,'Radiatoren m. Thermostaten'),</v>
      </c>
    </row>
    <row r="448" spans="1:8" x14ac:dyDescent="0.25">
      <c r="A448" s="9" t="s">
        <v>1398</v>
      </c>
      <c r="B448" s="9" t="s">
        <v>1403</v>
      </c>
      <c r="C448">
        <v>0</v>
      </c>
      <c r="D448" t="s">
        <v>4080</v>
      </c>
      <c r="E448">
        <v>2012</v>
      </c>
      <c r="F448" s="9"/>
      <c r="H448" s="20" t="str">
        <f t="shared" si="6"/>
        <v>(nextval('obj_part_id_seq'), (select id from obj_building_v where zip||'|'||street||'|'||name||'|'||volume = '3032|Araweg 9|Jugendtreff (Pavillon)|1460.00'), 'P52', 0, null, 2012,null),</v>
      </c>
    </row>
    <row r="449" spans="1:8" x14ac:dyDescent="0.25">
      <c r="A449" s="9" t="s">
        <v>1398</v>
      </c>
      <c r="B449" s="9" t="s">
        <v>1404</v>
      </c>
      <c r="C449">
        <v>0</v>
      </c>
      <c r="D449" t="s">
        <v>4080</v>
      </c>
      <c r="E449">
        <v>2012</v>
      </c>
      <c r="F449" s="9"/>
      <c r="H449" s="20" t="str">
        <f t="shared" si="6"/>
        <v>(nextval('obj_part_id_seq'), (select id from obj_building_v where zip||'|'||street||'|'||name||'|'||volume = '3032|Araweg 9|Jugendtreff (Pavillon)|1460.00'), 'P53', 0, null, 2012,null),</v>
      </c>
    </row>
    <row r="450" spans="1:8" x14ac:dyDescent="0.25">
      <c r="A450" s="9" t="s">
        <v>1398</v>
      </c>
      <c r="B450" s="9" t="s">
        <v>1108</v>
      </c>
      <c r="C450">
        <v>5</v>
      </c>
      <c r="D450">
        <v>90</v>
      </c>
      <c r="E450">
        <v>2012</v>
      </c>
      <c r="F450" s="9" t="s">
        <v>1405</v>
      </c>
      <c r="H450" s="20" t="str">
        <f t="shared" si="6"/>
        <v>(nextval('obj_part_id_seq'), (select id from obj_building_v where zip||'|'||street||'|'||name||'|'||volume = '3032|Araweg 9|Jugendtreff (Pavillon)|1460.00'), 'P8', 5, 90, 2012,'WM, Leitungen haben etwas wenig Druck'),</v>
      </c>
    </row>
    <row r="451" spans="1:8" x14ac:dyDescent="0.25">
      <c r="A451" s="9" t="s">
        <v>1398</v>
      </c>
      <c r="B451" s="9" t="s">
        <v>1138</v>
      </c>
      <c r="C451">
        <v>11</v>
      </c>
      <c r="D451">
        <v>80</v>
      </c>
      <c r="E451">
        <v>2012</v>
      </c>
      <c r="F451" s="9" t="s">
        <v>1406</v>
      </c>
      <c r="H451" s="20" t="str">
        <f t="shared" si="6"/>
        <v>(nextval('obj_part_id_seq'), (select id from obj_building_v where zip||'|'||street||'|'||name||'|'||volume = '3032|Araweg 9|Jugendtreff (Pavillon)|1460.00'), 'P57', 11, 80, 2012,'Holztüren, Holzböden'),</v>
      </c>
    </row>
    <row r="452" spans="1:8" x14ac:dyDescent="0.25">
      <c r="A452" s="9" t="s">
        <v>1398</v>
      </c>
      <c r="B452" s="9" t="s">
        <v>1140</v>
      </c>
      <c r="C452">
        <v>4</v>
      </c>
      <c r="D452">
        <v>90</v>
      </c>
      <c r="E452">
        <v>2012</v>
      </c>
      <c r="F452" s="9" t="s">
        <v>1407</v>
      </c>
      <c r="H452" s="20" t="str">
        <f t="shared" si="6"/>
        <v>(nextval('obj_part_id_seq'), (select id from obj_building_v where zip||'|'||street||'|'||name||'|'||volume = '3032|Araweg 9|Jugendtreff (Pavillon)|1460.00'), 'P58', 4, 90, 2012,'B: OSP geölt, Teppich, PVC&lt;br&gt;W: roh, gestr.&lt;br&gt;D: roh'),</v>
      </c>
    </row>
    <row r="453" spans="1:8" x14ac:dyDescent="0.25">
      <c r="A453" s="9" t="s">
        <v>1398</v>
      </c>
      <c r="B453" s="9" t="s">
        <v>1157</v>
      </c>
      <c r="C453">
        <v>6</v>
      </c>
      <c r="D453">
        <v>90</v>
      </c>
      <c r="E453">
        <v>2012</v>
      </c>
      <c r="F453" s="9" t="s">
        <v>1408</v>
      </c>
      <c r="H453" s="20" t="str">
        <f t="shared" ref="H453:H516" si="7">"(nextval('obj_part_id_seq'), (select id from obj_building_v where zip||'|'||street||'|'||name||'|'||volume = '"&amp;A453&amp;"'), '"&amp;B453&amp;"', "&amp;C453&amp;", "&amp;D453&amp;", "&amp;IF(ISBLANK(E453),"null",E453)&amp;","&amp;IF(ISBLANK(F453),"null","'"&amp;F453&amp;"'")&amp;"),"</f>
        <v>(nextval('obj_part_id_seq'), (select id from obj_building_v where zip||'|'||street||'|'||name||'|'||volume = '3032|Araweg 9|Jugendtreff (Pavillon)|1460.00'), 'P59', 6, 90, 2012,'GSP/Backofen/GLK Abluft'),</v>
      </c>
    </row>
    <row r="454" spans="1:8" x14ac:dyDescent="0.25">
      <c r="A454" s="9" t="s">
        <v>1398</v>
      </c>
      <c r="B454" s="9" t="s">
        <v>1142</v>
      </c>
      <c r="C454">
        <v>0</v>
      </c>
      <c r="D454" t="s">
        <v>4080</v>
      </c>
      <c r="E454">
        <v>2012</v>
      </c>
      <c r="F454" s="9"/>
      <c r="H454" s="20" t="str">
        <f t="shared" si="7"/>
        <v>(nextval('obj_part_id_seq'), (select id from obj_building_v where zip||'|'||street||'|'||name||'|'||volume = '3032|Araweg 9|Jugendtreff (Pavillon)|1460.00'), 'P60', 0, null, 2012,null),</v>
      </c>
    </row>
    <row r="455" spans="1:8" x14ac:dyDescent="0.25">
      <c r="A455" s="9" t="s">
        <v>1398</v>
      </c>
      <c r="B455" s="9" t="s">
        <v>1143</v>
      </c>
      <c r="C455">
        <v>0</v>
      </c>
      <c r="D455" t="s">
        <v>4080</v>
      </c>
      <c r="E455">
        <v>2012</v>
      </c>
      <c r="F455" s="9"/>
      <c r="H455" s="20" t="str">
        <f t="shared" si="7"/>
        <v>(nextval('obj_part_id_seq'), (select id from obj_building_v where zip||'|'||street||'|'||name||'|'||volume = '3032|Araweg 9|Jugendtreff (Pavillon)|1460.00'), 'P61', 0, null, 2012,null),</v>
      </c>
    </row>
    <row r="456" spans="1:8" x14ac:dyDescent="0.25">
      <c r="A456" s="9" t="s">
        <v>1398</v>
      </c>
      <c r="B456" s="9" t="s">
        <v>1144</v>
      </c>
      <c r="C456">
        <v>0</v>
      </c>
      <c r="D456" t="s">
        <v>4080</v>
      </c>
      <c r="E456">
        <v>2012</v>
      </c>
      <c r="F456" s="9"/>
      <c r="H456" s="20" t="str">
        <f t="shared" si="7"/>
        <v>(nextval('obj_part_id_seq'), (select id from obj_building_v where zip||'|'||street||'|'||name||'|'||volume = '3032|Araweg 9|Jugendtreff (Pavillon)|1460.00'), 'P62', 0, null, 2012,null),</v>
      </c>
    </row>
    <row r="457" spans="1:8" x14ac:dyDescent="0.25">
      <c r="A457" s="9" t="s">
        <v>1409</v>
      </c>
      <c r="B457" s="9" t="s">
        <v>1127</v>
      </c>
      <c r="C457">
        <v>41</v>
      </c>
      <c r="D457">
        <v>90</v>
      </c>
      <c r="E457">
        <v>2012</v>
      </c>
      <c r="F457" s="9" t="s">
        <v>1410</v>
      </c>
      <c r="H457" s="20" t="str">
        <f t="shared" si="7"/>
        <v>(nextval('obj_part_id_seq'), (select id from obj_building_v where zip||'|'||street||'|'||name||'|'||volume = '3032|Hofenstrasse 54|Wohnhaus (private Kindertagesstätte)|768.00'), 'P48', 41, 90, 2012,'Fachwerkbau'),</v>
      </c>
    </row>
    <row r="458" spans="1:8" x14ac:dyDescent="0.25">
      <c r="A458" s="9" t="s">
        <v>1409</v>
      </c>
      <c r="B458" s="9" t="s">
        <v>1129</v>
      </c>
      <c r="C458">
        <v>0</v>
      </c>
      <c r="D458" t="s">
        <v>4080</v>
      </c>
      <c r="E458">
        <v>2012</v>
      </c>
      <c r="F458" s="9"/>
      <c r="H458" s="20" t="str">
        <f t="shared" si="7"/>
        <v>(nextval('obj_part_id_seq'), (select id from obj_building_v where zip||'|'||street||'|'||name||'|'||volume = '3032|Hofenstrasse 54|Wohnhaus (private Kindertagesstätte)|768.00'), 'P49', 0, null, 2012,null),</v>
      </c>
    </row>
    <row r="459" spans="1:8" x14ac:dyDescent="0.25">
      <c r="A459" s="9" t="s">
        <v>1409</v>
      </c>
      <c r="B459" s="9" t="s">
        <v>1097</v>
      </c>
      <c r="C459">
        <v>8</v>
      </c>
      <c r="D459">
        <v>90</v>
      </c>
      <c r="E459">
        <v>2012</v>
      </c>
      <c r="F459" s="9" t="s">
        <v>1411</v>
      </c>
      <c r="H459" s="20" t="str">
        <f t="shared" si="7"/>
        <v>(nextval('obj_part_id_seq'), (select id from obj_building_v where zip||'|'||street||'|'||name||'|'||volume = '3032|Hofenstrasse 54|Wohnhaus (private Kindertagesstätte)|768.00'), 'P2', 8, 90, 2012,'Falzziegeldach m. Lukarnen und Dachfl.fenster'),</v>
      </c>
    </row>
    <row r="460" spans="1:8" x14ac:dyDescent="0.25">
      <c r="A460" s="9" t="s">
        <v>1409</v>
      </c>
      <c r="B460" s="9" t="s">
        <v>1099</v>
      </c>
      <c r="C460">
        <v>0</v>
      </c>
      <c r="D460" t="s">
        <v>4080</v>
      </c>
      <c r="E460">
        <v>2012</v>
      </c>
      <c r="F460" s="9"/>
      <c r="H460" s="20" t="str">
        <f t="shared" si="7"/>
        <v>(nextval('obj_part_id_seq'), (select id from obj_building_v where zip||'|'||street||'|'||name||'|'||volume = '3032|Hofenstrasse 54|Wohnhaus (private Kindertagesstätte)|768.00'), 'P3', 0, null, 2012,null),</v>
      </c>
    </row>
    <row r="461" spans="1:8" x14ac:dyDescent="0.25">
      <c r="A461" s="9" t="s">
        <v>1409</v>
      </c>
      <c r="B461" s="9" t="s">
        <v>1100</v>
      </c>
      <c r="C461">
        <v>7</v>
      </c>
      <c r="D461">
        <v>90</v>
      </c>
      <c r="E461">
        <v>2012</v>
      </c>
      <c r="F461" s="9" t="s">
        <v>1412</v>
      </c>
      <c r="H461" s="20" t="str">
        <f t="shared" si="7"/>
        <v>(nextval('obj_part_id_seq'), (select id from obj_building_v where zip||'|'||street||'|'||name||'|'||volume = '3032|Hofenstrasse 54|Wohnhaus (private Kindertagesstätte)|768.00'), 'P4', 7, 90, 2012,'Riegel mit verp. Ausfachungen'),</v>
      </c>
    </row>
    <row r="462" spans="1:8" x14ac:dyDescent="0.25">
      <c r="A462" s="9" t="s">
        <v>1409</v>
      </c>
      <c r="B462" s="9" t="s">
        <v>1102</v>
      </c>
      <c r="C462">
        <v>10</v>
      </c>
      <c r="D462">
        <v>90</v>
      </c>
      <c r="E462">
        <v>2012</v>
      </c>
      <c r="F462" s="9" t="s">
        <v>1413</v>
      </c>
      <c r="H462" s="20" t="str">
        <f t="shared" si="7"/>
        <v>(nextval('obj_part_id_seq'), (select id from obj_building_v where zip||'|'||street||'|'||name||'|'||volume = '3032|Hofenstrasse 54|Wohnhaus (private Kindertagesstätte)|768.00'), 'P5', 10, 90, 2012,'Holz, Doppelvergl., Holzläden'),</v>
      </c>
    </row>
    <row r="463" spans="1:8" x14ac:dyDescent="0.25">
      <c r="A463" s="9" t="s">
        <v>1409</v>
      </c>
      <c r="B463" s="9" t="s">
        <v>1164</v>
      </c>
      <c r="C463">
        <v>6</v>
      </c>
      <c r="D463">
        <v>90</v>
      </c>
      <c r="E463">
        <v>2012</v>
      </c>
      <c r="F463" s="9" t="s">
        <v>1414</v>
      </c>
      <c r="H463" s="20" t="str">
        <f t="shared" si="7"/>
        <v>(nextval('obj_part_id_seq'), (select id from obj_building_v where zip||'|'||street||'|'||name||'|'||volume = '3032|Hofenstrasse 54|Wohnhaus (private Kindertagesstätte)|768.00'), 'P50', 6, 90, 2012,'z.T. alte Keramiksicherungen, Beleuchtung'),</v>
      </c>
    </row>
    <row r="464" spans="1:8" x14ac:dyDescent="0.25">
      <c r="A464" s="9" t="s">
        <v>1409</v>
      </c>
      <c r="B464" s="9" t="s">
        <v>1166</v>
      </c>
      <c r="C464">
        <v>1</v>
      </c>
      <c r="D464">
        <v>90</v>
      </c>
      <c r="E464">
        <v>2012</v>
      </c>
      <c r="F464" s="9"/>
      <c r="H464" s="20" t="str">
        <f t="shared" si="7"/>
        <v>(nextval('obj_part_id_seq'), (select id from obj_building_v where zip||'|'||street||'|'||name||'|'||volume = '3032|Hofenstrasse 54|Wohnhaus (private Kindertagesstätte)|768.00'), 'P51', 1, 90, 2012,null),</v>
      </c>
    </row>
    <row r="465" spans="1:8" x14ac:dyDescent="0.25">
      <c r="A465" s="9" t="s">
        <v>1409</v>
      </c>
      <c r="B465" s="9" t="s">
        <v>1104</v>
      </c>
      <c r="C465">
        <v>1</v>
      </c>
      <c r="D465">
        <v>90</v>
      </c>
      <c r="E465">
        <v>2012</v>
      </c>
      <c r="F465" s="9" t="s">
        <v>1415</v>
      </c>
      <c r="H465" s="20" t="str">
        <f t="shared" si="7"/>
        <v>(nextval('obj_part_id_seq'), (select id from obj_building_v where zip||'|'||street||'|'||name||'|'||volume = '3032|Hofenstrasse 54|Wohnhaus (private Kindertagesstätte)|768.00'), 'P6', 1, 90, 2012,'Stückholzfeuerung, WW-Boiler'),</v>
      </c>
    </row>
    <row r="466" spans="1:8" x14ac:dyDescent="0.25">
      <c r="A466" s="9" t="s">
        <v>1409</v>
      </c>
      <c r="B466" s="9" t="s">
        <v>1106</v>
      </c>
      <c r="C466">
        <v>3</v>
      </c>
      <c r="D466">
        <v>90</v>
      </c>
      <c r="E466">
        <v>2012</v>
      </c>
      <c r="F466" s="9" t="s">
        <v>1375</v>
      </c>
      <c r="H466" s="20" t="str">
        <f t="shared" si="7"/>
        <v>(nextval('obj_part_id_seq'), (select id from obj_building_v where zip||'|'||street||'|'||name||'|'||volume = '3032|Hofenstrasse 54|Wohnhaus (private Kindertagesstätte)|768.00'), 'P7', 3, 90, 2012,'Radiatoren m. Thermostaten'),</v>
      </c>
    </row>
    <row r="467" spans="1:8" x14ac:dyDescent="0.25">
      <c r="A467" s="9" t="s">
        <v>1409</v>
      </c>
      <c r="B467" s="9" t="s">
        <v>1108</v>
      </c>
      <c r="C467">
        <v>4</v>
      </c>
      <c r="D467">
        <v>90</v>
      </c>
      <c r="E467">
        <v>2012</v>
      </c>
      <c r="F467" s="9" t="s">
        <v>1416</v>
      </c>
      <c r="H467" s="20" t="str">
        <f t="shared" si="7"/>
        <v>(nextval('obj_part_id_seq'), (select id from obj_building_v where zip||'|'||street||'|'||name||'|'||volume = '3032|Hofenstrasse 54|Wohnhaus (private Kindertagesstätte)|768.00'), 'P8', 4, 90, 2012,'WM/WT, Küchen, Bad im DG'),</v>
      </c>
    </row>
    <row r="468" spans="1:8" x14ac:dyDescent="0.25">
      <c r="A468" s="9" t="s">
        <v>1409</v>
      </c>
      <c r="B468" s="9" t="s">
        <v>1138</v>
      </c>
      <c r="C468">
        <v>11</v>
      </c>
      <c r="D468">
        <v>90</v>
      </c>
      <c r="E468">
        <v>2012</v>
      </c>
      <c r="F468" s="9" t="s">
        <v>1417</v>
      </c>
      <c r="H468" s="20" t="str">
        <f t="shared" si="7"/>
        <v>(nextval('obj_part_id_seq'), (select id from obj_building_v where zip||'|'||street||'|'||name||'|'||volume = '3032|Hofenstrasse 54|Wohnhaus (private Kindertagesstätte)|768.00'), 'P57', 11, 90, 2012,'Einbauschränke, Holzschiebetür: Bad/WC, (Holzwendeltreppe)'),</v>
      </c>
    </row>
    <row r="469" spans="1:8" x14ac:dyDescent="0.25">
      <c r="A469" s="9" t="s">
        <v>1409</v>
      </c>
      <c r="B469" s="9" t="s">
        <v>1140</v>
      </c>
      <c r="C469">
        <v>8</v>
      </c>
      <c r="D469">
        <v>90</v>
      </c>
      <c r="E469">
        <v>2012</v>
      </c>
      <c r="F469" s="9" t="s">
        <v>1418</v>
      </c>
      <c r="H469" s="20" t="str">
        <f t="shared" si="7"/>
        <v>(nextval('obj_part_id_seq'), (select id from obj_building_v where zip||'|'||street||'|'||name||'|'||volume = '3032|Hofenstrasse 54|Wohnhaus (private Kindertagesstätte)|768.00'), 'P58', 8, 90, 2012,'B: Teppich, Linol&lt;br&gt;D: Holztäfer&lt;br&gt;W: Putz, Täfer, Keramik in Bad'),</v>
      </c>
    </row>
    <row r="470" spans="1:8" x14ac:dyDescent="0.25">
      <c r="A470" s="9" t="s">
        <v>1409</v>
      </c>
      <c r="B470" s="9" t="s">
        <v>1142</v>
      </c>
      <c r="C470">
        <v>0</v>
      </c>
      <c r="D470" t="s">
        <v>4080</v>
      </c>
      <c r="E470">
        <v>2012</v>
      </c>
      <c r="F470" s="9"/>
      <c r="H470" s="20" t="str">
        <f t="shared" si="7"/>
        <v>(nextval('obj_part_id_seq'), (select id from obj_building_v where zip||'|'||street||'|'||name||'|'||volume = '3032|Hofenstrasse 54|Wohnhaus (private Kindertagesstätte)|768.00'), 'P60', 0, null, 2012,null),</v>
      </c>
    </row>
    <row r="471" spans="1:8" x14ac:dyDescent="0.25">
      <c r="A471" s="9" t="s">
        <v>1409</v>
      </c>
      <c r="B471" s="9" t="s">
        <v>1143</v>
      </c>
      <c r="C471">
        <v>0</v>
      </c>
      <c r="D471" t="s">
        <v>4080</v>
      </c>
      <c r="E471">
        <v>2012</v>
      </c>
      <c r="F471" s="9"/>
      <c r="H471" s="20" t="str">
        <f t="shared" si="7"/>
        <v>(nextval('obj_part_id_seq'), (select id from obj_building_v where zip||'|'||street||'|'||name||'|'||volume = '3032|Hofenstrasse 54|Wohnhaus (private Kindertagesstätte)|768.00'), 'P61', 0, null, 2012,null),</v>
      </c>
    </row>
    <row r="472" spans="1:8" x14ac:dyDescent="0.25">
      <c r="A472" s="9" t="s">
        <v>1409</v>
      </c>
      <c r="B472" s="9" t="s">
        <v>1144</v>
      </c>
      <c r="C472">
        <v>0</v>
      </c>
      <c r="D472" t="s">
        <v>4080</v>
      </c>
      <c r="E472">
        <v>2012</v>
      </c>
      <c r="F472" s="9"/>
      <c r="H472" s="20" t="str">
        <f t="shared" si="7"/>
        <v>(nextval('obj_part_id_seq'), (select id from obj_building_v where zip||'|'||street||'|'||name||'|'||volume = '3032|Hofenstrasse 54|Wohnhaus (private Kindertagesstätte)|768.00'), 'P62', 0, null, 2012,null),</v>
      </c>
    </row>
    <row r="473" spans="1:8" x14ac:dyDescent="0.25">
      <c r="A473" s="9" t="s">
        <v>1419</v>
      </c>
      <c r="B473" s="9" t="s">
        <v>1127</v>
      </c>
      <c r="C473">
        <v>39</v>
      </c>
      <c r="D473">
        <v>90</v>
      </c>
      <c r="E473">
        <v>2012</v>
      </c>
      <c r="F473" s="9" t="s">
        <v>1420</v>
      </c>
      <c r="H473" s="20" t="str">
        <f t="shared" si="7"/>
        <v>(nextval('obj_part_id_seq'), (select id from obj_building_v where zip||'|'||street||'|'||name||'|'||volume = '3034|Kappelenring 36/36a|Primarschule/Doppelturnhalle/KZ/WR|19011.00'), 'P48', 39, 90, 2012,'Stahlbeton, MW(KS)'),</v>
      </c>
    </row>
    <row r="474" spans="1:8" x14ac:dyDescent="0.25">
      <c r="A474" s="9" t="s">
        <v>1419</v>
      </c>
      <c r="B474" s="9" t="s">
        <v>1129</v>
      </c>
      <c r="C474">
        <v>0</v>
      </c>
      <c r="D474" t="s">
        <v>4080</v>
      </c>
      <c r="E474">
        <v>2012</v>
      </c>
      <c r="F474" s="9"/>
      <c r="H474" s="20" t="str">
        <f t="shared" si="7"/>
        <v>(nextval('obj_part_id_seq'), (select id from obj_building_v where zip||'|'||street||'|'||name||'|'||volume = '3034|Kappelenring 36/36a|Primarschule/Doppelturnhalle/KZ/WR|19011.00'), 'P49', 0, null, 2012,null),</v>
      </c>
    </row>
    <row r="475" spans="1:8" x14ac:dyDescent="0.25">
      <c r="A475" s="9" t="s">
        <v>1419</v>
      </c>
      <c r="B475" s="9" t="s">
        <v>1097</v>
      </c>
      <c r="C475">
        <v>0</v>
      </c>
      <c r="D475" t="s">
        <v>4080</v>
      </c>
      <c r="E475">
        <v>2012</v>
      </c>
      <c r="F475" s="9"/>
      <c r="H475" s="20" t="str">
        <f t="shared" si="7"/>
        <v>(nextval('obj_part_id_seq'), (select id from obj_building_v where zip||'|'||street||'|'||name||'|'||volume = '3034|Kappelenring 36/36a|Primarschule/Doppelturnhalle/KZ/WR|19011.00'), 'P2', 0, null, 2012,null),</v>
      </c>
    </row>
    <row r="476" spans="1:8" x14ac:dyDescent="0.25">
      <c r="A476" s="9" t="s">
        <v>1419</v>
      </c>
      <c r="B476" s="9" t="s">
        <v>1099</v>
      </c>
      <c r="C476">
        <v>8</v>
      </c>
      <c r="D476">
        <v>90</v>
      </c>
      <c r="E476">
        <v>2012</v>
      </c>
      <c r="F476" s="9" t="s">
        <v>1421</v>
      </c>
      <c r="H476" s="20" t="str">
        <f t="shared" si="7"/>
        <v>(nextval('obj_part_id_seq'), (select id from obj_building_v where zip||'|'||street||'|'||name||'|'||volume = '3034|Kappelenring 36/36a|Primarschule/Doppelturnhalle/KZ/WR|19011.00'), 'P3', 8, 90, 2012,'Kiesklebedach mit Oblichtkuppeln (neu)'),</v>
      </c>
    </row>
    <row r="477" spans="1:8" x14ac:dyDescent="0.25">
      <c r="A477" s="9" t="s">
        <v>1419</v>
      </c>
      <c r="B477" s="9" t="s">
        <v>1100</v>
      </c>
      <c r="C477">
        <v>7</v>
      </c>
      <c r="D477">
        <v>90</v>
      </c>
      <c r="E477">
        <v>2012</v>
      </c>
      <c r="F477" s="9" t="s">
        <v>1422</v>
      </c>
      <c r="H477" s="20" t="str">
        <f t="shared" si="7"/>
        <v>(nextval('obj_part_id_seq'), (select id from obj_building_v where zip||'|'||street||'|'||name||'|'||volume = '3034|Kappelenring 36/36a|Primarschule/Doppelturnhalle/KZ/WR|19011.00'), 'P4', 7, 90, 2012,'Sichtbeton, gestr./b. Eingang verputzt'),</v>
      </c>
    </row>
    <row r="478" spans="1:8" x14ac:dyDescent="0.25">
      <c r="A478" s="9" t="s">
        <v>1419</v>
      </c>
      <c r="B478" s="9" t="s">
        <v>1102</v>
      </c>
      <c r="C478">
        <v>10</v>
      </c>
      <c r="D478">
        <v>70</v>
      </c>
      <c r="E478">
        <v>2012</v>
      </c>
      <c r="F478" s="9" t="s">
        <v>1423</v>
      </c>
      <c r="H478" s="20" t="str">
        <f t="shared" si="7"/>
        <v>(nextval('obj_part_id_seq'), (select id from obj_building_v where zip||'|'||street||'|'||name||'|'||volume = '3034|Kappelenring 36/36a|Primarschule/Doppelturnhalle/KZ/WR|19011.00'), 'P5', 10, 70, 2012,'Holz-/Metallfenster/Rafflamellenstoren (Fenster tw. blind), Fenster &amp; Rafflamellenstoren werden ersetzt (2018-2021)*'),</v>
      </c>
    </row>
    <row r="479" spans="1:8" x14ac:dyDescent="0.25">
      <c r="A479" s="9" t="s">
        <v>1419</v>
      </c>
      <c r="B479" s="9" t="s">
        <v>1164</v>
      </c>
      <c r="C479">
        <v>6</v>
      </c>
      <c r="D479">
        <v>90</v>
      </c>
      <c r="E479">
        <v>2012</v>
      </c>
      <c r="F479" s="9" t="s">
        <v>1424</v>
      </c>
      <c r="H479" s="20" t="str">
        <f t="shared" si="7"/>
        <v>(nextval('obj_part_id_seq'), (select id from obj_building_v where zip||'|'||street||'|'||name||'|'||volume = '3034|Kappelenring 36/36a|Primarschule/Doppelturnhalle/KZ/WR|19011.00'), 'P50', 6, 90, 2012,'Beleuchtung tw. neu (''97), Bühnenbeleuchtung'),</v>
      </c>
    </row>
    <row r="480" spans="1:8" x14ac:dyDescent="0.25">
      <c r="A480" s="9" t="s">
        <v>1419</v>
      </c>
      <c r="B480" s="9" t="s">
        <v>1166</v>
      </c>
      <c r="C480">
        <v>1</v>
      </c>
      <c r="D480">
        <v>90</v>
      </c>
      <c r="E480">
        <v>2012</v>
      </c>
      <c r="F480" s="9" t="s">
        <v>1425</v>
      </c>
      <c r="H480" s="20" t="str">
        <f t="shared" si="7"/>
        <v>(nextval('obj_part_id_seq'), (select id from obj_building_v where zip||'|'||street||'|'||name||'|'||volume = '3034|Kappelenring 36/36a|Primarschule/Doppelturnhalle/KZ/WR|19011.00'), 'P51', 1, 90, 2012,'Uhr, Gong, LS-Analge, BMA nachgerüstet'),</v>
      </c>
    </row>
    <row r="481" spans="1:8" x14ac:dyDescent="0.25">
      <c r="A481" s="9" t="s">
        <v>1419</v>
      </c>
      <c r="B481" s="9" t="s">
        <v>1104</v>
      </c>
      <c r="C481">
        <v>1</v>
      </c>
      <c r="D481">
        <v>90</v>
      </c>
      <c r="E481">
        <v>2012</v>
      </c>
      <c r="F481" s="9" t="s">
        <v>1426</v>
      </c>
      <c r="H481" s="20" t="str">
        <f t="shared" si="7"/>
        <v>(nextval('obj_part_id_seq'), (select id from obj_building_v where zip||'|'||street||'|'||name||'|'||volume = '3034|Kappelenring 36/36a|Primarschule/Doppelturnhalle/KZ/WR|19011.00'), 'P6', 1, 90, 2012,'Boiler/Solaranlage/Fernwärme'),</v>
      </c>
    </row>
    <row r="482" spans="1:8" x14ac:dyDescent="0.25">
      <c r="A482" s="9" t="s">
        <v>1419</v>
      </c>
      <c r="B482" s="9" t="s">
        <v>1106</v>
      </c>
      <c r="C482">
        <v>3</v>
      </c>
      <c r="D482">
        <v>90</v>
      </c>
      <c r="E482">
        <v>2012</v>
      </c>
      <c r="F482" s="9" t="s">
        <v>1427</v>
      </c>
      <c r="H482" s="20" t="str">
        <f t="shared" si="7"/>
        <v>(nextval('obj_part_id_seq'), (select id from obj_building_v where zip||'|'||street||'|'||name||'|'||volume = '3034|Kappelenring 36/36a|Primarschule/Doppelturnhalle/KZ/WR|19011.00'), 'P7', 3, 90, 2012,'Radiatoren, Heizlüftung in TH'),</v>
      </c>
    </row>
    <row r="483" spans="1:8" x14ac:dyDescent="0.25">
      <c r="A483" s="9" t="s">
        <v>1419</v>
      </c>
      <c r="B483" s="9" t="s">
        <v>1108</v>
      </c>
      <c r="C483">
        <v>4</v>
      </c>
      <c r="D483">
        <v>70</v>
      </c>
      <c r="E483">
        <v>2012</v>
      </c>
      <c r="F483" s="9" t="s">
        <v>1428</v>
      </c>
      <c r="H483" s="20" t="str">
        <f t="shared" si="7"/>
        <v>(nextval('obj_part_id_seq'), (select id from obj_building_v where zip||'|'||street||'|'||name||'|'||volume = '3034|Kappelenring 36/36a|Primarschule/Doppelturnhalle/KZ/WR|19011.00'), 'P8', 4, 70, 2012,'In Du: KW+WW-Leitungen neu (''97), stark verrostet, LZ: Küche'),</v>
      </c>
    </row>
    <row r="484" spans="1:8" x14ac:dyDescent="0.25">
      <c r="A484" s="9" t="s">
        <v>1419</v>
      </c>
      <c r="B484" s="9" t="s">
        <v>1138</v>
      </c>
      <c r="C484">
        <v>11</v>
      </c>
      <c r="D484">
        <v>90</v>
      </c>
      <c r="E484">
        <v>2012</v>
      </c>
      <c r="F484" s="9" t="s">
        <v>1429</v>
      </c>
      <c r="H484" s="20" t="str">
        <f t="shared" si="7"/>
        <v>(nextval('obj_part_id_seq'), (select id from obj_building_v where zip||'|'||street||'|'||name||'|'||volume = '3034|Kappelenring 36/36a|Primarschule/Doppelturnhalle/KZ/WR|19011.00'), 'P57', 11, 90, 2012,'Einbauschränke, WC-Trennwände, Glastrennwände Windfang, TH-Boden wird saniert ''12/ Bühne'),</v>
      </c>
    </row>
    <row r="485" spans="1:8" x14ac:dyDescent="0.25">
      <c r="A485" s="9" t="s">
        <v>1419</v>
      </c>
      <c r="B485" s="9" t="s">
        <v>1140</v>
      </c>
      <c r="C485">
        <v>8</v>
      </c>
      <c r="D485">
        <v>80</v>
      </c>
      <c r="E485">
        <v>2012</v>
      </c>
      <c r="F485" s="9" t="s">
        <v>1430</v>
      </c>
      <c r="H485" s="20" t="str">
        <f t="shared" si="7"/>
        <v>(nextval('obj_part_id_seq'), (select id from obj_building_v where zip||'|'||street||'|'||name||'|'||volume = '3034|Kappelenring 36/36a|Primarschule/Doppelturnhalle/KZ/WR|19011.00'), 'P58', 8, 80, 2012,'B: PVC/Teppich, Keramikpl., Gumminoppenbel., Linol&lt;br&gt;W: Sichtb., KS, Kermaikpl., Akustikpl. im Musikraum, Täfer in KZ&lt;br&gt;D: Beton, gestr., Heraklit'),</v>
      </c>
    </row>
    <row r="486" spans="1:8" x14ac:dyDescent="0.25">
      <c r="A486" s="9" t="s">
        <v>1419</v>
      </c>
      <c r="B486" s="9" t="s">
        <v>1142</v>
      </c>
      <c r="C486">
        <v>0</v>
      </c>
      <c r="D486" t="s">
        <v>4080</v>
      </c>
      <c r="E486">
        <v>2012</v>
      </c>
      <c r="F486" s="9"/>
      <c r="H486" s="20" t="str">
        <f t="shared" si="7"/>
        <v>(nextval('obj_part_id_seq'), (select id from obj_building_v where zip||'|'||street||'|'||name||'|'||volume = '3034|Kappelenring 36/36a|Primarschule/Doppelturnhalle/KZ/WR|19011.00'), 'P60', 0, null, 2012,null),</v>
      </c>
    </row>
    <row r="487" spans="1:8" x14ac:dyDescent="0.25">
      <c r="A487" s="9" t="s">
        <v>1419</v>
      </c>
      <c r="B487" s="9" t="s">
        <v>1143</v>
      </c>
      <c r="C487">
        <v>2</v>
      </c>
      <c r="D487">
        <v>80</v>
      </c>
      <c r="E487">
        <v>2012</v>
      </c>
      <c r="F487" s="9" t="s">
        <v>1431</v>
      </c>
      <c r="H487" s="20" t="str">
        <f t="shared" si="7"/>
        <v>(nextval('obj_part_id_seq'), (select id from obj_building_v where zip||'|'||street||'|'||name||'|'||volume = '3034|Kappelenring 36/36a|Primarschule/Doppelturnhalle/KZ/WR|19011.00'), 'P61', 2, 80, 2012,'Lüftung Garderoben/Duschen, Heizungslüftung Turnhalle tw. saniert (Du ''98)'),</v>
      </c>
    </row>
    <row r="488" spans="1:8" x14ac:dyDescent="0.25">
      <c r="A488" s="9" t="s">
        <v>1419</v>
      </c>
      <c r="B488" s="9" t="s">
        <v>1144</v>
      </c>
      <c r="C488">
        <v>0</v>
      </c>
      <c r="D488" t="s">
        <v>4080</v>
      </c>
      <c r="E488">
        <v>2012</v>
      </c>
      <c r="F488" s="9"/>
      <c r="H488" s="20" t="str">
        <f t="shared" si="7"/>
        <v>(nextval('obj_part_id_seq'), (select id from obj_building_v where zip||'|'||street||'|'||name||'|'||volume = '3034|Kappelenring 36/36a|Primarschule/Doppelturnhalle/KZ/WR|19011.00'), 'P62', 0, null, 2012,null),</v>
      </c>
    </row>
    <row r="489" spans="1:8" x14ac:dyDescent="0.25">
      <c r="A489" s="9" t="s">
        <v>1432</v>
      </c>
      <c r="B489" s="9" t="s">
        <v>1127</v>
      </c>
      <c r="C489">
        <v>40</v>
      </c>
      <c r="D489">
        <v>90</v>
      </c>
      <c r="E489">
        <v>2012</v>
      </c>
      <c r="F489" s="9" t="s">
        <v>1433</v>
      </c>
      <c r="H489" s="20" t="str">
        <f t="shared" si="7"/>
        <v>(nextval('obj_part_id_seq'), (select id from obj_building_v where zip||'|'||street||'|'||name||'|'||volume = '3033|Schulgasse 14|Altes Schulhaus/Doppelkindergarten/Klassenzimmer/2 Whg.|2500.00'), 'P48', 40, 90, 2012,'Fachwerkbau, Holzdecken'),</v>
      </c>
    </row>
    <row r="490" spans="1:8" x14ac:dyDescent="0.25">
      <c r="A490" s="9" t="s">
        <v>1432</v>
      </c>
      <c r="B490" s="9" t="s">
        <v>1129</v>
      </c>
      <c r="C490">
        <v>0</v>
      </c>
      <c r="D490" t="s">
        <v>4080</v>
      </c>
      <c r="E490">
        <v>2012</v>
      </c>
      <c r="F490" s="9"/>
      <c r="H490" s="20" t="str">
        <f t="shared" si="7"/>
        <v>(nextval('obj_part_id_seq'), (select id from obj_building_v where zip||'|'||street||'|'||name||'|'||volume = '3033|Schulgasse 14|Altes Schulhaus/Doppelkindergarten/Klassenzimmer/2 Whg.|2500.00'), 'P49', 0, null, 2012,null),</v>
      </c>
    </row>
    <row r="491" spans="1:8" x14ac:dyDescent="0.25">
      <c r="A491" s="9" t="s">
        <v>1432</v>
      </c>
      <c r="B491" s="9" t="s">
        <v>1097</v>
      </c>
      <c r="C491">
        <v>8</v>
      </c>
      <c r="D491">
        <v>85</v>
      </c>
      <c r="E491">
        <v>2012</v>
      </c>
      <c r="F491" s="9" t="s">
        <v>1434</v>
      </c>
      <c r="H491" s="20" t="str">
        <f t="shared" si="7"/>
        <v>(nextval('obj_part_id_seq'), (select id from obj_building_v where zip||'|'||street||'|'||name||'|'||volume = '3033|Schulgasse 14|Altes Schulhaus/Doppelkindergarten/Klassenzimmer/2 Whg.|2500.00'), 'P2', 8, 85, 2012,'Falzziegeldach, Krüppelwalmdach'),</v>
      </c>
    </row>
    <row r="492" spans="1:8" x14ac:dyDescent="0.25">
      <c r="A492" s="9" t="s">
        <v>1432</v>
      </c>
      <c r="B492" s="9" t="s">
        <v>1099</v>
      </c>
      <c r="C492">
        <v>0</v>
      </c>
      <c r="D492" t="s">
        <v>4080</v>
      </c>
      <c r="E492">
        <v>2012</v>
      </c>
      <c r="F492" s="9"/>
      <c r="H492" s="20" t="str">
        <f t="shared" si="7"/>
        <v>(nextval('obj_part_id_seq'), (select id from obj_building_v where zip||'|'||street||'|'||name||'|'||volume = '3033|Schulgasse 14|Altes Schulhaus/Doppelkindergarten/Klassenzimmer/2 Whg.|2500.00'), 'P3', 0, null, 2012,null),</v>
      </c>
    </row>
    <row r="493" spans="1:8" x14ac:dyDescent="0.25">
      <c r="A493" s="9" t="s">
        <v>1432</v>
      </c>
      <c r="B493" s="9" t="s">
        <v>1100</v>
      </c>
      <c r="C493">
        <v>7</v>
      </c>
      <c r="D493">
        <v>80</v>
      </c>
      <c r="E493">
        <v>2012</v>
      </c>
      <c r="F493" s="9" t="s">
        <v>1435</v>
      </c>
      <c r="H493" s="20" t="str">
        <f t="shared" si="7"/>
        <v>(nextval('obj_part_id_seq'), (select id from obj_building_v where zip||'|'||street||'|'||name||'|'||volume = '3033|Schulgasse 14|Altes Schulhaus/Doppelkindergarten/Klassenzimmer/2 Whg.|2500.00'), 'P4', 7, 80, 2012,'Fachwerk m. verp. Ausfachungen'),</v>
      </c>
    </row>
    <row r="494" spans="1:8" x14ac:dyDescent="0.25">
      <c r="A494" s="9" t="s">
        <v>1432</v>
      </c>
      <c r="B494" s="9" t="s">
        <v>1102</v>
      </c>
      <c r="C494">
        <v>10</v>
      </c>
      <c r="D494">
        <v>85</v>
      </c>
      <c r="E494">
        <v>2012</v>
      </c>
      <c r="F494" s="9" t="s">
        <v>1436</v>
      </c>
      <c r="H494" s="20" t="str">
        <f t="shared" si="7"/>
        <v>(nextval('obj_part_id_seq'), (select id from obj_building_v where zip||'|'||street||'|'||name||'|'||volume = '3033|Schulgasse 14|Altes Schulhaus/Doppelkindergarten/Klassenzimmer/2 Whg.|2500.00'), 'P5', 10, 85, 2012,'Holzsprossenfenster mit Doppelvergl.'),</v>
      </c>
    </row>
    <row r="495" spans="1:8" x14ac:dyDescent="0.25">
      <c r="A495" s="9" t="s">
        <v>1432</v>
      </c>
      <c r="B495" s="9" t="s">
        <v>1164</v>
      </c>
      <c r="C495">
        <v>6</v>
      </c>
      <c r="D495">
        <v>90</v>
      </c>
      <c r="E495">
        <v>2012</v>
      </c>
      <c r="F495" s="9" t="s">
        <v>1295</v>
      </c>
      <c r="H495" s="20" t="str">
        <f t="shared" si="7"/>
        <v>(nextval('obj_part_id_seq'), (select id from obj_building_v where zip||'|'||street||'|'||name||'|'||volume = '3033|Schulgasse 14|Altes Schulhaus/Doppelkindergarten/Klassenzimmer/2 Whg.|2500.00'), 'P50', 6, 90, 2012,'Beleuchtung'),</v>
      </c>
    </row>
    <row r="496" spans="1:8" x14ac:dyDescent="0.25">
      <c r="A496" s="9" t="s">
        <v>1432</v>
      </c>
      <c r="B496" s="9" t="s">
        <v>1166</v>
      </c>
      <c r="C496">
        <v>1</v>
      </c>
      <c r="D496">
        <v>90</v>
      </c>
      <c r="E496">
        <v>2012</v>
      </c>
      <c r="F496" s="9" t="s">
        <v>1437</v>
      </c>
      <c r="H496" s="20" t="str">
        <f t="shared" si="7"/>
        <v>(nextval('obj_part_id_seq'), (select id from obj_building_v where zip||'|'||street||'|'||name||'|'||volume = '3033|Schulgasse 14|Altes Schulhaus/Doppelkindergarten/Klassenzimmer/2 Whg.|2500.00'), 'P51', 1, 90, 2012,'Sonnerie, Telefon'),</v>
      </c>
    </row>
    <row r="497" spans="1:8" x14ac:dyDescent="0.25">
      <c r="A497" s="9" t="s">
        <v>1432</v>
      </c>
      <c r="B497" s="9" t="s">
        <v>1104</v>
      </c>
      <c r="C497">
        <v>0</v>
      </c>
      <c r="D497" t="s">
        <v>4080</v>
      </c>
      <c r="E497">
        <v>2012</v>
      </c>
      <c r="F497" s="9" t="s">
        <v>1235</v>
      </c>
      <c r="H497" s="20" t="str">
        <f t="shared" si="7"/>
        <v>(nextval('obj_part_id_seq'), (select id from obj_building_v where zip||'|'||street||'|'||name||'|'||volume = '3033|Schulgasse 14|Altes Schulhaus/Doppelkindergarten/Klassenzimmer/2 Whg.|2500.00'), 'P6', 0, null, 2012,'Fernwärme'),</v>
      </c>
    </row>
    <row r="498" spans="1:8" x14ac:dyDescent="0.25">
      <c r="A498" s="9" t="s">
        <v>1432</v>
      </c>
      <c r="B498" s="9" t="s">
        <v>1106</v>
      </c>
      <c r="C498">
        <v>3</v>
      </c>
      <c r="D498">
        <v>90</v>
      </c>
      <c r="E498">
        <v>2012</v>
      </c>
      <c r="F498" s="9" t="s">
        <v>1375</v>
      </c>
      <c r="H498" s="20" t="str">
        <f t="shared" si="7"/>
        <v>(nextval('obj_part_id_seq'), (select id from obj_building_v where zip||'|'||street||'|'||name||'|'||volume = '3033|Schulgasse 14|Altes Schulhaus/Doppelkindergarten/Klassenzimmer/2 Whg.|2500.00'), 'P7', 3, 90, 2012,'Radiatoren m. Thermostaten'),</v>
      </c>
    </row>
    <row r="499" spans="1:8" x14ac:dyDescent="0.25">
      <c r="A499" s="9" t="s">
        <v>1432</v>
      </c>
      <c r="B499" s="9" t="s">
        <v>1108</v>
      </c>
      <c r="C499">
        <v>4</v>
      </c>
      <c r="D499">
        <v>90</v>
      </c>
      <c r="E499">
        <v>2012</v>
      </c>
      <c r="F499" s="9" t="s">
        <v>1438</v>
      </c>
      <c r="H499" s="20" t="str">
        <f t="shared" si="7"/>
        <v>(nextval('obj_part_id_seq'), (select id from obj_building_v where zip||'|'||street||'|'||name||'|'||volume = '3033|Schulgasse 14|Altes Schulhaus/Doppelkindergarten/Klassenzimmer/2 Whg.|2500.00'), 'P8', 4, 90, 2012,'WM/WT, Leitungen i.O.'),</v>
      </c>
    </row>
    <row r="500" spans="1:8" x14ac:dyDescent="0.25">
      <c r="A500" s="9" t="s">
        <v>1432</v>
      </c>
      <c r="B500" s="9" t="s">
        <v>1138</v>
      </c>
      <c r="C500">
        <v>11</v>
      </c>
      <c r="D500">
        <v>85</v>
      </c>
      <c r="E500">
        <v>2012</v>
      </c>
      <c r="F500" s="9" t="s">
        <v>1439</v>
      </c>
      <c r="H500" s="20" t="str">
        <f t="shared" si="7"/>
        <v>(nextval('obj_part_id_seq'), (select id from obj_building_v where zip||'|'||street||'|'||name||'|'||volume = '3033|Schulgasse 14|Altes Schulhaus/Doppelkindergarten/Klassenzimmer/2 Whg.|2500.00'), 'P57', 11, 85, 2012,'Einbauschränke neu, Innentüren, Simse in KG'),</v>
      </c>
    </row>
    <row r="501" spans="1:8" x14ac:dyDescent="0.25">
      <c r="A501" s="9" t="s">
        <v>1432</v>
      </c>
      <c r="B501" s="9" t="s">
        <v>1140</v>
      </c>
      <c r="C501">
        <v>8</v>
      </c>
      <c r="D501">
        <v>90</v>
      </c>
      <c r="E501">
        <v>2012</v>
      </c>
      <c r="F501" s="9" t="s">
        <v>1440</v>
      </c>
      <c r="H501" s="20" t="str">
        <f t="shared" si="7"/>
        <v>(nextval('obj_part_id_seq'), (select id from obj_building_v where zip||'|'||street||'|'||name||'|'||volume = '3033|Schulgasse 14|Altes Schulhaus/Doppelkindergarten/Klassenzimmer/2 Whg.|2500.00'), 'P58', 8, 90, 2012,'B: Laminat, Gumminoppen, Parkett geölt, Linol&lt;br&gt;W: Putz, gestr., Keramikpl.schild&lt;br&gt;D: Täfer'),</v>
      </c>
    </row>
    <row r="502" spans="1:8" x14ac:dyDescent="0.25">
      <c r="A502" s="9" t="s">
        <v>1432</v>
      </c>
      <c r="B502" s="9" t="s">
        <v>1142</v>
      </c>
      <c r="C502">
        <v>0</v>
      </c>
      <c r="D502" t="s">
        <v>4080</v>
      </c>
      <c r="E502">
        <v>2012</v>
      </c>
      <c r="F502" s="9"/>
      <c r="H502" s="20" t="str">
        <f t="shared" si="7"/>
        <v>(nextval('obj_part_id_seq'), (select id from obj_building_v where zip||'|'||street||'|'||name||'|'||volume = '3033|Schulgasse 14|Altes Schulhaus/Doppelkindergarten/Klassenzimmer/2 Whg.|2500.00'), 'P60', 0, null, 2012,null),</v>
      </c>
    </row>
    <row r="503" spans="1:8" x14ac:dyDescent="0.25">
      <c r="A503" s="9" t="s">
        <v>1432</v>
      </c>
      <c r="B503" s="9" t="s">
        <v>1143</v>
      </c>
      <c r="C503">
        <v>2</v>
      </c>
      <c r="D503">
        <v>90</v>
      </c>
      <c r="E503">
        <v>2012</v>
      </c>
      <c r="F503" s="9" t="s">
        <v>1441</v>
      </c>
      <c r="H503" s="20" t="str">
        <f t="shared" si="7"/>
        <v>(nextval('obj_part_id_seq'), (select id from obj_building_v where zip||'|'||street||'|'||name||'|'||volume = '3033|Schulgasse 14|Altes Schulhaus/Doppelkindergarten/Klassenzimmer/2 Whg.|2500.00'), 'P61', 2, 90, 2012,'Küche/Küche Tagesschule und KG'),</v>
      </c>
    </row>
    <row r="504" spans="1:8" x14ac:dyDescent="0.25">
      <c r="A504" s="9" t="s">
        <v>1432</v>
      </c>
      <c r="B504" s="9" t="s">
        <v>1144</v>
      </c>
      <c r="C504">
        <v>0</v>
      </c>
      <c r="D504" t="s">
        <v>4080</v>
      </c>
      <c r="E504">
        <v>2012</v>
      </c>
      <c r="F504" s="9"/>
      <c r="H504" s="20" t="str">
        <f t="shared" si="7"/>
        <v>(nextval('obj_part_id_seq'), (select id from obj_building_v where zip||'|'||street||'|'||name||'|'||volume = '3033|Schulgasse 14|Altes Schulhaus/Doppelkindergarten/Klassenzimmer/2 Whg.|2500.00'), 'P62', 0, null, 2012,null),</v>
      </c>
    </row>
    <row r="505" spans="1:8" x14ac:dyDescent="0.25">
      <c r="A505" s="9" t="s">
        <v>1442</v>
      </c>
      <c r="B505" s="9" t="s">
        <v>1127</v>
      </c>
      <c r="C505">
        <v>40</v>
      </c>
      <c r="D505">
        <v>90</v>
      </c>
      <c r="E505">
        <v>2012</v>
      </c>
      <c r="F505" s="9" t="s">
        <v>1443</v>
      </c>
      <c r="H505" s="20" t="str">
        <f t="shared" si="7"/>
        <v>(nextval('obj_part_id_seq'), (select id from obj_building_v where zip||'|'||street||'|'||name||'|'||volume = '3033|Schulgasse 16|Schulhaus, Pausenhalle, ZS-Anlage|10200.00'), 'P48', 40, 90, 2012,'MW/Stahlbeton'),</v>
      </c>
    </row>
    <row r="506" spans="1:8" x14ac:dyDescent="0.25">
      <c r="A506" s="9" t="s">
        <v>1442</v>
      </c>
      <c r="B506" s="9" t="s">
        <v>1129</v>
      </c>
      <c r="C506">
        <v>0</v>
      </c>
      <c r="D506" t="s">
        <v>4080</v>
      </c>
      <c r="E506">
        <v>2012</v>
      </c>
      <c r="F506" s="9"/>
      <c r="H506" s="20" t="str">
        <f t="shared" si="7"/>
        <v>(nextval('obj_part_id_seq'), (select id from obj_building_v where zip||'|'||street||'|'||name||'|'||volume = '3033|Schulgasse 16|Schulhaus, Pausenhalle, ZS-Anlage|10200.00'), 'P49', 0, null, 2012,null),</v>
      </c>
    </row>
    <row r="507" spans="1:8" x14ac:dyDescent="0.25">
      <c r="A507" s="9" t="s">
        <v>1442</v>
      </c>
      <c r="B507" s="9" t="s">
        <v>1097</v>
      </c>
      <c r="C507">
        <v>8</v>
      </c>
      <c r="D507">
        <v>90</v>
      </c>
      <c r="E507">
        <v>2012</v>
      </c>
      <c r="F507" s="9" t="s">
        <v>1370</v>
      </c>
      <c r="H507" s="20" t="str">
        <f t="shared" si="7"/>
        <v>(nextval('obj_part_id_seq'), (select id from obj_building_v where zip||'|'||street||'|'||name||'|'||volume = '3033|Schulgasse 16|Schulhaus, Pausenhalle, ZS-Anlage|10200.00'), 'P2', 8, 90, 2012,'Ziegeldach'),</v>
      </c>
    </row>
    <row r="508" spans="1:8" x14ac:dyDescent="0.25">
      <c r="A508" s="9" t="s">
        <v>1442</v>
      </c>
      <c r="B508" s="9" t="s">
        <v>1099</v>
      </c>
      <c r="C508">
        <v>0</v>
      </c>
      <c r="D508" t="s">
        <v>4080</v>
      </c>
      <c r="E508">
        <v>2012</v>
      </c>
      <c r="F508" s="9"/>
      <c r="H508" s="20" t="str">
        <f t="shared" si="7"/>
        <v>(nextval('obj_part_id_seq'), (select id from obj_building_v where zip||'|'||street||'|'||name||'|'||volume = '3033|Schulgasse 16|Schulhaus, Pausenhalle, ZS-Anlage|10200.00'), 'P3', 0, null, 2012,null),</v>
      </c>
    </row>
    <row r="509" spans="1:8" x14ac:dyDescent="0.25">
      <c r="A509" s="9" t="s">
        <v>1442</v>
      </c>
      <c r="B509" s="9" t="s">
        <v>1100</v>
      </c>
      <c r="C509">
        <v>7</v>
      </c>
      <c r="D509">
        <v>90</v>
      </c>
      <c r="E509">
        <v>2012</v>
      </c>
      <c r="F509" s="9" t="s">
        <v>1444</v>
      </c>
      <c r="H509" s="20" t="str">
        <f t="shared" si="7"/>
        <v>(nextval('obj_part_id_seq'), (select id from obj_building_v where zip||'|'||street||'|'||name||'|'||volume = '3033|Schulgasse 16|Schulhaus, Pausenhalle, ZS-Anlage|10200.00'), 'P4', 7, 90, 2012,'Tw. neu, Metall/Eternit, hinterlüftet, Aussentüren Süd neu'),</v>
      </c>
    </row>
    <row r="510" spans="1:8" x14ac:dyDescent="0.25">
      <c r="A510" s="9" t="s">
        <v>1442</v>
      </c>
      <c r="B510" s="9" t="s">
        <v>1102</v>
      </c>
      <c r="C510">
        <v>10</v>
      </c>
      <c r="D510">
        <v>90</v>
      </c>
      <c r="E510">
        <v>2012</v>
      </c>
      <c r="F510" s="9" t="s">
        <v>1445</v>
      </c>
      <c r="H510" s="20" t="str">
        <f t="shared" si="7"/>
        <v>(nextval('obj_part_id_seq'), (select id from obj_building_v where zip||'|'||street||'|'||name||'|'||volume = '3033|Schulgasse 16|Schulhaus, Pausenhalle, ZS-Anlage|10200.00'), 'P5', 10, 90, 2012,'Holz-/Metallf. ''91/Metallf., Metalltüre/Holzf. ''11, Eingangstüre ''16'),</v>
      </c>
    </row>
    <row r="511" spans="1:8" x14ac:dyDescent="0.25">
      <c r="A511" s="9" t="s">
        <v>1442</v>
      </c>
      <c r="B511" s="9" t="s">
        <v>1164</v>
      </c>
      <c r="C511">
        <v>6</v>
      </c>
      <c r="D511">
        <v>90</v>
      </c>
      <c r="E511">
        <v>2012</v>
      </c>
      <c r="F511" s="9" t="s">
        <v>1446</v>
      </c>
      <c r="H511" s="20" t="str">
        <f t="shared" si="7"/>
        <v>(nextval('obj_part_id_seq'), (select id from obj_building_v where zip||'|'||street||'|'||name||'|'||volume = '3033|Schulgasse 16|Schulhaus, Pausenhalle, ZS-Anlage|10200.00'), 'P50', 6, 90, 2012,'Beleuchtung, tw. alte Sicherungen'),</v>
      </c>
    </row>
    <row r="512" spans="1:8" x14ac:dyDescent="0.25">
      <c r="A512" s="9" t="s">
        <v>1442</v>
      </c>
      <c r="B512" s="9" t="s">
        <v>1166</v>
      </c>
      <c r="C512">
        <v>1</v>
      </c>
      <c r="D512">
        <v>90</v>
      </c>
      <c r="E512">
        <v>2012</v>
      </c>
      <c r="F512" s="9" t="s">
        <v>1447</v>
      </c>
      <c r="H512" s="20" t="str">
        <f t="shared" si="7"/>
        <v>(nextval('obj_part_id_seq'), (select id from obj_building_v where zip||'|'||street||'|'||name||'|'||volume = '3033|Schulgasse 16|Schulhaus, Pausenhalle, ZS-Anlage|10200.00'), 'P51', 1, 90, 2012,'Uhr, Gong, Sonnerie, Tel.'),</v>
      </c>
    </row>
    <row r="513" spans="1:8" x14ac:dyDescent="0.25">
      <c r="A513" s="9" t="s">
        <v>1442</v>
      </c>
      <c r="B513" s="9" t="s">
        <v>1104</v>
      </c>
      <c r="C513">
        <v>1</v>
      </c>
      <c r="D513">
        <v>50</v>
      </c>
      <c r="E513">
        <v>2012</v>
      </c>
      <c r="F513" s="9" t="s">
        <v>1448</v>
      </c>
      <c r="H513" s="20" t="str">
        <f t="shared" si="7"/>
        <v>(nextval('obj_part_id_seq'), (select id from obj_building_v where zip||'|'||street||'|'||name||'|'||volume = '3033|Schulgasse 16|Schulhaus, Pausenhalle, ZS-Anlage|10200.00'), 'P6', 1, 50, 2012,'Oelheizung (noch keine NOx!) red. von 4''000 Liter auf 2''000 Liter, Luft-/Wärmepumpe: für WW Sommer'),</v>
      </c>
    </row>
    <row r="514" spans="1:8" x14ac:dyDescent="0.25">
      <c r="A514" s="9" t="s">
        <v>1442</v>
      </c>
      <c r="B514" s="9" t="s">
        <v>1106</v>
      </c>
      <c r="C514">
        <v>3</v>
      </c>
      <c r="D514">
        <v>90</v>
      </c>
      <c r="E514">
        <v>2012</v>
      </c>
      <c r="F514" s="9" t="s">
        <v>1375</v>
      </c>
      <c r="H514" s="20" t="str">
        <f t="shared" si="7"/>
        <v>(nextval('obj_part_id_seq'), (select id from obj_building_v where zip||'|'||street||'|'||name||'|'||volume = '3033|Schulgasse 16|Schulhaus, Pausenhalle, ZS-Anlage|10200.00'), 'P7', 3, 90, 2012,'Radiatoren m. Thermostaten'),</v>
      </c>
    </row>
    <row r="515" spans="1:8" x14ac:dyDescent="0.25">
      <c r="A515" s="9" t="s">
        <v>1442</v>
      </c>
      <c r="B515" s="9" t="s">
        <v>1108</v>
      </c>
      <c r="C515">
        <v>4</v>
      </c>
      <c r="D515">
        <v>70</v>
      </c>
      <c r="E515">
        <v>2012</v>
      </c>
      <c r="F515" s="9" t="s">
        <v>1449</v>
      </c>
      <c r="H515" s="20" t="str">
        <f t="shared" si="7"/>
        <v>(nextval('obj_part_id_seq'), (select id from obj_building_v where zip||'|'||street||'|'||name||'|'||volume = '3033|Schulgasse 16|Schulhaus, Pausenhalle, ZS-Anlage|10200.00'), 'P8', 4, 70, 2012,'Leitungen rostig, Entkalkungsanlage/WC'),</v>
      </c>
    </row>
    <row r="516" spans="1:8" x14ac:dyDescent="0.25">
      <c r="A516" s="9" t="s">
        <v>1442</v>
      </c>
      <c r="B516" s="9" t="s">
        <v>1138</v>
      </c>
      <c r="C516">
        <v>11</v>
      </c>
      <c r="D516">
        <v>90</v>
      </c>
      <c r="E516">
        <v>2012</v>
      </c>
      <c r="F516" s="9" t="s">
        <v>1450</v>
      </c>
      <c r="H516" s="20" t="str">
        <f t="shared" si="7"/>
        <v>(nextval('obj_part_id_seq'), (select id from obj_building_v where zip||'|'||street||'|'||name||'|'||volume = '3033|Schulgasse 16|Schulhaus, Pausenhalle, ZS-Anlage|10200.00'), 'P57', 11, 90, 2012,'Glastrennwand, Einbauten, Arbeitssimse, Garderobe, Schränke in KZ'),</v>
      </c>
    </row>
    <row r="517" spans="1:8" x14ac:dyDescent="0.25">
      <c r="A517" s="9" t="s">
        <v>1442</v>
      </c>
      <c r="B517" s="9" t="s">
        <v>1140</v>
      </c>
      <c r="C517">
        <v>8</v>
      </c>
      <c r="D517">
        <v>85</v>
      </c>
      <c r="E517">
        <v>2012</v>
      </c>
      <c r="F517" s="9" t="s">
        <v>1451</v>
      </c>
      <c r="H517" s="20" t="str">
        <f t="shared" ref="H517:H580" si="8">"(nextval('obj_part_id_seq'), (select id from obj_building_v where zip||'|'||street||'|'||name||'|'||volume = '"&amp;A517&amp;"'), '"&amp;B517&amp;"', "&amp;C517&amp;", "&amp;D517&amp;", "&amp;IF(ISBLANK(E517),"null",E517)&amp;","&amp;IF(ISBLANK(F517),"null","'"&amp;F517&amp;"'")&amp;"),"</f>
        <v>(nextval('obj_part_id_seq'), (select id from obj_building_v where zip||'|'||street||'|'||name||'|'||volume = '3033|Schulgasse 16|Schulhaus, Pausenhalle, ZS-Anlage|10200.00'), 'P58', 8, 85, 2012,'B: Linol, Keramikpl., Kunststeintreppen, Teppich, Gussasphalt in Werkräumen&lt;br&gt;W: Putz, gestr./Täfer, Keramikschild&lt;br&gt;D: Putz, Täfer'),</v>
      </c>
    </row>
    <row r="518" spans="1:8" x14ac:dyDescent="0.25">
      <c r="A518" s="9" t="s">
        <v>1442</v>
      </c>
      <c r="B518" s="9" t="s">
        <v>1142</v>
      </c>
      <c r="C518">
        <v>0</v>
      </c>
      <c r="D518" t="s">
        <v>4080</v>
      </c>
      <c r="E518">
        <v>2012</v>
      </c>
      <c r="F518" s="9"/>
      <c r="H518" s="20" t="str">
        <f t="shared" si="8"/>
        <v>(nextval('obj_part_id_seq'), (select id from obj_building_v where zip||'|'||street||'|'||name||'|'||volume = '3033|Schulgasse 16|Schulhaus, Pausenhalle, ZS-Anlage|10200.00'), 'P60', 0, null, 2012,null),</v>
      </c>
    </row>
    <row r="519" spans="1:8" x14ac:dyDescent="0.25">
      <c r="A519" s="9" t="s">
        <v>1442</v>
      </c>
      <c r="B519" s="9" t="s">
        <v>1143</v>
      </c>
      <c r="C519">
        <v>1</v>
      </c>
      <c r="D519">
        <v>90</v>
      </c>
      <c r="E519">
        <v>2012</v>
      </c>
      <c r="F519" s="9" t="s">
        <v>1452</v>
      </c>
      <c r="H519" s="20" t="str">
        <f t="shared" si="8"/>
        <v>(nextval('obj_part_id_seq'), (select id from obj_building_v where zip||'|'||street||'|'||name||'|'||volume = '3033|Schulgasse 16|Schulhaus, Pausenhalle, ZS-Anlage|10200.00'), 'P61', 1, 90, 2012,'Küche, Aufzug'),</v>
      </c>
    </row>
    <row r="520" spans="1:8" x14ac:dyDescent="0.25">
      <c r="A520" s="9" t="s">
        <v>1442</v>
      </c>
      <c r="B520" s="9" t="s">
        <v>1144</v>
      </c>
      <c r="C520">
        <v>0</v>
      </c>
      <c r="D520" t="s">
        <v>4080</v>
      </c>
      <c r="E520">
        <v>2012</v>
      </c>
      <c r="F520" s="9"/>
      <c r="H520" s="20" t="str">
        <f t="shared" si="8"/>
        <v>(nextval('obj_part_id_seq'), (select id from obj_building_v where zip||'|'||street||'|'||name||'|'||volume = '3033|Schulgasse 16|Schulhaus, Pausenhalle, ZS-Anlage|10200.00'), 'P62', 0, null, 2012,null),</v>
      </c>
    </row>
    <row r="521" spans="1:8" x14ac:dyDescent="0.25">
      <c r="A521" s="9" t="s">
        <v>1453</v>
      </c>
      <c r="B521" s="9" t="s">
        <v>1127</v>
      </c>
      <c r="C521">
        <v>44</v>
      </c>
      <c r="D521">
        <v>90</v>
      </c>
      <c r="E521">
        <v>2012</v>
      </c>
      <c r="F521" s="9" t="s">
        <v>1454</v>
      </c>
      <c r="H521" s="20" t="str">
        <f t="shared" si="8"/>
        <v>(nextval('obj_part_id_seq'), (select id from obj_building_v where zip||'|'||street||'|'||name||'|'||volume = '3033|Schulgasse 18|Doppelturnhalle|12800.00'), 'P48', 44, 90, 2012,'Stahlbeton, KS-Wände, Kunststeintreppe'),</v>
      </c>
    </row>
    <row r="522" spans="1:8" x14ac:dyDescent="0.25">
      <c r="A522" s="9" t="s">
        <v>1453</v>
      </c>
      <c r="B522" s="9" t="s">
        <v>1129</v>
      </c>
      <c r="C522">
        <v>0</v>
      </c>
      <c r="D522" t="s">
        <v>4080</v>
      </c>
      <c r="E522">
        <v>2012</v>
      </c>
      <c r="F522" s="9"/>
      <c r="H522" s="20" t="str">
        <f t="shared" si="8"/>
        <v>(nextval('obj_part_id_seq'), (select id from obj_building_v where zip||'|'||street||'|'||name||'|'||volume = '3033|Schulgasse 18|Doppelturnhalle|12800.00'), 'P49', 0, null, 2012,null),</v>
      </c>
    </row>
    <row r="523" spans="1:8" x14ac:dyDescent="0.25">
      <c r="A523" s="9" t="s">
        <v>1453</v>
      </c>
      <c r="B523" s="9" t="s">
        <v>1097</v>
      </c>
      <c r="C523">
        <v>0</v>
      </c>
      <c r="D523" t="s">
        <v>4080</v>
      </c>
      <c r="E523">
        <v>2012</v>
      </c>
      <c r="F523" s="9"/>
      <c r="H523" s="20" t="str">
        <f t="shared" si="8"/>
        <v>(nextval('obj_part_id_seq'), (select id from obj_building_v where zip||'|'||street||'|'||name||'|'||volume = '3033|Schulgasse 18|Doppelturnhalle|12800.00'), 'P2', 0, null, 2012,null),</v>
      </c>
    </row>
    <row r="524" spans="1:8" x14ac:dyDescent="0.25">
      <c r="A524" s="9" t="s">
        <v>1453</v>
      </c>
      <c r="B524" s="9" t="s">
        <v>1099</v>
      </c>
      <c r="C524">
        <v>8</v>
      </c>
      <c r="D524">
        <v>90</v>
      </c>
      <c r="E524">
        <v>2012</v>
      </c>
      <c r="F524" s="9" t="s">
        <v>1455</v>
      </c>
      <c r="H524" s="20" t="str">
        <f t="shared" si="8"/>
        <v>(nextval('obj_part_id_seq'), (select id from obj_building_v where zip||'|'||street||'|'||name||'|'||volume = '3033|Schulgasse 18|Doppelturnhalle|12800.00'), 'P3', 8, 90, 2012,'Flachdach mit Rasenspielplatz'),</v>
      </c>
    </row>
    <row r="525" spans="1:8" x14ac:dyDescent="0.25">
      <c r="A525" s="9" t="s">
        <v>1453</v>
      </c>
      <c r="B525" s="9" t="s">
        <v>1100</v>
      </c>
      <c r="C525">
        <v>7</v>
      </c>
      <c r="D525">
        <v>85</v>
      </c>
      <c r="E525">
        <v>2012</v>
      </c>
      <c r="F525" s="9" t="s">
        <v>1456</v>
      </c>
      <c r="H525" s="20" t="str">
        <f t="shared" si="8"/>
        <v>(nextval('obj_part_id_seq'), (select id from obj_building_v where zip||'|'||street||'|'||name||'|'||volume = '3033|Schulgasse 18|Doppelturnhalle|12800.00'), 'P4', 7, 85, 2012,'Sichtbetonfass.'),</v>
      </c>
    </row>
    <row r="526" spans="1:8" x14ac:dyDescent="0.25">
      <c r="A526" s="9" t="s">
        <v>1453</v>
      </c>
      <c r="B526" s="9" t="s">
        <v>1102</v>
      </c>
      <c r="C526">
        <v>6</v>
      </c>
      <c r="D526">
        <v>90</v>
      </c>
      <c r="E526">
        <v>2012</v>
      </c>
      <c r="F526" s="9" t="s">
        <v>1457</v>
      </c>
      <c r="H526" s="20" t="str">
        <f t="shared" si="8"/>
        <v>(nextval('obj_part_id_seq'), (select id from obj_building_v where zip||'|'||street||'|'||name||'|'||volume = '3033|Schulgasse 18|Doppelturnhalle|12800.00'), 'P5', 6, 90, 2012,'Holz-/Metallfenster'),</v>
      </c>
    </row>
    <row r="527" spans="1:8" x14ac:dyDescent="0.25">
      <c r="A527" s="9" t="s">
        <v>1453</v>
      </c>
      <c r="B527" s="9" t="s">
        <v>1164</v>
      </c>
      <c r="C527">
        <v>6</v>
      </c>
      <c r="D527">
        <v>80</v>
      </c>
      <c r="E527">
        <v>2012</v>
      </c>
      <c r="F527" s="9" t="s">
        <v>1458</v>
      </c>
      <c r="H527" s="20" t="str">
        <f t="shared" si="8"/>
        <v>(nextval('obj_part_id_seq'), (select id from obj_building_v where zip||'|'||street||'|'||name||'|'||volume = '3033|Schulgasse 18|Doppelturnhalle|12800.00'), 'P50', 6, 80, 2012,'Hallenbeleuchtung, Leuchten im Gang neu, Sicherungen o. FI-Schalter'),</v>
      </c>
    </row>
    <row r="528" spans="1:8" x14ac:dyDescent="0.25">
      <c r="A528" s="9" t="s">
        <v>1453</v>
      </c>
      <c r="B528" s="9" t="s">
        <v>1166</v>
      </c>
      <c r="C528">
        <v>1</v>
      </c>
      <c r="D528">
        <v>90</v>
      </c>
      <c r="E528">
        <v>2012</v>
      </c>
      <c r="F528" s="9" t="s">
        <v>1459</v>
      </c>
      <c r="H528" s="20" t="str">
        <f t="shared" si="8"/>
        <v>(nextval('obj_part_id_seq'), (select id from obj_building_v where zip||'|'||street||'|'||name||'|'||volume = '3033|Schulgasse 18|Doppelturnhalle|12800.00'), 'P51', 1, 90, 2012,'Audioanlage: Ersatz ''15'),</v>
      </c>
    </row>
    <row r="529" spans="1:8" x14ac:dyDescent="0.25">
      <c r="A529" s="9" t="s">
        <v>1453</v>
      </c>
      <c r="B529" s="9" t="s">
        <v>1104</v>
      </c>
      <c r="C529">
        <v>0</v>
      </c>
      <c r="D529" t="s">
        <v>4080</v>
      </c>
      <c r="E529">
        <v>2012</v>
      </c>
      <c r="F529" s="9" t="s">
        <v>1235</v>
      </c>
      <c r="H529" s="20" t="str">
        <f t="shared" si="8"/>
        <v>(nextval('obj_part_id_seq'), (select id from obj_building_v where zip||'|'||street||'|'||name||'|'||volume = '3033|Schulgasse 18|Doppelturnhalle|12800.00'), 'P6', 0, null, 2012,'Fernwärme'),</v>
      </c>
    </row>
    <row r="530" spans="1:8" x14ac:dyDescent="0.25">
      <c r="A530" s="9" t="s">
        <v>1453</v>
      </c>
      <c r="B530" s="9" t="s">
        <v>1106</v>
      </c>
      <c r="C530">
        <v>4</v>
      </c>
      <c r="D530">
        <v>90</v>
      </c>
      <c r="E530">
        <v>2012</v>
      </c>
      <c r="F530" s="9" t="s">
        <v>1460</v>
      </c>
      <c r="H530" s="20" t="str">
        <f t="shared" si="8"/>
        <v>(nextval('obj_part_id_seq'), (select id from obj_building_v where zip||'|'||street||'|'||name||'|'||volume = '3033|Schulgasse 18|Doppelturnhalle|12800.00'), 'P7', 4, 90, 2012,'Lüftungsheizung'),</v>
      </c>
    </row>
    <row r="531" spans="1:8" x14ac:dyDescent="0.25">
      <c r="A531" s="9" t="s">
        <v>1453</v>
      </c>
      <c r="B531" s="9" t="s">
        <v>1108</v>
      </c>
      <c r="C531">
        <v>4</v>
      </c>
      <c r="D531">
        <v>90</v>
      </c>
      <c r="E531">
        <v>2012</v>
      </c>
      <c r="F531" s="9" t="s">
        <v>1461</v>
      </c>
      <c r="H531" s="20" t="str">
        <f t="shared" si="8"/>
        <v>(nextval('obj_part_id_seq'), (select id from obj_building_v where zip||'|'||street||'|'||name||'|'||volume = '3033|Schulgasse 18|Doppelturnhalle|12800.00'), 'P8', 4, 90, 2012,'WC, Duschen'),</v>
      </c>
    </row>
    <row r="532" spans="1:8" x14ac:dyDescent="0.25">
      <c r="A532" s="9" t="s">
        <v>1453</v>
      </c>
      <c r="B532" s="9" t="s">
        <v>1138</v>
      </c>
      <c r="C532">
        <v>11</v>
      </c>
      <c r="D532">
        <v>90</v>
      </c>
      <c r="E532">
        <v>2012</v>
      </c>
      <c r="F532" s="9" t="s">
        <v>1462</v>
      </c>
      <c r="H532" s="20" t="str">
        <f t="shared" si="8"/>
        <v>(nextval('obj_part_id_seq'), (select id from obj_building_v where zip||'|'||street||'|'||name||'|'||volume = '3033|Schulgasse 18|Doppelturnhalle|12800.00'), 'P57', 11, 90, 2012,'Garderobenbänke und -schränke, Innentüren'),</v>
      </c>
    </row>
    <row r="533" spans="1:8" x14ac:dyDescent="0.25">
      <c r="A533" s="9" t="s">
        <v>1453</v>
      </c>
      <c r="B533" s="9" t="s">
        <v>1140</v>
      </c>
      <c r="C533">
        <v>8</v>
      </c>
      <c r="D533">
        <v>90</v>
      </c>
      <c r="E533">
        <v>2012</v>
      </c>
      <c r="F533" s="9" t="s">
        <v>1463</v>
      </c>
      <c r="H533" s="20" t="str">
        <f t="shared" si="8"/>
        <v>(nextval('obj_part_id_seq'), (select id from obj_building_v where zip||'|'||street||'|'||name||'|'||volume = '3033|Schulgasse 18|Doppelturnhalle|12800.00'), 'P58', 8, 90, 2012,'B: Hallenboden (Ersatz ''16), Keramikpl. W: Putz, Keramik D: Täfer, lasiert, Keramikpl. Gallerie neu'),</v>
      </c>
    </row>
    <row r="534" spans="1:8" x14ac:dyDescent="0.25">
      <c r="A534" s="9" t="s">
        <v>1453</v>
      </c>
      <c r="B534" s="9" t="s">
        <v>1142</v>
      </c>
      <c r="C534">
        <v>0</v>
      </c>
      <c r="D534" t="s">
        <v>4080</v>
      </c>
      <c r="E534">
        <v>2012</v>
      </c>
      <c r="F534" s="9"/>
      <c r="H534" s="20" t="str">
        <f t="shared" si="8"/>
        <v>(nextval('obj_part_id_seq'), (select id from obj_building_v where zip||'|'||street||'|'||name||'|'||volume = '3033|Schulgasse 18|Doppelturnhalle|12800.00'), 'P60', 0, null, 2012,null),</v>
      </c>
    </row>
    <row r="535" spans="1:8" x14ac:dyDescent="0.25">
      <c r="A535" s="9" t="s">
        <v>1453</v>
      </c>
      <c r="B535" s="9" t="s">
        <v>1143</v>
      </c>
      <c r="C535">
        <v>1</v>
      </c>
      <c r="D535">
        <v>90</v>
      </c>
      <c r="E535">
        <v>2012</v>
      </c>
      <c r="F535" s="9" t="s">
        <v>1464</v>
      </c>
      <c r="H535" s="20" t="str">
        <f t="shared" si="8"/>
        <v>(nextval('obj_part_id_seq'), (select id from obj_building_v where zip||'|'||street||'|'||name||'|'||volume = '3033|Schulgasse 18|Doppelturnhalle|12800.00'), 'P61', 1, 90, 2012,'Aufzug, Lüftung tw. ersetzt, CO2-Sensor'),</v>
      </c>
    </row>
    <row r="536" spans="1:8" x14ac:dyDescent="0.25">
      <c r="A536" s="9" t="s">
        <v>1453</v>
      </c>
      <c r="B536" s="9" t="s">
        <v>1144</v>
      </c>
      <c r="C536">
        <v>0</v>
      </c>
      <c r="D536" t="s">
        <v>4080</v>
      </c>
      <c r="E536">
        <v>2012</v>
      </c>
      <c r="F536" s="9"/>
      <c r="H536" s="20" t="str">
        <f t="shared" si="8"/>
        <v>(nextval('obj_part_id_seq'), (select id from obj_building_v where zip||'|'||street||'|'||name||'|'||volume = '3033|Schulgasse 18|Doppelturnhalle|12800.00'), 'P62', 0, null, 2012,null),</v>
      </c>
    </row>
    <row r="537" spans="1:8" x14ac:dyDescent="0.25">
      <c r="A537" s="9" t="s">
        <v>1465</v>
      </c>
      <c r="B537" s="9" t="s">
        <v>1095</v>
      </c>
      <c r="C537">
        <v>35</v>
      </c>
      <c r="D537">
        <v>90</v>
      </c>
      <c r="E537">
        <v>2012</v>
      </c>
      <c r="F537" s="9" t="s">
        <v>1466</v>
      </c>
      <c r="H537" s="20" t="str">
        <f t="shared" si="8"/>
        <v>(nextval('obj_part_id_seq'), (select id from obj_building_v where zip||'|'||street||'|'||name||'|'||volume = '3033|Hauptstrasse 22|Aufbahrungsgebäude, Abdankungshalle|875.00'), 'P1', 35, 90, 2012,'Stahlbetonstützen u. -decke gg. UG, Mauerwerk'),</v>
      </c>
    </row>
    <row r="538" spans="1:8" x14ac:dyDescent="0.25">
      <c r="A538" s="9" t="s">
        <v>1465</v>
      </c>
      <c r="B538" s="9" t="s">
        <v>1097</v>
      </c>
      <c r="C538">
        <v>8</v>
      </c>
      <c r="D538">
        <v>80</v>
      </c>
      <c r="E538">
        <v>2012</v>
      </c>
      <c r="F538" s="9" t="s">
        <v>1467</v>
      </c>
      <c r="H538" s="20" t="str">
        <f t="shared" si="8"/>
        <v>(nextval('obj_part_id_seq'), (select id from obj_building_v where zip||'|'||street||'|'||name||'|'||volume = '3033|Hauptstrasse 22|Aufbahrungsgebäude, Abdankungshalle|875.00'), 'P2', 8, 80, 2012,'Eternitschindeldach'),</v>
      </c>
    </row>
    <row r="539" spans="1:8" x14ac:dyDescent="0.25">
      <c r="A539" s="9" t="s">
        <v>1465</v>
      </c>
      <c r="B539" s="9" t="s">
        <v>1099</v>
      </c>
      <c r="C539">
        <v>0</v>
      </c>
      <c r="D539" t="s">
        <v>4080</v>
      </c>
      <c r="E539">
        <v>2012</v>
      </c>
      <c r="F539" s="9"/>
      <c r="H539" s="20" t="str">
        <f t="shared" si="8"/>
        <v>(nextval('obj_part_id_seq'), (select id from obj_building_v where zip||'|'||street||'|'||name||'|'||volume = '3033|Hauptstrasse 22|Aufbahrungsgebäude, Abdankungshalle|875.00'), 'P3', 0, null, 2012,null),</v>
      </c>
    </row>
    <row r="540" spans="1:8" x14ac:dyDescent="0.25">
      <c r="A540" s="9" t="s">
        <v>1465</v>
      </c>
      <c r="B540" s="9" t="s">
        <v>1100</v>
      </c>
      <c r="C540">
        <v>8</v>
      </c>
      <c r="D540">
        <v>90</v>
      </c>
      <c r="E540">
        <v>2012</v>
      </c>
      <c r="F540" s="9" t="s">
        <v>1468</v>
      </c>
      <c r="H540" s="20" t="str">
        <f t="shared" si="8"/>
        <v>(nextval('obj_part_id_seq'), (select id from obj_building_v where zip||'|'||street||'|'||name||'|'||volume = '3033|Hauptstrasse 22|Aufbahrungsgebäude, Abdankungshalle|875.00'), 'P4', 8, 90, 2012,'MW, verputzt, Kunststeingewände, Untersichten tw. beschädigt'),</v>
      </c>
    </row>
    <row r="541" spans="1:8" x14ac:dyDescent="0.25">
      <c r="A541" s="9" t="s">
        <v>1465</v>
      </c>
      <c r="B541" s="9" t="s">
        <v>1102</v>
      </c>
      <c r="C541">
        <v>5</v>
      </c>
      <c r="D541">
        <v>90</v>
      </c>
      <c r="E541">
        <v>2012</v>
      </c>
      <c r="F541" s="9" t="s">
        <v>1469</v>
      </c>
      <c r="H541" s="20" t="str">
        <f t="shared" si="8"/>
        <v>(nextval('obj_part_id_seq'), (select id from obj_building_v where zip||'|'||street||'|'||name||'|'||volume = '3033|Hauptstrasse 22|Aufbahrungsgebäude, Abdankungshalle|875.00'), 'P5', 5, 90, 2012,'Holzfenster gestrichen m. Doppelverglasung, Aussentor im UG'),</v>
      </c>
    </row>
    <row r="542" spans="1:8" x14ac:dyDescent="0.25">
      <c r="A542" s="9" t="s">
        <v>1465</v>
      </c>
      <c r="B542" s="9" t="s">
        <v>1104</v>
      </c>
      <c r="C542">
        <v>1</v>
      </c>
      <c r="D542">
        <v>80</v>
      </c>
      <c r="E542">
        <v>2012</v>
      </c>
      <c r="F542" s="9" t="s">
        <v>1470</v>
      </c>
      <c r="H542" s="20" t="str">
        <f t="shared" si="8"/>
        <v>(nextval('obj_part_id_seq'), (select id from obj_building_v where zip||'|'||street||'|'||name||'|'||volume = '3033|Hauptstrasse 22|Aufbahrungsgebäude, Abdankungshalle|875.00'), 'P6', 1, 80, 2012,'Elektroheizspeicherofen m. Raumfühler'),</v>
      </c>
    </row>
    <row r="543" spans="1:8" x14ac:dyDescent="0.25">
      <c r="A543" s="9" t="s">
        <v>1465</v>
      </c>
      <c r="B543" s="9" t="s">
        <v>1106</v>
      </c>
      <c r="C543">
        <v>1</v>
      </c>
      <c r="D543">
        <v>90</v>
      </c>
      <c r="E543">
        <v>2012</v>
      </c>
      <c r="F543" s="9" t="s">
        <v>1470</v>
      </c>
      <c r="H543" s="20" t="str">
        <f t="shared" si="8"/>
        <v>(nextval('obj_part_id_seq'), (select id from obj_building_v where zip||'|'||street||'|'||name||'|'||volume = '3033|Hauptstrasse 22|Aufbahrungsgebäude, Abdankungshalle|875.00'), 'P7', 1, 90, 2012,'Elektroheizspeicherofen m. Raumfühler'),</v>
      </c>
    </row>
    <row r="544" spans="1:8" x14ac:dyDescent="0.25">
      <c r="A544" s="9" t="s">
        <v>1465</v>
      </c>
      <c r="B544" s="9" t="s">
        <v>1108</v>
      </c>
      <c r="C544">
        <v>6</v>
      </c>
      <c r="D544">
        <v>90</v>
      </c>
      <c r="E544">
        <v>2012</v>
      </c>
      <c r="F544" s="9" t="s">
        <v>1471</v>
      </c>
      <c r="H544" s="20" t="str">
        <f t="shared" si="8"/>
        <v>(nextval('obj_part_id_seq'), (select id from obj_building_v where zip||'|'||street||'|'||name||'|'||volume = '3033|Hauptstrasse 22|Aufbahrungsgebäude, Abdankungshalle|875.00'), 'P8', 6, 90, 2012,'WC, Ausguss, Schacht mit Pumpe für Abwasser wurde nachgerüstet'),</v>
      </c>
    </row>
    <row r="545" spans="1:8" x14ac:dyDescent="0.25">
      <c r="A545" s="9" t="s">
        <v>1465</v>
      </c>
      <c r="B545" s="9" t="s">
        <v>1110</v>
      </c>
      <c r="C545">
        <v>6</v>
      </c>
      <c r="D545">
        <v>80</v>
      </c>
      <c r="E545">
        <v>2012</v>
      </c>
      <c r="F545" s="9" t="s">
        <v>1472</v>
      </c>
      <c r="H545" s="20" t="str">
        <f t="shared" si="8"/>
        <v>(nextval('obj_part_id_seq'), (select id from obj_building_v where zip||'|'||street||'|'||name||'|'||volume = '3033|Hauptstrasse 22|Aufbahrungsgebäude, Abdankungshalle|875.00'), 'P9', 6, 80, 2012,'Aussen- u. Innenbeleuchtung, alte Sicherungen'),</v>
      </c>
    </row>
    <row r="546" spans="1:8" x14ac:dyDescent="0.25">
      <c r="A546" s="9" t="s">
        <v>1465</v>
      </c>
      <c r="B546" s="9" t="s">
        <v>1112</v>
      </c>
      <c r="C546">
        <v>3</v>
      </c>
      <c r="D546">
        <v>80</v>
      </c>
      <c r="E546">
        <v>2012</v>
      </c>
      <c r="F546" s="9" t="s">
        <v>1473</v>
      </c>
      <c r="H546" s="20" t="str">
        <f t="shared" si="8"/>
        <v>(nextval('obj_part_id_seq'), (select id from obj_building_v where zip||'|'||street||'|'||name||'|'||volume = '3033|Hauptstrasse 22|Aufbahrungsgebäude, Abdankungshalle|875.00'), 'P10', 3, 80, 2012,'Kühlgerät'),</v>
      </c>
    </row>
    <row r="547" spans="1:8" x14ac:dyDescent="0.25">
      <c r="A547" s="9" t="s">
        <v>1465</v>
      </c>
      <c r="B547" s="9" t="s">
        <v>1114</v>
      </c>
      <c r="C547">
        <v>27</v>
      </c>
      <c r="D547">
        <v>90</v>
      </c>
      <c r="E547">
        <v>2012</v>
      </c>
      <c r="F547" s="9" t="s">
        <v>1474</v>
      </c>
      <c r="H547" s="20" t="str">
        <f t="shared" si="8"/>
        <v>(nextval('obj_part_id_seq'), (select id from obj_building_v where zip||'|'||street||'|'||name||'|'||volume = '3033|Hauptstrasse 22|Aufbahrungsgebäude, Abdankungshalle|875.00'), 'P11', 27, 90, 2012,'B: Natur-/Kunststeinpl., W: verputzt, D: Täfer'),</v>
      </c>
    </row>
    <row r="548" spans="1:8" x14ac:dyDescent="0.25">
      <c r="A548" s="9" t="s">
        <v>1465</v>
      </c>
      <c r="B548" s="9" t="s">
        <v>1114</v>
      </c>
      <c r="C548">
        <v>0</v>
      </c>
      <c r="D548" t="s">
        <v>4080</v>
      </c>
      <c r="E548">
        <v>2012</v>
      </c>
      <c r="F548" s="9"/>
      <c r="H548" s="20" t="str">
        <f t="shared" si="8"/>
        <v>(nextval('obj_part_id_seq'), (select id from obj_building_v where zip||'|'||street||'|'||name||'|'||volume = '3033|Hauptstrasse 22|Aufbahrungsgebäude, Abdankungshalle|875.00'), 'P11', 0, null, 2012,null),</v>
      </c>
    </row>
    <row r="549" spans="1:8" x14ac:dyDescent="0.25">
      <c r="A549" s="9" t="s">
        <v>1465</v>
      </c>
      <c r="B549" s="9" t="s">
        <v>1116</v>
      </c>
      <c r="C549">
        <v>0</v>
      </c>
      <c r="D549" t="s">
        <v>4080</v>
      </c>
      <c r="E549">
        <v>2012</v>
      </c>
      <c r="F549" s="9"/>
      <c r="H549" s="20" t="str">
        <f t="shared" si="8"/>
        <v>(nextval('obj_part_id_seq'), (select id from obj_building_v where zip||'|'||street||'|'||name||'|'||volume = '3033|Hauptstrasse 22|Aufbahrungsgebäude, Abdankungshalle|875.00'), 'P12', 0, null, 2012,null),</v>
      </c>
    </row>
    <row r="550" spans="1:8" x14ac:dyDescent="0.25">
      <c r="A550" s="9" t="s">
        <v>1475</v>
      </c>
      <c r="B550" s="9" t="s">
        <v>1127</v>
      </c>
      <c r="C550">
        <v>28</v>
      </c>
      <c r="D550">
        <v>90</v>
      </c>
      <c r="E550">
        <v>2012</v>
      </c>
      <c r="F550" s="9" t="s">
        <v>1476</v>
      </c>
      <c r="H550" s="20" t="str">
        <f t="shared" si="8"/>
        <v>(nextval('obj_part_id_seq'), (select id from obj_building_v where zip||'|'||street||'|'||name||'|'||volume = '3033|Hauptstrasse 26|Verwaltungsgebäude (Gemeindehaus)|7236.00'), 'P48', 28, 90, 2012,'Stahlbeton/Mauerwerk&lt;br&gt;Stahlbetonstützen'),</v>
      </c>
    </row>
    <row r="551" spans="1:8" x14ac:dyDescent="0.25">
      <c r="A551" s="9" t="s">
        <v>1475</v>
      </c>
      <c r="B551" s="9" t="s">
        <v>1129</v>
      </c>
      <c r="C551">
        <v>0</v>
      </c>
      <c r="D551" t="s">
        <v>4080</v>
      </c>
      <c r="E551">
        <v>2012</v>
      </c>
      <c r="F551" s="9"/>
      <c r="H551" s="20" t="str">
        <f t="shared" si="8"/>
        <v>(nextval('obj_part_id_seq'), (select id from obj_building_v where zip||'|'||street||'|'||name||'|'||volume = '3033|Hauptstrasse 26|Verwaltungsgebäude (Gemeindehaus)|7236.00'), 'P49', 0, null, 2012,null),</v>
      </c>
    </row>
    <row r="552" spans="1:8" x14ac:dyDescent="0.25">
      <c r="A552" s="9" t="s">
        <v>1475</v>
      </c>
      <c r="B552" s="9" t="s">
        <v>1097</v>
      </c>
      <c r="C552">
        <v>5</v>
      </c>
      <c r="D552">
        <v>90</v>
      </c>
      <c r="E552">
        <v>2012</v>
      </c>
      <c r="F552" s="9" t="s">
        <v>1477</v>
      </c>
      <c r="H552" s="20" t="str">
        <f t="shared" si="8"/>
        <v>(nextval('obj_part_id_seq'), (select id from obj_building_v where zip||'|'||street||'|'||name||'|'||volume = '3033|Hauptstrasse 26|Verwaltungsgebäude (Gemeindehaus)|7236.00'), 'P2', 5, 90, 2012,'Kaltdach, hinterlüftet'),</v>
      </c>
    </row>
    <row r="553" spans="1:8" x14ac:dyDescent="0.25">
      <c r="A553" s="9" t="s">
        <v>1475</v>
      </c>
      <c r="B553" s="9" t="s">
        <v>1099</v>
      </c>
      <c r="C553">
        <v>5</v>
      </c>
      <c r="D553">
        <v>90</v>
      </c>
      <c r="E553">
        <v>2012</v>
      </c>
      <c r="F553" s="9" t="s">
        <v>1478</v>
      </c>
      <c r="H553" s="20" t="str">
        <f t="shared" si="8"/>
        <v>(nextval('obj_part_id_seq'), (select id from obj_building_v where zip||'|'||street||'|'||name||'|'||volume = '3033|Hauptstrasse 26|Verwaltungsgebäude (Gemeindehaus)|7236.00'), 'P3', 5, 90, 2012,'ext. begrünt m. Oblicht'),</v>
      </c>
    </row>
    <row r="554" spans="1:8" x14ac:dyDescent="0.25">
      <c r="A554" s="9" t="s">
        <v>1475</v>
      </c>
      <c r="B554" s="9" t="s">
        <v>1100</v>
      </c>
      <c r="C554">
        <v>8</v>
      </c>
      <c r="D554">
        <v>90</v>
      </c>
      <c r="E554">
        <v>2012</v>
      </c>
      <c r="F554" s="9" t="s">
        <v>1479</v>
      </c>
      <c r="H554" s="20" t="str">
        <f t="shared" si="8"/>
        <v>(nextval('obj_part_id_seq'), (select id from obj_building_v where zip||'|'||street||'|'||name||'|'||volume = '3033|Hauptstrasse 26|Verwaltungsgebäude (Gemeindehaus)|7236.00'), 'P4', 8, 90, 2012,'Verbundglas, hinterlüftet, Metallbl. hinterl., Zweisch.mauerw.'),</v>
      </c>
    </row>
    <row r="555" spans="1:8" x14ac:dyDescent="0.25">
      <c r="A555" s="9" t="s">
        <v>1475</v>
      </c>
      <c r="B555" s="9" t="s">
        <v>1102</v>
      </c>
      <c r="C555">
        <v>14</v>
      </c>
      <c r="D555">
        <v>80</v>
      </c>
      <c r="E555">
        <v>2012</v>
      </c>
      <c r="F555" s="9" t="s">
        <v>1480</v>
      </c>
      <c r="H555" s="20" t="str">
        <f t="shared" si="8"/>
        <v>(nextval('obj_part_id_seq'), (select id from obj_building_v where zip||'|'||street||'|'||name||'|'||volume = '3033|Hauptstrasse 26|Verwaltungsgebäude (Gemeindehaus)|7236.00'), 'P5', 14, 80, 2012,'Holz-/Metallf., 3-fach vergl., Verbundgl., IV, Rafflamellenstoren, im alten Teil z. T. verzogene Rahmen (Gewicht)'),</v>
      </c>
    </row>
    <row r="556" spans="1:8" x14ac:dyDescent="0.25">
      <c r="A556" s="9" t="s">
        <v>1475</v>
      </c>
      <c r="B556" s="9" t="s">
        <v>1164</v>
      </c>
      <c r="C556">
        <v>6</v>
      </c>
      <c r="D556">
        <v>90</v>
      </c>
      <c r="E556">
        <v>2012</v>
      </c>
      <c r="F556" s="9"/>
      <c r="H556" s="20" t="str">
        <f t="shared" si="8"/>
        <v>(nextval('obj_part_id_seq'), (select id from obj_building_v where zip||'|'||street||'|'||name||'|'||volume = '3033|Hauptstrasse 26|Verwaltungsgebäude (Gemeindehaus)|7236.00'), 'P50', 6, 90, 2012,null),</v>
      </c>
    </row>
    <row r="557" spans="1:8" x14ac:dyDescent="0.25">
      <c r="A557" s="9" t="s">
        <v>1475</v>
      </c>
      <c r="B557" s="9" t="s">
        <v>1166</v>
      </c>
      <c r="C557">
        <v>2</v>
      </c>
      <c r="D557">
        <v>80</v>
      </c>
      <c r="E557">
        <v>2012</v>
      </c>
      <c r="F557" s="9" t="s">
        <v>1481</v>
      </c>
      <c r="H557" s="20" t="str">
        <f t="shared" si="8"/>
        <v>(nextval('obj_part_id_seq'), (select id from obj_building_v where zip||'|'||street||'|'||name||'|'||volume = '3033|Hauptstrasse 26|Verwaltungsgebäude (Gemeindehaus)|7236.00'), 'P51', 2, 80, 2012,'Gegensprechanlagen, Türschliesssystem, Telefonzentrale, EDV, Induktions-Audioanlage'),</v>
      </c>
    </row>
    <row r="558" spans="1:8" x14ac:dyDescent="0.25">
      <c r="A558" s="9" t="s">
        <v>1475</v>
      </c>
      <c r="B558" s="9" t="s">
        <v>1104</v>
      </c>
      <c r="C558">
        <v>1</v>
      </c>
      <c r="D558">
        <v>80</v>
      </c>
      <c r="E558">
        <v>2012</v>
      </c>
      <c r="F558" s="9" t="s">
        <v>1482</v>
      </c>
      <c r="H558" s="20" t="str">
        <f t="shared" si="8"/>
        <v>(nextval('obj_part_id_seq'), (select id from obj_building_v where zip||'|'||street||'|'||name||'|'||volume = '3033|Hauptstrasse 26|Verwaltungsgebäude (Gemeindehaus)|7236.00'), 'P6', 1, 80, 2012,'Pelletheizung'),</v>
      </c>
    </row>
    <row r="559" spans="1:8" x14ac:dyDescent="0.25">
      <c r="A559" s="9" t="s">
        <v>1475</v>
      </c>
      <c r="B559" s="9" t="s">
        <v>1106</v>
      </c>
      <c r="C559">
        <v>3</v>
      </c>
      <c r="D559">
        <v>85</v>
      </c>
      <c r="E559">
        <v>2012</v>
      </c>
      <c r="F559" s="9" t="s">
        <v>1483</v>
      </c>
      <c r="H559" s="20" t="str">
        <f t="shared" si="8"/>
        <v>(nextval('obj_part_id_seq'), (select id from obj_building_v where zip||'|'||street||'|'||name||'|'||volume = '3033|Hauptstrasse 26|Verwaltungsgebäude (Gemeindehaus)|7236.00'), 'P7', 3, 85, 2012,'Bodenheizung im EG, Radiatoren m. Thermostaten'),</v>
      </c>
    </row>
    <row r="560" spans="1:8" x14ac:dyDescent="0.25">
      <c r="A560" s="9" t="s">
        <v>1475</v>
      </c>
      <c r="B560" s="9" t="s">
        <v>1108</v>
      </c>
      <c r="C560">
        <v>4</v>
      </c>
      <c r="D560">
        <v>85</v>
      </c>
      <c r="E560">
        <v>2012</v>
      </c>
      <c r="F560" s="9"/>
      <c r="H560" s="20" t="str">
        <f t="shared" si="8"/>
        <v>(nextval('obj_part_id_seq'), (select id from obj_building_v where zip||'|'||street||'|'||name||'|'||volume = '3033|Hauptstrasse 26|Verwaltungsgebäude (Gemeindehaus)|7236.00'), 'P8', 4, 85, 2012,null),</v>
      </c>
    </row>
    <row r="561" spans="1:8" x14ac:dyDescent="0.25">
      <c r="A561" s="9" t="s">
        <v>1475</v>
      </c>
      <c r="B561" s="9" t="s">
        <v>1155</v>
      </c>
      <c r="C561">
        <v>2</v>
      </c>
      <c r="D561">
        <v>90</v>
      </c>
      <c r="E561">
        <v>2012</v>
      </c>
      <c r="F561" s="9" t="s">
        <v>1484</v>
      </c>
      <c r="H561" s="20" t="str">
        <f t="shared" si="8"/>
        <v>(nextval('obj_part_id_seq'), (select id from obj_building_v where zip||'|'||street||'|'||name||'|'||volume = '3033|Hauptstrasse 26|Verwaltungsgebäude (Gemeindehaus)|7236.00'), 'P56', 2, 90, 2012,'Aufzug ''07'),</v>
      </c>
    </row>
    <row r="562" spans="1:8" x14ac:dyDescent="0.25">
      <c r="A562" s="9" t="s">
        <v>1475</v>
      </c>
      <c r="B562" s="9" t="s">
        <v>1138</v>
      </c>
      <c r="C562">
        <v>14</v>
      </c>
      <c r="D562">
        <v>90</v>
      </c>
      <c r="E562">
        <v>2012</v>
      </c>
      <c r="F562" s="9" t="s">
        <v>1485</v>
      </c>
      <c r="H562" s="20" t="str">
        <f t="shared" si="8"/>
        <v>(nextval('obj_part_id_seq'), (select id from obj_building_v where zip||'|'||street||'|'||name||'|'||volume = '3033|Hauptstrasse 26|Verwaltungsgebäude (Gemeindehaus)|7236.00'), 'P57', 14, 90, 2012,'Schalterhalle, Schalterwände aus Holz u. Glas, Glastrennwände, Innentüren, Metalltreppe im DG,'),</v>
      </c>
    </row>
    <row r="563" spans="1:8" x14ac:dyDescent="0.25">
      <c r="A563" s="9" t="s">
        <v>1475</v>
      </c>
      <c r="B563" s="9" t="s">
        <v>1140</v>
      </c>
      <c r="C563">
        <v>7</v>
      </c>
      <c r="D563">
        <v>85</v>
      </c>
      <c r="E563">
        <v>2012</v>
      </c>
      <c r="F563" s="9" t="s">
        <v>1486</v>
      </c>
      <c r="H563" s="20" t="str">
        <f t="shared" si="8"/>
        <v>(nextval('obj_part_id_seq'), (select id from obj_building_v where zip||'|'||street||'|'||name||'|'||volume = '3033|Hauptstrasse 26|Verwaltungsgebäude (Gemeindehaus)|7236.00'), 'P58', 7, 85, 2012,'B: Kunststein, Parkett, Keramik, Linol (OG)&lt;br&gt;W: Putz, Keramikpl.&lt;br&gt;D: Putz, gestr./Beton, gestr./Akustikputz, eingef., tw. heruntergeh. Gipsdecke (Caféteria)'),</v>
      </c>
    </row>
    <row r="564" spans="1:8" x14ac:dyDescent="0.25">
      <c r="A564" s="9" t="s">
        <v>1475</v>
      </c>
      <c r="B564" s="9" t="s">
        <v>1142</v>
      </c>
      <c r="C564">
        <v>0</v>
      </c>
      <c r="D564" t="s">
        <v>4080</v>
      </c>
      <c r="E564">
        <v>2012</v>
      </c>
      <c r="F564" s="9"/>
      <c r="H564" s="20" t="str">
        <f t="shared" si="8"/>
        <v>(nextval('obj_part_id_seq'), (select id from obj_building_v where zip||'|'||street||'|'||name||'|'||volume = '3033|Hauptstrasse 26|Verwaltungsgebäude (Gemeindehaus)|7236.00'), 'P60', 0, null, 2012,null),</v>
      </c>
    </row>
    <row r="565" spans="1:8" x14ac:dyDescent="0.25">
      <c r="A565" s="9" t="s">
        <v>1475</v>
      </c>
      <c r="B565" s="9" t="s">
        <v>1143</v>
      </c>
      <c r="C565">
        <v>1</v>
      </c>
      <c r="D565">
        <v>90</v>
      </c>
      <c r="E565">
        <v>2012</v>
      </c>
      <c r="F565" s="9" t="s">
        <v>1487</v>
      </c>
      <c r="H565" s="20" t="str">
        <f t="shared" si="8"/>
        <v>(nextval('obj_part_id_seq'), (select id from obj_building_v where zip||'|'||street||'|'||name||'|'||volume = '3033|Hauptstrasse 26|Verwaltungsgebäude (Gemeindehaus)|7236.00'), 'P61', 1, 90, 2012,'Lüftungsanlage sep. f. R., Sitzungszimmer, Cafeteria und Archiv, Pergola'),</v>
      </c>
    </row>
    <row r="566" spans="1:8" x14ac:dyDescent="0.25">
      <c r="A566" s="9" t="s">
        <v>1475</v>
      </c>
      <c r="B566" s="9" t="s">
        <v>1144</v>
      </c>
      <c r="C566">
        <v>0</v>
      </c>
      <c r="D566" t="s">
        <v>4080</v>
      </c>
      <c r="E566">
        <v>2012</v>
      </c>
      <c r="F566" s="9"/>
      <c r="H566" s="20" t="str">
        <f t="shared" si="8"/>
        <v>(nextval('obj_part_id_seq'), (select id from obj_building_v where zip||'|'||street||'|'||name||'|'||volume = '3033|Hauptstrasse 26|Verwaltungsgebäude (Gemeindehaus)|7236.00'), 'P62', 0, null, 2012,null),</v>
      </c>
    </row>
    <row r="567" spans="1:8" x14ac:dyDescent="0.25">
      <c r="A567" s="9" t="s">
        <v>1488</v>
      </c>
      <c r="B567" s="9" t="s">
        <v>1095</v>
      </c>
      <c r="C567">
        <v>35</v>
      </c>
      <c r="D567">
        <v>90</v>
      </c>
      <c r="E567">
        <v>2012</v>
      </c>
      <c r="F567" s="9" t="s">
        <v>1489</v>
      </c>
      <c r="H567" s="20" t="str">
        <f t="shared" si="8"/>
        <v>(nextval('obj_part_id_seq'), (select id from obj_building_v where zip||'|'||street||'|'||name||'|'||volume = '3034|Schützenweg 50|Schützenhaus|809.00'), 'P1', 35, 90, 2012,'Holzständerbau, Stahlbeton im UG'),</v>
      </c>
    </row>
    <row r="568" spans="1:8" x14ac:dyDescent="0.25">
      <c r="A568" s="9" t="s">
        <v>1488</v>
      </c>
      <c r="B568" s="9" t="s">
        <v>1097</v>
      </c>
      <c r="C568">
        <v>8</v>
      </c>
      <c r="D568">
        <v>90</v>
      </c>
      <c r="E568">
        <v>2012</v>
      </c>
      <c r="F568" s="9" t="s">
        <v>1490</v>
      </c>
      <c r="H568" s="20" t="str">
        <f t="shared" si="8"/>
        <v>(nextval('obj_part_id_seq'), (select id from obj_building_v where zip||'|'||street||'|'||name||'|'||volume = '3034|Schützenweg 50|Schützenhaus|809.00'), 'P2', 8, 90, 2012,'Falzziegeldach'),</v>
      </c>
    </row>
    <row r="569" spans="1:8" x14ac:dyDescent="0.25">
      <c r="A569" s="9" t="s">
        <v>1488</v>
      </c>
      <c r="B569" s="9" t="s">
        <v>1099</v>
      </c>
      <c r="C569">
        <v>0</v>
      </c>
      <c r="D569" t="s">
        <v>4080</v>
      </c>
      <c r="E569">
        <v>2012</v>
      </c>
      <c r="F569" s="9"/>
      <c r="H569" s="20" t="str">
        <f t="shared" si="8"/>
        <v>(nextval('obj_part_id_seq'), (select id from obj_building_v where zip||'|'||street||'|'||name||'|'||volume = '3034|Schützenweg 50|Schützenhaus|809.00'), 'P3', 0, null, 2012,null),</v>
      </c>
    </row>
    <row r="570" spans="1:8" x14ac:dyDescent="0.25">
      <c r="A570" s="9" t="s">
        <v>1488</v>
      </c>
      <c r="B570" s="9" t="s">
        <v>1100</v>
      </c>
      <c r="C570">
        <v>8</v>
      </c>
      <c r="D570">
        <v>80</v>
      </c>
      <c r="E570">
        <v>2012</v>
      </c>
      <c r="F570" s="9" t="s">
        <v>1491</v>
      </c>
      <c r="H570" s="20" t="str">
        <f t="shared" si="8"/>
        <v>(nextval('obj_part_id_seq'), (select id from obj_building_v where zip||'|'||street||'|'||name||'|'||volume = '3034|Schützenweg 50|Schützenhaus|809.00'), 'P4', 8, 80, 2012,'Holzplatten, hinterlüftet'),</v>
      </c>
    </row>
    <row r="571" spans="1:8" x14ac:dyDescent="0.25">
      <c r="A571" s="9" t="s">
        <v>1488</v>
      </c>
      <c r="B571" s="9" t="s">
        <v>1102</v>
      </c>
      <c r="C571">
        <v>6</v>
      </c>
      <c r="D571">
        <v>80</v>
      </c>
      <c r="E571">
        <v>2012</v>
      </c>
      <c r="F571" s="9" t="s">
        <v>1492</v>
      </c>
      <c r="H571" s="20" t="str">
        <f t="shared" si="8"/>
        <v>(nextval('obj_part_id_seq'), (select id from obj_building_v where zip||'|'||street||'|'||name||'|'||volume = '3034|Schützenweg 50|Schützenhaus|809.00'), 'P5', 6, 80, 2012,'Holzfenster m. IV, Holzschiebeladen und Markise, im UG: Metall-Rollläden'),</v>
      </c>
    </row>
    <row r="572" spans="1:8" x14ac:dyDescent="0.25">
      <c r="A572" s="9" t="s">
        <v>1488</v>
      </c>
      <c r="B572" s="9" t="s">
        <v>1104</v>
      </c>
      <c r="C572">
        <v>1</v>
      </c>
      <c r="D572">
        <v>80</v>
      </c>
      <c r="E572">
        <v>2012</v>
      </c>
      <c r="F572" s="9" t="s">
        <v>1493</v>
      </c>
      <c r="H572" s="20" t="str">
        <f t="shared" si="8"/>
        <v>(nextval('obj_part_id_seq'), (select id from obj_building_v where zip||'|'||street||'|'||name||'|'||volume = '3034|Schützenweg 50|Schützenhaus|809.00'), 'P6', 1, 80, 2012,'Schwedenofen und Elektroofen im WC'),</v>
      </c>
    </row>
    <row r="573" spans="1:8" x14ac:dyDescent="0.25">
      <c r="A573" s="9" t="s">
        <v>1488</v>
      </c>
      <c r="B573" s="9" t="s">
        <v>1106</v>
      </c>
      <c r="C573">
        <v>0</v>
      </c>
      <c r="D573" t="s">
        <v>4080</v>
      </c>
      <c r="E573">
        <v>2012</v>
      </c>
      <c r="F573" s="9"/>
      <c r="H573" s="20" t="str">
        <f t="shared" si="8"/>
        <v>(nextval('obj_part_id_seq'), (select id from obj_building_v where zip||'|'||street||'|'||name||'|'||volume = '3034|Schützenweg 50|Schützenhaus|809.00'), 'P7', 0, null, 2012,null),</v>
      </c>
    </row>
    <row r="574" spans="1:8" x14ac:dyDescent="0.25">
      <c r="A574" s="9" t="s">
        <v>1488</v>
      </c>
      <c r="B574" s="9" t="s">
        <v>1108</v>
      </c>
      <c r="C574">
        <v>6</v>
      </c>
      <c r="D574">
        <v>85</v>
      </c>
      <c r="E574">
        <v>2012</v>
      </c>
      <c r="F574" s="9" t="s">
        <v>1494</v>
      </c>
      <c r="H574" s="20" t="str">
        <f t="shared" si="8"/>
        <v>(nextval('obj_part_id_seq'), (select id from obj_building_v where zip||'|'||street||'|'||name||'|'||volume = '3034|Schützenweg 50|Schützenhaus|809.00'), 'P8', 6, 85, 2012,'WC'),</v>
      </c>
    </row>
    <row r="575" spans="1:8" x14ac:dyDescent="0.25">
      <c r="A575" s="9" t="s">
        <v>1488</v>
      </c>
      <c r="B575" s="9" t="s">
        <v>1110</v>
      </c>
      <c r="C575">
        <v>6</v>
      </c>
      <c r="D575">
        <v>85</v>
      </c>
      <c r="E575">
        <v>2012</v>
      </c>
      <c r="F575" s="9" t="s">
        <v>1495</v>
      </c>
      <c r="H575" s="20" t="str">
        <f t="shared" si="8"/>
        <v>(nextval('obj_part_id_seq'), (select id from obj_building_v where zip||'|'||street||'|'||name||'|'||volume = '3034|Schützenweg 50|Schützenhaus|809.00'), 'P9', 6, 85, 2012,'Stark-/Schwachstrom, Elektr. Trefferanzeige, Beleuchtung im UG, Sicherung mit FI-Schutzschalter'),</v>
      </c>
    </row>
    <row r="576" spans="1:8" x14ac:dyDescent="0.25">
      <c r="A576" s="9" t="s">
        <v>1488</v>
      </c>
      <c r="B576" s="9" t="s">
        <v>1112</v>
      </c>
      <c r="C576">
        <v>3</v>
      </c>
      <c r="D576">
        <v>80</v>
      </c>
      <c r="E576">
        <v>2012</v>
      </c>
      <c r="F576" s="9" t="s">
        <v>1496</v>
      </c>
      <c r="H576" s="20" t="str">
        <f t="shared" si="8"/>
        <v>(nextval('obj_part_id_seq'), (select id from obj_building_v where zip||'|'||street||'|'||name||'|'||volume = '3034|Schützenweg 50|Schützenhaus|809.00'), 'P10', 3, 80, 2012,'Küche'),</v>
      </c>
    </row>
    <row r="577" spans="1:8" x14ac:dyDescent="0.25">
      <c r="A577" s="9" t="s">
        <v>1488</v>
      </c>
      <c r="B577" s="9" t="s">
        <v>1114</v>
      </c>
      <c r="C577">
        <v>14</v>
      </c>
      <c r="D577">
        <v>90</v>
      </c>
      <c r="E577">
        <v>2012</v>
      </c>
      <c r="F577" s="9" t="s">
        <v>1497</v>
      </c>
      <c r="H577" s="20" t="str">
        <f t="shared" si="8"/>
        <v>(nextval('obj_part_id_seq'), (select id from obj_building_v where zip||'|'||street||'|'||name||'|'||volume = '3034|Schützenweg 50|Schützenhaus|809.00'), 'P11', 14, 90, 2012,'Innere Verglasungen, Innenwände aus Holz, Einbauschränke, Garderobe'),</v>
      </c>
    </row>
    <row r="578" spans="1:8" x14ac:dyDescent="0.25">
      <c r="A578" s="9" t="s">
        <v>1488</v>
      </c>
      <c r="B578" s="9" t="s">
        <v>1114</v>
      </c>
      <c r="C578">
        <v>13</v>
      </c>
      <c r="D578">
        <v>90</v>
      </c>
      <c r="E578">
        <v>2012</v>
      </c>
      <c r="F578" s="9" t="s">
        <v>1498</v>
      </c>
      <c r="H578" s="20" t="str">
        <f t="shared" si="8"/>
        <v>(nextval('obj_part_id_seq'), (select id from obj_building_v where zip||'|'||street||'|'||name||'|'||volume = '3034|Schützenweg 50|Schützenhaus|809.00'), 'P11', 13, 90, 2012,'B: Keramikpl., UG: Gummischrotbelag&lt;br&gt;W: Spanplatten, natur, Täfer (Fass.wände), Putz, UG: Akutikverkl.&lt;br&gt;D: Bretterb., unisol., UG: Akustikverkl.'),</v>
      </c>
    </row>
    <row r="579" spans="1:8" x14ac:dyDescent="0.25">
      <c r="A579" s="9" t="s">
        <v>1488</v>
      </c>
      <c r="B579" s="9" t="s">
        <v>1116</v>
      </c>
      <c r="C579">
        <v>0</v>
      </c>
      <c r="D579" t="s">
        <v>4080</v>
      </c>
      <c r="E579">
        <v>2012</v>
      </c>
      <c r="F579" s="9"/>
      <c r="H579" s="20" t="str">
        <f t="shared" si="8"/>
        <v>(nextval('obj_part_id_seq'), (select id from obj_building_v where zip||'|'||street||'|'||name||'|'||volume = '3034|Schützenweg 50|Schützenhaus|809.00'), 'P12', 0, null, 2012,null),</v>
      </c>
    </row>
    <row r="580" spans="1:8" x14ac:dyDescent="0.25">
      <c r="A580" s="9" t="s">
        <v>1499</v>
      </c>
      <c r="B580" s="9" t="s">
        <v>1127</v>
      </c>
      <c r="C580">
        <v>67</v>
      </c>
      <c r="D580">
        <v>90</v>
      </c>
      <c r="E580">
        <v>2012</v>
      </c>
      <c r="F580" s="9" t="s">
        <v>1500</v>
      </c>
      <c r="H580" s="20" t="str">
        <f t="shared" si="8"/>
        <v>(nextval('obj_part_id_seq'), (select id from obj_building_v where zip||'|'||street||'|'||name||'|'||volume = '3043|Schülerweg 13|Velounterstand|360.00'), 'P48', 67, 90, 2012,'Stahlkonstruktion'),</v>
      </c>
    </row>
    <row r="581" spans="1:8" x14ac:dyDescent="0.25">
      <c r="A581" s="9" t="s">
        <v>1499</v>
      </c>
      <c r="B581" s="9" t="s">
        <v>1129</v>
      </c>
      <c r="C581">
        <v>0</v>
      </c>
      <c r="D581" t="s">
        <v>4080</v>
      </c>
      <c r="E581">
        <v>2012</v>
      </c>
      <c r="F581" s="9"/>
      <c r="H581" s="20" t="str">
        <f t="shared" ref="H581:H644" si="9">"(nextval('obj_part_id_seq'), (select id from obj_building_v where zip||'|'||street||'|'||name||'|'||volume = '"&amp;A581&amp;"'), '"&amp;B581&amp;"', "&amp;C581&amp;", "&amp;D581&amp;", "&amp;IF(ISBLANK(E581),"null",E581)&amp;","&amp;IF(ISBLANK(F581),"null","'"&amp;F581&amp;"'")&amp;"),"</f>
        <v>(nextval('obj_part_id_seq'), (select id from obj_building_v where zip||'|'||street||'|'||name||'|'||volume = '3043|Schülerweg 13|Velounterstand|360.00'), 'P49', 0, null, 2012,null),</v>
      </c>
    </row>
    <row r="582" spans="1:8" x14ac:dyDescent="0.25">
      <c r="A582" s="9" t="s">
        <v>1499</v>
      </c>
      <c r="B582" s="9" t="s">
        <v>1097</v>
      </c>
      <c r="C582">
        <v>25</v>
      </c>
      <c r="D582">
        <v>90</v>
      </c>
      <c r="E582">
        <v>2012</v>
      </c>
      <c r="F582" s="9" t="s">
        <v>1501</v>
      </c>
      <c r="H582" s="20" t="str">
        <f t="shared" si="9"/>
        <v>(nextval('obj_part_id_seq'), (select id from obj_building_v where zip||'|'||street||'|'||name||'|'||volume = '3043|Schülerweg 13|Velounterstand|360.00'), 'P2', 25, 90, 2012,'Glas/Metall*'),</v>
      </c>
    </row>
    <row r="583" spans="1:8" x14ac:dyDescent="0.25">
      <c r="A583" s="9" t="s">
        <v>1499</v>
      </c>
      <c r="B583" s="9" t="s">
        <v>1099</v>
      </c>
      <c r="C583">
        <v>0</v>
      </c>
      <c r="D583" t="s">
        <v>4080</v>
      </c>
      <c r="E583">
        <v>2012</v>
      </c>
      <c r="F583" s="9"/>
      <c r="H583" s="20" t="str">
        <f t="shared" si="9"/>
        <v>(nextval('obj_part_id_seq'), (select id from obj_building_v where zip||'|'||street||'|'||name||'|'||volume = '3043|Schülerweg 13|Velounterstand|360.00'), 'P3', 0, null, 2012,null),</v>
      </c>
    </row>
    <row r="584" spans="1:8" x14ac:dyDescent="0.25">
      <c r="A584" s="9" t="s">
        <v>1499</v>
      </c>
      <c r="B584" s="9" t="s">
        <v>1100</v>
      </c>
      <c r="C584">
        <v>0</v>
      </c>
      <c r="D584" t="s">
        <v>4080</v>
      </c>
      <c r="E584">
        <v>2012</v>
      </c>
      <c r="F584" s="9"/>
      <c r="H584" s="20" t="str">
        <f t="shared" si="9"/>
        <v>(nextval('obj_part_id_seq'), (select id from obj_building_v where zip||'|'||street||'|'||name||'|'||volume = '3043|Schülerweg 13|Velounterstand|360.00'), 'P4', 0, null, 2012,null),</v>
      </c>
    </row>
    <row r="585" spans="1:8" x14ac:dyDescent="0.25">
      <c r="A585" s="9" t="s">
        <v>1499</v>
      </c>
      <c r="B585" s="9" t="s">
        <v>1102</v>
      </c>
      <c r="C585">
        <v>0</v>
      </c>
      <c r="D585" t="s">
        <v>4080</v>
      </c>
      <c r="E585">
        <v>2012</v>
      </c>
      <c r="F585" s="9"/>
      <c r="H585" s="20" t="str">
        <f t="shared" si="9"/>
        <v>(nextval('obj_part_id_seq'), (select id from obj_building_v where zip||'|'||street||'|'||name||'|'||volume = '3043|Schülerweg 13|Velounterstand|360.00'), 'P5', 0, null, 2012,null),</v>
      </c>
    </row>
    <row r="586" spans="1:8" x14ac:dyDescent="0.25">
      <c r="A586" s="9" t="s">
        <v>1499</v>
      </c>
      <c r="B586" s="9" t="s">
        <v>1164</v>
      </c>
      <c r="C586">
        <v>4</v>
      </c>
      <c r="D586">
        <v>90</v>
      </c>
      <c r="E586">
        <v>2012</v>
      </c>
      <c r="F586" s="9" t="s">
        <v>1295</v>
      </c>
      <c r="H586" s="20" t="str">
        <f t="shared" si="9"/>
        <v>(nextval('obj_part_id_seq'), (select id from obj_building_v where zip||'|'||street||'|'||name||'|'||volume = '3043|Schülerweg 13|Velounterstand|360.00'), 'P50', 4, 90, 2012,'Beleuchtung'),</v>
      </c>
    </row>
    <row r="587" spans="1:8" x14ac:dyDescent="0.25">
      <c r="A587" s="9" t="s">
        <v>1499</v>
      </c>
      <c r="B587" s="9" t="s">
        <v>1166</v>
      </c>
      <c r="C587">
        <v>0</v>
      </c>
      <c r="D587" t="s">
        <v>4080</v>
      </c>
      <c r="E587">
        <v>2012</v>
      </c>
      <c r="F587" s="9"/>
      <c r="H587" s="20" t="str">
        <f t="shared" si="9"/>
        <v>(nextval('obj_part_id_seq'), (select id from obj_building_v where zip||'|'||street||'|'||name||'|'||volume = '3043|Schülerweg 13|Velounterstand|360.00'), 'P51', 0, null, 2012,null),</v>
      </c>
    </row>
    <row r="588" spans="1:8" x14ac:dyDescent="0.25">
      <c r="A588" s="9" t="s">
        <v>1499</v>
      </c>
      <c r="B588" s="9" t="s">
        <v>1104</v>
      </c>
      <c r="C588">
        <v>0</v>
      </c>
      <c r="D588" t="s">
        <v>4080</v>
      </c>
      <c r="E588">
        <v>2012</v>
      </c>
      <c r="F588" s="9"/>
      <c r="H588" s="20" t="str">
        <f t="shared" si="9"/>
        <v>(nextval('obj_part_id_seq'), (select id from obj_building_v where zip||'|'||street||'|'||name||'|'||volume = '3043|Schülerweg 13|Velounterstand|360.00'), 'P6', 0, null, 2012,null),</v>
      </c>
    </row>
    <row r="589" spans="1:8" x14ac:dyDescent="0.25">
      <c r="A589" s="9" t="s">
        <v>1499</v>
      </c>
      <c r="B589" s="9" t="s">
        <v>1106</v>
      </c>
      <c r="C589">
        <v>0</v>
      </c>
      <c r="D589" t="s">
        <v>4080</v>
      </c>
      <c r="E589">
        <v>2012</v>
      </c>
      <c r="F589" s="9"/>
      <c r="H589" s="20" t="str">
        <f t="shared" si="9"/>
        <v>(nextval('obj_part_id_seq'), (select id from obj_building_v where zip||'|'||street||'|'||name||'|'||volume = '3043|Schülerweg 13|Velounterstand|360.00'), 'P7', 0, null, 2012,null),</v>
      </c>
    </row>
    <row r="590" spans="1:8" x14ac:dyDescent="0.25">
      <c r="A590" s="9" t="s">
        <v>1499</v>
      </c>
      <c r="B590" s="9" t="s">
        <v>1108</v>
      </c>
      <c r="C590">
        <v>4</v>
      </c>
      <c r="D590">
        <v>90</v>
      </c>
      <c r="E590">
        <v>2012</v>
      </c>
      <c r="F590" s="9" t="s">
        <v>1502</v>
      </c>
      <c r="H590" s="20" t="str">
        <f t="shared" si="9"/>
        <v>(nextval('obj_part_id_seq'), (select id from obj_building_v where zip||'|'||street||'|'||name||'|'||volume = '3043|Schülerweg 13|Velounterstand|360.00'), 'P8', 4, 90, 2012,'Dachwasserablauf'),</v>
      </c>
    </row>
    <row r="591" spans="1:8" x14ac:dyDescent="0.25">
      <c r="A591" s="9" t="s">
        <v>1499</v>
      </c>
      <c r="B591" s="9" t="s">
        <v>1138</v>
      </c>
      <c r="C591">
        <v>0</v>
      </c>
      <c r="D591" t="s">
        <v>4080</v>
      </c>
      <c r="E591">
        <v>2012</v>
      </c>
      <c r="F591" s="9"/>
      <c r="H591" s="20" t="str">
        <f t="shared" si="9"/>
        <v>(nextval('obj_part_id_seq'), (select id from obj_building_v where zip||'|'||street||'|'||name||'|'||volume = '3043|Schülerweg 13|Velounterstand|360.00'), 'P57', 0, null, 2012,null),</v>
      </c>
    </row>
    <row r="592" spans="1:8" x14ac:dyDescent="0.25">
      <c r="A592" s="9" t="s">
        <v>1499</v>
      </c>
      <c r="B592" s="9" t="s">
        <v>1140</v>
      </c>
      <c r="C592">
        <v>0</v>
      </c>
      <c r="D592" t="s">
        <v>4080</v>
      </c>
      <c r="E592">
        <v>2012</v>
      </c>
      <c r="F592" s="9"/>
      <c r="H592" s="20" t="str">
        <f t="shared" si="9"/>
        <v>(nextval('obj_part_id_seq'), (select id from obj_building_v where zip||'|'||street||'|'||name||'|'||volume = '3043|Schülerweg 13|Velounterstand|360.00'), 'P58', 0, null, 2012,null),</v>
      </c>
    </row>
    <row r="593" spans="1:8" x14ac:dyDescent="0.25">
      <c r="A593" s="9" t="s">
        <v>1499</v>
      </c>
      <c r="B593" s="9" t="s">
        <v>1142</v>
      </c>
      <c r="C593">
        <v>0</v>
      </c>
      <c r="D593" t="s">
        <v>4080</v>
      </c>
      <c r="E593">
        <v>2012</v>
      </c>
      <c r="F593" s="9"/>
      <c r="H593" s="20" t="str">
        <f t="shared" si="9"/>
        <v>(nextval('obj_part_id_seq'), (select id from obj_building_v where zip||'|'||street||'|'||name||'|'||volume = '3043|Schülerweg 13|Velounterstand|360.00'), 'P60', 0, null, 2012,null),</v>
      </c>
    </row>
    <row r="594" spans="1:8" x14ac:dyDescent="0.25">
      <c r="A594" s="9" t="s">
        <v>1499</v>
      </c>
      <c r="B594" s="9" t="s">
        <v>1143</v>
      </c>
      <c r="C594">
        <v>0</v>
      </c>
      <c r="D594" t="s">
        <v>4080</v>
      </c>
      <c r="E594">
        <v>2012</v>
      </c>
      <c r="F594" s="9"/>
      <c r="H594" s="20" t="str">
        <f t="shared" si="9"/>
        <v>(nextval('obj_part_id_seq'), (select id from obj_building_v where zip||'|'||street||'|'||name||'|'||volume = '3043|Schülerweg 13|Velounterstand|360.00'), 'P61', 0, null, 2012,null),</v>
      </c>
    </row>
    <row r="595" spans="1:8" x14ac:dyDescent="0.25">
      <c r="A595" s="9" t="s">
        <v>1499</v>
      </c>
      <c r="B595" s="9" t="s">
        <v>1144</v>
      </c>
      <c r="C595">
        <v>0</v>
      </c>
      <c r="D595" t="s">
        <v>4080</v>
      </c>
      <c r="E595">
        <v>2012</v>
      </c>
      <c r="F595" s="9"/>
      <c r="H595" s="20" t="str">
        <f t="shared" si="9"/>
        <v>(nextval('obj_part_id_seq'), (select id from obj_building_v where zip||'|'||street||'|'||name||'|'||volume = '3043|Schülerweg 13|Velounterstand|360.00'), 'P62', 0, null, 2012,null),</v>
      </c>
    </row>
    <row r="596" spans="1:8" x14ac:dyDescent="0.25">
      <c r="A596" s="9" t="s">
        <v>1503</v>
      </c>
      <c r="B596" s="9" t="s">
        <v>1127</v>
      </c>
      <c r="C596">
        <v>41</v>
      </c>
      <c r="D596">
        <v>90</v>
      </c>
      <c r="E596">
        <v>2012</v>
      </c>
      <c r="F596" s="9" t="s">
        <v>1504</v>
      </c>
      <c r="H596" s="20" t="str">
        <f t="shared" si="9"/>
        <v>(nextval('obj_part_id_seq'), (select id from obj_building_v where zip||'|'||street||'|'||name||'|'||volume = '3043|Schülerweg 14|Turnhalle|8200.00'), 'P48', 41, 90, 2012,'Stahlbetonbau'),</v>
      </c>
    </row>
    <row r="597" spans="1:8" x14ac:dyDescent="0.25">
      <c r="A597" s="9" t="s">
        <v>1503</v>
      </c>
      <c r="B597" s="9" t="s">
        <v>1129</v>
      </c>
      <c r="C597">
        <v>0</v>
      </c>
      <c r="D597" t="s">
        <v>4080</v>
      </c>
      <c r="E597">
        <v>2012</v>
      </c>
      <c r="F597" s="9"/>
      <c r="H597" s="20" t="str">
        <f t="shared" si="9"/>
        <v>(nextval('obj_part_id_seq'), (select id from obj_building_v where zip||'|'||street||'|'||name||'|'||volume = '3043|Schülerweg 14|Turnhalle|8200.00'), 'P49', 0, null, 2012,null),</v>
      </c>
    </row>
    <row r="598" spans="1:8" x14ac:dyDescent="0.25">
      <c r="A598" s="9" t="s">
        <v>1503</v>
      </c>
      <c r="B598" s="9" t="s">
        <v>1097</v>
      </c>
      <c r="C598">
        <v>0</v>
      </c>
      <c r="D598" t="s">
        <v>4080</v>
      </c>
      <c r="E598">
        <v>2012</v>
      </c>
      <c r="F598" s="9"/>
      <c r="H598" s="20" t="str">
        <f t="shared" si="9"/>
        <v>(nextval('obj_part_id_seq'), (select id from obj_building_v where zip||'|'||street||'|'||name||'|'||volume = '3043|Schülerweg 14|Turnhalle|8200.00'), 'P2', 0, null, 2012,null),</v>
      </c>
    </row>
    <row r="599" spans="1:8" x14ac:dyDescent="0.25">
      <c r="A599" s="9" t="s">
        <v>1503</v>
      </c>
      <c r="B599" s="9" t="s">
        <v>1099</v>
      </c>
      <c r="C599">
        <v>8</v>
      </c>
      <c r="D599">
        <v>90</v>
      </c>
      <c r="E599">
        <v>2012</v>
      </c>
      <c r="F599" s="9" t="s">
        <v>1505</v>
      </c>
      <c r="H599" s="20" t="str">
        <f t="shared" si="9"/>
        <v>(nextval('obj_part_id_seq'), (select id from obj_building_v where zip||'|'||street||'|'||name||'|'||volume = '3043|Schülerweg 14|Turnhalle|8200.00'), 'P3', 8, 90, 2012,'Flachdach mit Rubtanbelag'),</v>
      </c>
    </row>
    <row r="600" spans="1:8" x14ac:dyDescent="0.25">
      <c r="A600" s="9" t="s">
        <v>1503</v>
      </c>
      <c r="B600" s="9" t="s">
        <v>1100</v>
      </c>
      <c r="C600">
        <v>8</v>
      </c>
      <c r="D600">
        <v>90</v>
      </c>
      <c r="E600">
        <v>2012</v>
      </c>
      <c r="F600" s="9"/>
      <c r="H600" s="20" t="str">
        <f t="shared" si="9"/>
        <v>(nextval('obj_part_id_seq'), (select id from obj_building_v where zip||'|'||street||'|'||name||'|'||volume = '3043|Schülerweg 14|Turnhalle|8200.00'), 'P4', 8, 90, 2012,null),</v>
      </c>
    </row>
    <row r="601" spans="1:8" x14ac:dyDescent="0.25">
      <c r="A601" s="9" t="s">
        <v>1503</v>
      </c>
      <c r="B601" s="9" t="s">
        <v>1102</v>
      </c>
      <c r="C601">
        <v>10</v>
      </c>
      <c r="D601">
        <v>90</v>
      </c>
      <c r="E601">
        <v>2012</v>
      </c>
      <c r="F601" s="9" t="s">
        <v>1506</v>
      </c>
      <c r="H601" s="20" t="str">
        <f t="shared" si="9"/>
        <v>(nextval('obj_part_id_seq'), (select id from obj_building_v where zip||'|'||street||'|'||name||'|'||volume = '3043|Schülerweg 14|Turnhalle|8200.00'), 'P5', 10, 90, 2012,'Pfosten-/Rigelkonstr., IV-Gläser, Metalltüren m. Glas, Metallfenster im Aussengeräteraum'),</v>
      </c>
    </row>
    <row r="602" spans="1:8" x14ac:dyDescent="0.25">
      <c r="A602" s="9" t="s">
        <v>1503</v>
      </c>
      <c r="B602" s="9" t="s">
        <v>1164</v>
      </c>
      <c r="C602">
        <v>6</v>
      </c>
      <c r="D602">
        <v>90</v>
      </c>
      <c r="E602">
        <v>2012</v>
      </c>
      <c r="F602" s="9" t="s">
        <v>1507</v>
      </c>
      <c r="H602" s="20" t="str">
        <f t="shared" si="9"/>
        <v>(nextval('obj_part_id_seq'), (select id from obj_building_v where zip||'|'||street||'|'||name||'|'||volume = '3043|Schülerweg 14|Turnhalle|8200.00'), 'P50', 6, 90, 2012,'Tw. Keramiksicherungen, Beleuchtung i.O.'),</v>
      </c>
    </row>
    <row r="603" spans="1:8" x14ac:dyDescent="0.25">
      <c r="A603" s="9" t="s">
        <v>1503</v>
      </c>
      <c r="B603" s="9" t="s">
        <v>1166</v>
      </c>
      <c r="C603">
        <v>1</v>
      </c>
      <c r="D603">
        <v>90</v>
      </c>
      <c r="E603">
        <v>2012</v>
      </c>
      <c r="F603" s="9" t="s">
        <v>1508</v>
      </c>
      <c r="H603" s="20" t="str">
        <f t="shared" si="9"/>
        <v>(nextval('obj_part_id_seq'), (select id from obj_building_v where zip||'|'||street||'|'||name||'|'||volume = '3043|Schülerweg 14|Turnhalle|8200.00'), 'P51', 1, 90, 2012,'Tel., LS-Anlage, Uhr'),</v>
      </c>
    </row>
    <row r="604" spans="1:8" x14ac:dyDescent="0.25">
      <c r="A604" s="9" t="s">
        <v>1503</v>
      </c>
      <c r="B604" s="9" t="s">
        <v>1104</v>
      </c>
      <c r="C604">
        <v>0</v>
      </c>
      <c r="D604" t="s">
        <v>4080</v>
      </c>
      <c r="E604">
        <v>2012</v>
      </c>
      <c r="F604" s="9" t="s">
        <v>1235</v>
      </c>
      <c r="H604" s="20" t="str">
        <f t="shared" si="9"/>
        <v>(nextval('obj_part_id_seq'), (select id from obj_building_v where zip||'|'||street||'|'||name||'|'||volume = '3043|Schülerweg 14|Turnhalle|8200.00'), 'P6', 0, null, 2012,'Fernwärme'),</v>
      </c>
    </row>
    <row r="605" spans="1:8" x14ac:dyDescent="0.25">
      <c r="A605" s="9" t="s">
        <v>1503</v>
      </c>
      <c r="B605" s="9" t="s">
        <v>1106</v>
      </c>
      <c r="C605">
        <v>3</v>
      </c>
      <c r="D605">
        <v>90</v>
      </c>
      <c r="E605">
        <v>2012</v>
      </c>
      <c r="F605" s="9" t="s">
        <v>1509</v>
      </c>
      <c r="H605" s="20" t="str">
        <f t="shared" si="9"/>
        <v>(nextval('obj_part_id_seq'), (select id from obj_building_v where zip||'|'||street||'|'||name||'|'||volume = '3043|Schülerweg 14|Turnhalle|8200.00'), 'P7', 3, 90, 2012,'Lüftungsheiz., Radiatoren m. Thermostaten ind Schiedsrichterraum und Garderoben, Bodenheizung in Garderoben und Foyer'),</v>
      </c>
    </row>
    <row r="606" spans="1:8" x14ac:dyDescent="0.25">
      <c r="A606" s="9" t="s">
        <v>1503</v>
      </c>
      <c r="B606" s="9" t="s">
        <v>1108</v>
      </c>
      <c r="C606">
        <v>4</v>
      </c>
      <c r="D606">
        <v>90</v>
      </c>
      <c r="E606">
        <v>2012</v>
      </c>
      <c r="F606" s="9" t="s">
        <v>1510</v>
      </c>
      <c r="H606" s="20" t="str">
        <f t="shared" si="9"/>
        <v>(nextval('obj_part_id_seq'), (select id from obj_building_v where zip||'|'||street||'|'||name||'|'||volume = '3043|Schülerweg 14|Turnhalle|8200.00'), 'P8', 4, 90, 2012,'Duschen i.O.'),</v>
      </c>
    </row>
    <row r="607" spans="1:8" x14ac:dyDescent="0.25">
      <c r="A607" s="9" t="s">
        <v>1503</v>
      </c>
      <c r="B607" s="9" t="s">
        <v>1138</v>
      </c>
      <c r="C607">
        <v>11</v>
      </c>
      <c r="D607">
        <v>90</v>
      </c>
      <c r="E607">
        <v>2012</v>
      </c>
      <c r="F607" s="9" t="s">
        <v>1511</v>
      </c>
      <c r="H607" s="20" t="str">
        <f t="shared" si="9"/>
        <v>(nextval('obj_part_id_seq'), (select id from obj_building_v where zip||'|'||street||'|'||name||'|'||volume = '3043|Schülerweg 14|Turnhalle|8200.00'), 'P57', 11, 90, 2012,'Innere Verglasungen, Tore'),</v>
      </c>
    </row>
    <row r="608" spans="1:8" x14ac:dyDescent="0.25">
      <c r="A608" s="9" t="s">
        <v>1503</v>
      </c>
      <c r="B608" s="9" t="s">
        <v>1140</v>
      </c>
      <c r="C608">
        <v>8</v>
      </c>
      <c r="D608">
        <v>90</v>
      </c>
      <c r="E608">
        <v>2012</v>
      </c>
      <c r="F608" s="9" t="s">
        <v>1512</v>
      </c>
      <c r="H608" s="20" t="str">
        <f t="shared" si="9"/>
        <v>(nextval('obj_part_id_seq'), (select id from obj_building_v where zip||'|'||street||'|'||name||'|'||volume = '3043|Schülerweg 14|Turnhalle|8200.00'), 'P58', 8, 90, 2012,'B: Keramikpl., TH-Boden, Teppich Schmutzschleuse, W: Putz, gestr., MW roh, Beton roh, D: Holz'),</v>
      </c>
    </row>
    <row r="609" spans="1:8" x14ac:dyDescent="0.25">
      <c r="A609" s="9" t="s">
        <v>1503</v>
      </c>
      <c r="B609" s="9" t="s">
        <v>1142</v>
      </c>
      <c r="C609">
        <v>0</v>
      </c>
      <c r="D609" t="s">
        <v>4080</v>
      </c>
      <c r="E609">
        <v>2012</v>
      </c>
      <c r="F609" s="9"/>
      <c r="H609" s="20" t="str">
        <f t="shared" si="9"/>
        <v>(nextval('obj_part_id_seq'), (select id from obj_building_v where zip||'|'||street||'|'||name||'|'||volume = '3043|Schülerweg 14|Turnhalle|8200.00'), 'P60', 0, null, 2012,null),</v>
      </c>
    </row>
    <row r="610" spans="1:8" x14ac:dyDescent="0.25">
      <c r="A610" s="9" t="s">
        <v>1503</v>
      </c>
      <c r="B610" s="9" t="s">
        <v>1143</v>
      </c>
      <c r="C610">
        <v>0</v>
      </c>
      <c r="D610" t="s">
        <v>4080</v>
      </c>
      <c r="E610">
        <v>2012</v>
      </c>
      <c r="F610" s="9"/>
      <c r="H610" s="20" t="str">
        <f t="shared" si="9"/>
        <v>(nextval('obj_part_id_seq'), (select id from obj_building_v where zip||'|'||street||'|'||name||'|'||volume = '3043|Schülerweg 14|Turnhalle|8200.00'), 'P61', 0, null, 2012,null),</v>
      </c>
    </row>
    <row r="611" spans="1:8" x14ac:dyDescent="0.25">
      <c r="A611" s="9" t="s">
        <v>1503</v>
      </c>
      <c r="B611" s="9" t="s">
        <v>1144</v>
      </c>
      <c r="C611">
        <v>0</v>
      </c>
      <c r="D611" t="s">
        <v>4080</v>
      </c>
      <c r="E611">
        <v>2012</v>
      </c>
      <c r="F611" s="9"/>
      <c r="H611" s="20" t="str">
        <f t="shared" si="9"/>
        <v>(nextval('obj_part_id_seq'), (select id from obj_building_v where zip||'|'||street||'|'||name||'|'||volume = '3043|Schülerweg 14|Turnhalle|8200.00'), 'P62', 0, null, 2012,null),</v>
      </c>
    </row>
    <row r="612" spans="1:8" x14ac:dyDescent="0.25">
      <c r="A612" s="9" t="s">
        <v>1513</v>
      </c>
      <c r="B612" s="9" t="s">
        <v>1127</v>
      </c>
      <c r="C612">
        <v>41</v>
      </c>
      <c r="D612">
        <v>90</v>
      </c>
      <c r="E612">
        <v>2012</v>
      </c>
      <c r="F612" s="9" t="s">
        <v>1514</v>
      </c>
      <c r="H612" s="20" t="str">
        <f t="shared" si="9"/>
        <v>(nextval('obj_part_id_seq'), (select id from obj_building_v where zip||'|'||street||'|'||name||'|'||volume = '3043|Schülerweg 15|Primarschulhaus, ged. Pausenhalle, Anbau Nord|5319.00'), 'P48', 41, 90, 2012,'Stahlbeton, Mauerwerk, Natursteintreppe'),</v>
      </c>
    </row>
    <row r="613" spans="1:8" x14ac:dyDescent="0.25">
      <c r="A613" s="9" t="s">
        <v>1513</v>
      </c>
      <c r="B613" s="9" t="s">
        <v>1129</v>
      </c>
      <c r="C613">
        <v>0</v>
      </c>
      <c r="D613" t="s">
        <v>4080</v>
      </c>
      <c r="E613">
        <v>2012</v>
      </c>
      <c r="F613" s="9"/>
      <c r="H613" s="20" t="str">
        <f t="shared" si="9"/>
        <v>(nextval('obj_part_id_seq'), (select id from obj_building_v where zip||'|'||street||'|'||name||'|'||volume = '3043|Schülerweg 15|Primarschulhaus, ged. Pausenhalle, Anbau Nord|5319.00'), 'P49', 0, null, 2012,null),</v>
      </c>
    </row>
    <row r="614" spans="1:8" x14ac:dyDescent="0.25">
      <c r="A614" s="9" t="s">
        <v>1513</v>
      </c>
      <c r="B614" s="9" t="s">
        <v>1097</v>
      </c>
      <c r="C614">
        <v>6</v>
      </c>
      <c r="D614">
        <v>90</v>
      </c>
      <c r="E614">
        <v>2012</v>
      </c>
      <c r="F614" s="9" t="s">
        <v>1515</v>
      </c>
      <c r="H614" s="20" t="str">
        <f t="shared" si="9"/>
        <v>(nextval('obj_part_id_seq'), (select id from obj_building_v where zip||'|'||street||'|'||name||'|'||volume = '3043|Schülerweg 15|Primarschulhaus, ged. Pausenhalle, Anbau Nord|5319.00'), 'P2', 6, 90, 2012,'Falzziegeldach, Dachflächenfenster'),</v>
      </c>
    </row>
    <row r="615" spans="1:8" x14ac:dyDescent="0.25">
      <c r="A615" s="9" t="s">
        <v>1513</v>
      </c>
      <c r="B615" s="9" t="s">
        <v>1099</v>
      </c>
      <c r="C615">
        <v>2</v>
      </c>
      <c r="D615">
        <v>90</v>
      </c>
      <c r="E615">
        <v>2012</v>
      </c>
      <c r="F615" s="9" t="s">
        <v>1516</v>
      </c>
      <c r="H615" s="20" t="str">
        <f t="shared" si="9"/>
        <v>(nextval('obj_part_id_seq'), (select id from obj_building_v where zip||'|'||street||'|'||name||'|'||volume = '3043|Schülerweg 15|Primarschulhaus, ged. Pausenhalle, Anbau Nord|5319.00'), 'P3', 2, 90, 2012,'Kiesklebedach, ext. begrünt, Vordach: Kiesklebedach'),</v>
      </c>
    </row>
    <row r="616" spans="1:8" x14ac:dyDescent="0.25">
      <c r="A616" s="9" t="s">
        <v>1513</v>
      </c>
      <c r="B616" s="9" t="s">
        <v>1100</v>
      </c>
      <c r="C616">
        <v>7</v>
      </c>
      <c r="D616">
        <v>70</v>
      </c>
      <c r="E616">
        <v>2012</v>
      </c>
      <c r="F616" s="9" t="s">
        <v>1517</v>
      </c>
      <c r="H616" s="20" t="str">
        <f t="shared" si="9"/>
        <v>(nextval('obj_part_id_seq'), (select id from obj_building_v where zip||'|'||street||'|'||name||'|'||volume = '3043|Schülerweg 15|Primarschulhaus, ged. Pausenhalle, Anbau Nord|5319.00'), 'P4', 7, 70, 2012,'Eternitschindeln, Mauerwerk verputzt, Beton gestr., Holzf. bei Anbau'),</v>
      </c>
    </row>
    <row r="617" spans="1:8" x14ac:dyDescent="0.25">
      <c r="A617" s="9" t="s">
        <v>1513</v>
      </c>
      <c r="B617" s="9" t="s">
        <v>1102</v>
      </c>
      <c r="C617">
        <v>11</v>
      </c>
      <c r="D617">
        <v>80</v>
      </c>
      <c r="E617">
        <v>2012</v>
      </c>
      <c r="F617" s="9" t="s">
        <v>1518</v>
      </c>
      <c r="H617" s="20" t="str">
        <f t="shared" si="9"/>
        <v>(nextval('obj_part_id_seq'), (select id from obj_building_v where zip||'|'||street||'|'||name||'|'||volume = '3043|Schülerweg 15|Primarschulhaus, ged. Pausenhalle, Anbau Nord|5319.00'), 'P5', 11, 80, 2012,'Entrée: Metall, Holzfenster, Betongewände, Holz-/Metall, Rafflamellenstoren'),</v>
      </c>
    </row>
    <row r="618" spans="1:8" x14ac:dyDescent="0.25">
      <c r="A618" s="9" t="s">
        <v>1513</v>
      </c>
      <c r="B618" s="9" t="s">
        <v>1164</v>
      </c>
      <c r="C618">
        <v>6</v>
      </c>
      <c r="D618">
        <v>90</v>
      </c>
      <c r="E618">
        <v>2012</v>
      </c>
      <c r="F618" s="9" t="s">
        <v>1519</v>
      </c>
      <c r="H618" s="20" t="str">
        <f t="shared" si="9"/>
        <v>(nextval('obj_part_id_seq'), (select id from obj_building_v where zip||'|'||street||'|'||name||'|'||volume = '3043|Schülerweg 15|Primarschulhaus, ged. Pausenhalle, Anbau Nord|5319.00'), 'P50', 6, 90, 2012,'Beleuchtung neu'),</v>
      </c>
    </row>
    <row r="619" spans="1:8" x14ac:dyDescent="0.25">
      <c r="A619" s="9" t="s">
        <v>1513</v>
      </c>
      <c r="B619" s="9" t="s">
        <v>1166</v>
      </c>
      <c r="C619">
        <v>1</v>
      </c>
      <c r="D619">
        <v>90</v>
      </c>
      <c r="E619">
        <v>2012</v>
      </c>
      <c r="F619" s="9" t="s">
        <v>1520</v>
      </c>
      <c r="H619" s="20" t="str">
        <f t="shared" si="9"/>
        <v>(nextval('obj_part_id_seq'), (select id from obj_building_v where zip||'|'||street||'|'||name||'|'||volume = '3043|Schülerweg 15|Primarschulhaus, ged. Pausenhalle, Anbau Nord|5319.00'), 'P51', 1, 90, 2012,'Uhr, Gong, EDV-Leit u. -anschlüsse'),</v>
      </c>
    </row>
    <row r="620" spans="1:8" x14ac:dyDescent="0.25">
      <c r="A620" s="9" t="s">
        <v>1513</v>
      </c>
      <c r="B620" s="9" t="s">
        <v>1104</v>
      </c>
      <c r="C620">
        <v>0</v>
      </c>
      <c r="D620" t="s">
        <v>4080</v>
      </c>
      <c r="E620">
        <v>2012</v>
      </c>
      <c r="F620" s="9" t="s">
        <v>1235</v>
      </c>
      <c r="H620" s="20" t="str">
        <f t="shared" si="9"/>
        <v>(nextval('obj_part_id_seq'), (select id from obj_building_v where zip||'|'||street||'|'||name||'|'||volume = '3043|Schülerweg 15|Primarschulhaus, ged. Pausenhalle, Anbau Nord|5319.00'), 'P6', 0, null, 2012,'Fernwärme'),</v>
      </c>
    </row>
    <row r="621" spans="1:8" x14ac:dyDescent="0.25">
      <c r="A621" s="9" t="s">
        <v>1513</v>
      </c>
      <c r="B621" s="9" t="s">
        <v>1106</v>
      </c>
      <c r="C621">
        <v>3</v>
      </c>
      <c r="D621">
        <v>90</v>
      </c>
      <c r="E621">
        <v>2012</v>
      </c>
      <c r="F621" s="9" t="s">
        <v>1375</v>
      </c>
      <c r="H621" s="20" t="str">
        <f t="shared" si="9"/>
        <v>(nextval('obj_part_id_seq'), (select id from obj_building_v where zip||'|'||street||'|'||name||'|'||volume = '3043|Schülerweg 15|Primarschulhaus, ged. Pausenhalle, Anbau Nord|5319.00'), 'P7', 3, 90, 2012,'Radiatoren m. Thermostaten'),</v>
      </c>
    </row>
    <row r="622" spans="1:8" x14ac:dyDescent="0.25">
      <c r="A622" s="9" t="s">
        <v>1513</v>
      </c>
      <c r="B622" s="9" t="s">
        <v>1108</v>
      </c>
      <c r="C622">
        <v>4</v>
      </c>
      <c r="D622">
        <v>90</v>
      </c>
      <c r="E622">
        <v>2012</v>
      </c>
      <c r="F622" s="9" t="s">
        <v>1521</v>
      </c>
      <c r="H622" s="20" t="str">
        <f t="shared" si="9"/>
        <v>(nextval('obj_part_id_seq'), (select id from obj_building_v where zip||'|'||street||'|'||name||'|'||volume = '3043|Schülerweg 15|Primarschulhaus, ged. Pausenhalle, Anbau Nord|5319.00'), 'P8', 4, 90, 2012,'Teeküche in Anbau, Küche im UG Anbau'),</v>
      </c>
    </row>
    <row r="623" spans="1:8" x14ac:dyDescent="0.25">
      <c r="A623" s="9" t="s">
        <v>1513</v>
      </c>
      <c r="B623" s="9" t="s">
        <v>1138</v>
      </c>
      <c r="C623">
        <v>11</v>
      </c>
      <c r="D623">
        <v>90</v>
      </c>
      <c r="E623">
        <v>2012</v>
      </c>
      <c r="F623" s="9" t="s">
        <v>1522</v>
      </c>
      <c r="H623" s="20" t="str">
        <f t="shared" si="9"/>
        <v>(nextval('obj_part_id_seq'), (select id from obj_building_v where zip||'|'||street||'|'||name||'|'||volume = '3043|Schülerweg 15|Primarschulhaus, ged. Pausenhalle, Anbau Nord|5319.00'), 'P57', 11, 90, 2012,'Einbauschränke, Kunststeinsimse, Holzsimse, Arbeitssimse'),</v>
      </c>
    </row>
    <row r="624" spans="1:8" x14ac:dyDescent="0.25">
      <c r="A624" s="9" t="s">
        <v>1513</v>
      </c>
      <c r="B624" s="9" t="s">
        <v>1140</v>
      </c>
      <c r="C624">
        <v>8</v>
      </c>
      <c r="D624">
        <v>90</v>
      </c>
      <c r="E624">
        <v>2012</v>
      </c>
      <c r="F624" s="9" t="s">
        <v>1523</v>
      </c>
      <c r="H624" s="20" t="str">
        <f t="shared" si="9"/>
        <v>(nextval('obj_part_id_seq'), (select id from obj_building_v where zip||'|'||street||'|'||name||'|'||volume = '3043|Schülerweg 15|Primarschulhaus, ged. Pausenhalle, Anbau Nord|5319.00'), 'P58', 8, 90, 2012,'B: Kunststein (Riss im UG), Linol in Anbau, Parkett in SL-Büro und Werkr., Gussasphalt in Stauraum&lt;br&gt;W: Putz, gestr., Täfer in KZ, Keramik in WC&lt;br&gt;D: Täfer, Akustik-Holzdecken, Spritzputz in KZ'),</v>
      </c>
    </row>
    <row r="625" spans="1:8" x14ac:dyDescent="0.25">
      <c r="A625" s="9" t="s">
        <v>1513</v>
      </c>
      <c r="B625" s="9" t="s">
        <v>1142</v>
      </c>
      <c r="C625">
        <v>0</v>
      </c>
      <c r="D625" t="s">
        <v>4080</v>
      </c>
      <c r="E625">
        <v>2012</v>
      </c>
      <c r="F625" s="9"/>
      <c r="H625" s="20" t="str">
        <f t="shared" si="9"/>
        <v>(nextval('obj_part_id_seq'), (select id from obj_building_v where zip||'|'||street||'|'||name||'|'||volume = '3043|Schülerweg 15|Primarschulhaus, ged. Pausenhalle, Anbau Nord|5319.00'), 'P60', 0, null, 2012,null),</v>
      </c>
    </row>
    <row r="626" spans="1:8" x14ac:dyDescent="0.25">
      <c r="A626" s="9" t="s">
        <v>1513</v>
      </c>
      <c r="B626" s="9" t="s">
        <v>1143</v>
      </c>
      <c r="C626">
        <v>0</v>
      </c>
      <c r="D626" t="s">
        <v>4080</v>
      </c>
      <c r="E626">
        <v>2012</v>
      </c>
      <c r="F626" s="9"/>
      <c r="H626" s="20" t="str">
        <f t="shared" si="9"/>
        <v>(nextval('obj_part_id_seq'), (select id from obj_building_v where zip||'|'||street||'|'||name||'|'||volume = '3043|Schülerweg 15|Primarschulhaus, ged. Pausenhalle, Anbau Nord|5319.00'), 'P61', 0, null, 2012,null),</v>
      </c>
    </row>
    <row r="627" spans="1:8" x14ac:dyDescent="0.25">
      <c r="A627" s="9" t="s">
        <v>1513</v>
      </c>
      <c r="B627" s="9" t="s">
        <v>1144</v>
      </c>
      <c r="C627">
        <v>0</v>
      </c>
      <c r="D627" t="s">
        <v>4080</v>
      </c>
      <c r="E627">
        <v>2012</v>
      </c>
      <c r="F627" s="9"/>
      <c r="H627" s="20" t="str">
        <f t="shared" si="9"/>
        <v>(nextval('obj_part_id_seq'), (select id from obj_building_v where zip||'|'||street||'|'||name||'|'||volume = '3043|Schülerweg 15|Primarschulhaus, ged. Pausenhalle, Anbau Nord|5319.00'), 'P62', 0, null, 2012,null),</v>
      </c>
    </row>
    <row r="628" spans="1:8" x14ac:dyDescent="0.25">
      <c r="A628" s="9" t="s">
        <v>1524</v>
      </c>
      <c r="B628" s="9" t="s">
        <v>1127</v>
      </c>
      <c r="C628">
        <v>41</v>
      </c>
      <c r="D628">
        <v>80</v>
      </c>
      <c r="E628">
        <v>2012</v>
      </c>
      <c r="F628" s="9" t="s">
        <v>1525</v>
      </c>
      <c r="H628" s="20" t="str">
        <f t="shared" si="9"/>
        <v>(nextval('obj_part_id_seq'), (select id from obj_building_v where zip||'|'||street||'|'||name||'|'||volume = '3043|Schülerweg 16|Turnhalle/Hauswartwhg./Heizzentrale|4497.00'), 'P48', 41, 80, 2012,'Mauerwerk, Stahlbeton, Risse in Mat.raum Boden, Decke und Wand'),</v>
      </c>
    </row>
    <row r="629" spans="1:8" x14ac:dyDescent="0.25">
      <c r="A629" s="9" t="s">
        <v>1524</v>
      </c>
      <c r="B629" s="9" t="s">
        <v>1129</v>
      </c>
      <c r="C629">
        <v>0</v>
      </c>
      <c r="D629" t="s">
        <v>4080</v>
      </c>
      <c r="E629">
        <v>2012</v>
      </c>
      <c r="F629" s="9"/>
      <c r="H629" s="20" t="str">
        <f t="shared" si="9"/>
        <v>(nextval('obj_part_id_seq'), (select id from obj_building_v where zip||'|'||street||'|'||name||'|'||volume = '3043|Schülerweg 16|Turnhalle/Hauswartwhg./Heizzentrale|4497.00'), 'P49', 0, null, 2012,null),</v>
      </c>
    </row>
    <row r="630" spans="1:8" x14ac:dyDescent="0.25">
      <c r="A630" s="9" t="s">
        <v>1524</v>
      </c>
      <c r="B630" s="9" t="s">
        <v>1097</v>
      </c>
      <c r="C630">
        <v>8</v>
      </c>
      <c r="D630">
        <v>90</v>
      </c>
      <c r="E630">
        <v>2012</v>
      </c>
      <c r="F630" s="9" t="s">
        <v>1526</v>
      </c>
      <c r="H630" s="20" t="str">
        <f t="shared" si="9"/>
        <v>(nextval('obj_part_id_seq'), (select id from obj_building_v where zip||'|'||street||'|'||name||'|'||volume = '3043|Schülerweg 16|Turnhalle/Hauswartwhg./Heizzentrale|4497.00'), 'P2', 8, 90, 2012,'Falzziegeldach; ca. ''91 nachisoliert, Unterdach i.O.; in HW-Wohnung isoliert, Dachfenster, Estrich -&gt; Zimmer umgebaut ''17'),</v>
      </c>
    </row>
    <row r="631" spans="1:8" x14ac:dyDescent="0.25">
      <c r="A631" s="9" t="s">
        <v>1524</v>
      </c>
      <c r="B631" s="9" t="s">
        <v>1099</v>
      </c>
      <c r="C631">
        <v>0</v>
      </c>
      <c r="D631" t="s">
        <v>4080</v>
      </c>
      <c r="E631">
        <v>2012</v>
      </c>
      <c r="F631" s="9"/>
      <c r="H631" s="20" t="str">
        <f t="shared" si="9"/>
        <v>(nextval('obj_part_id_seq'), (select id from obj_building_v where zip||'|'||street||'|'||name||'|'||volume = '3043|Schülerweg 16|Turnhalle/Hauswartwhg./Heizzentrale|4497.00'), 'P3', 0, null, 2012,null),</v>
      </c>
    </row>
    <row r="632" spans="1:8" x14ac:dyDescent="0.25">
      <c r="A632" s="9" t="s">
        <v>1524</v>
      </c>
      <c r="B632" s="9" t="s">
        <v>1100</v>
      </c>
      <c r="C632">
        <v>7</v>
      </c>
      <c r="D632">
        <v>90</v>
      </c>
      <c r="E632">
        <v>2012</v>
      </c>
      <c r="F632" s="9" t="s">
        <v>1527</v>
      </c>
      <c r="H632" s="20" t="str">
        <f t="shared" si="9"/>
        <v>(nextval('obj_part_id_seq'), (select id from obj_building_v where zip||'|'||street||'|'||name||'|'||volume = '3043|Schülerweg 16|Turnhalle/Hauswartwhg./Heizzentrale|4497.00'), 'P4', 7, 90, 2012,'Mauerwerk, verputzt, Beton, gestr., Eternitschindeln'),</v>
      </c>
    </row>
    <row r="633" spans="1:8" x14ac:dyDescent="0.25">
      <c r="A633" s="9" t="s">
        <v>1524</v>
      </c>
      <c r="B633" s="9" t="s">
        <v>1102</v>
      </c>
      <c r="C633">
        <v>10</v>
      </c>
      <c r="D633">
        <v>90</v>
      </c>
      <c r="E633">
        <v>2012</v>
      </c>
      <c r="F633" s="9" t="s">
        <v>1528</v>
      </c>
      <c r="H633" s="20" t="str">
        <f t="shared" si="9"/>
        <v>(nextval('obj_part_id_seq'), (select id from obj_building_v where zip||'|'||street||'|'||name||'|'||volume = '3043|Schülerweg 16|Turnhalle/Hauswartwhg./Heizzentrale|4497.00'), 'P5', 10, 90, 2012,'Holzf. IV (Gläser ''00) mit Vert.storen (''00), Holzf. 2-fach im Geräteraum, Aussentor zum Geräteraum isoliert'),</v>
      </c>
    </row>
    <row r="634" spans="1:8" x14ac:dyDescent="0.25">
      <c r="A634" s="9" t="s">
        <v>1524</v>
      </c>
      <c r="B634" s="9" t="s">
        <v>1164</v>
      </c>
      <c r="C634">
        <v>6</v>
      </c>
      <c r="D634">
        <v>90</v>
      </c>
      <c r="E634">
        <v>2012</v>
      </c>
      <c r="F634" s="9" t="s">
        <v>1529</v>
      </c>
      <c r="H634" s="20" t="str">
        <f t="shared" si="9"/>
        <v>(nextval('obj_part_id_seq'), (select id from obj_building_v where zip||'|'||street||'|'||name||'|'||volume = '3043|Schülerweg 16|Turnhalle/Hauswartwhg./Heizzentrale|4497.00'), 'P50', 6, 90, 2012,'Beleuchtung in Garderobe wurde durch LED ersetzt'),</v>
      </c>
    </row>
    <row r="635" spans="1:8" x14ac:dyDescent="0.25">
      <c r="A635" s="9" t="s">
        <v>1524</v>
      </c>
      <c r="B635" s="9" t="s">
        <v>1166</v>
      </c>
      <c r="C635">
        <v>1</v>
      </c>
      <c r="D635">
        <v>90</v>
      </c>
      <c r="E635">
        <v>2012</v>
      </c>
      <c r="F635" s="9"/>
      <c r="H635" s="20" t="str">
        <f t="shared" si="9"/>
        <v>(nextval('obj_part_id_seq'), (select id from obj_building_v where zip||'|'||street||'|'||name||'|'||volume = '3043|Schülerweg 16|Turnhalle/Hauswartwhg./Heizzentrale|4497.00'), 'P51', 1, 90, 2012,null),</v>
      </c>
    </row>
    <row r="636" spans="1:8" x14ac:dyDescent="0.25">
      <c r="A636" s="9" t="s">
        <v>1524</v>
      </c>
      <c r="B636" s="9" t="s">
        <v>1104</v>
      </c>
      <c r="C636">
        <v>1</v>
      </c>
      <c r="D636">
        <v>70</v>
      </c>
      <c r="E636">
        <v>2012</v>
      </c>
      <c r="F636" s="9" t="s">
        <v>1530</v>
      </c>
      <c r="H636" s="20" t="str">
        <f t="shared" si="9"/>
        <v>(nextval('obj_part_id_seq'), (select id from obj_building_v where zip||'|'||street||'|'||name||'|'||volume = '3043|Schülerweg 16|Turnhalle/Hauswartwhg./Heizzentrale|4497.00'), 'P6', 1, 70, 2012,'Lüftungsanlage f. Garderobe (''84), Holzschnitzelfeuerungsanlage (''90/''09)\nSteuerung defekt, keine Ersatzteile mehr erhältlich, wird ev. ersetzt durch Fernwärme'),</v>
      </c>
    </row>
    <row r="637" spans="1:8" x14ac:dyDescent="0.25">
      <c r="A637" s="9" t="s">
        <v>1524</v>
      </c>
      <c r="B637" s="9" t="s">
        <v>1106</v>
      </c>
      <c r="C637">
        <v>3</v>
      </c>
      <c r="D637">
        <v>90</v>
      </c>
      <c r="E637">
        <v>2012</v>
      </c>
      <c r="F637" s="9" t="s">
        <v>1531</v>
      </c>
      <c r="H637" s="20" t="str">
        <f t="shared" si="9"/>
        <v>(nextval('obj_part_id_seq'), (select id from obj_building_v where zip||'|'||street||'|'||name||'|'||volume = '3043|Schülerweg 16|Turnhalle/Hauswartwhg./Heizzentrale|4497.00'), 'P7', 3, 90, 2012,'Heizkörper mit Thermostaten in Geräteraum und vor Garderobe'),</v>
      </c>
    </row>
    <row r="638" spans="1:8" x14ac:dyDescent="0.25">
      <c r="A638" s="9" t="s">
        <v>1524</v>
      </c>
      <c r="B638" s="9" t="s">
        <v>1108</v>
      </c>
      <c r="C638">
        <v>4</v>
      </c>
      <c r="D638">
        <v>85</v>
      </c>
      <c r="E638">
        <v>2012</v>
      </c>
      <c r="F638" s="9" t="s">
        <v>1532</v>
      </c>
      <c r="H638" s="20" t="str">
        <f t="shared" si="9"/>
        <v>(nextval('obj_part_id_seq'), (select id from obj_building_v where zip||'|'||street||'|'||name||'|'||volume = '3043|Schülerweg 16|Turnhalle/Hauswartwhg./Heizzentrale|4497.00'), 'P8', 4, 85, 2012,'Dachwasserablauf i.O., tw. alte WC'),</v>
      </c>
    </row>
    <row r="639" spans="1:8" x14ac:dyDescent="0.25">
      <c r="A639" s="9" t="s">
        <v>1524</v>
      </c>
      <c r="B639" s="9" t="s">
        <v>1138</v>
      </c>
      <c r="C639">
        <v>11</v>
      </c>
      <c r="D639">
        <v>90</v>
      </c>
      <c r="E639">
        <v>2012</v>
      </c>
      <c r="F639" s="9"/>
      <c r="H639" s="20" t="str">
        <f t="shared" si="9"/>
        <v>(nextval('obj_part_id_seq'), (select id from obj_building_v where zip||'|'||street||'|'||name||'|'||volume = '3043|Schülerweg 16|Turnhalle/Hauswartwhg./Heizzentrale|4497.00'), 'P57', 11, 90, 2012,null),</v>
      </c>
    </row>
    <row r="640" spans="1:8" x14ac:dyDescent="0.25">
      <c r="A640" s="9" t="s">
        <v>1524</v>
      </c>
      <c r="B640" s="9" t="s">
        <v>1140</v>
      </c>
      <c r="C640">
        <v>8</v>
      </c>
      <c r="D640">
        <v>90</v>
      </c>
      <c r="E640">
        <v>2012</v>
      </c>
      <c r="F640" s="9" t="s">
        <v>1533</v>
      </c>
      <c r="H640" s="20" t="str">
        <f t="shared" si="9"/>
        <v>(nextval('obj_part_id_seq'), (select id from obj_building_v where zip||'|'||street||'|'||name||'|'||volume = '3043|Schülerweg 16|Turnhalle/Hauswartwhg./Heizzentrale|4497.00'), 'P58', 8, 90, 2012,'B: PVC-Platten, Porphyr in Garderoben, Kunststein, TH-Boden, PVC im Geräteraum&lt;br&gt;D: TH: Heraklit, Holztäfer'),</v>
      </c>
    </row>
    <row r="641" spans="1:8" x14ac:dyDescent="0.25">
      <c r="A641" s="9" t="s">
        <v>1524</v>
      </c>
      <c r="B641" s="9" t="s">
        <v>1142</v>
      </c>
      <c r="C641">
        <v>0</v>
      </c>
      <c r="D641" t="s">
        <v>4080</v>
      </c>
      <c r="E641">
        <v>2012</v>
      </c>
      <c r="F641" s="9"/>
      <c r="H641" s="20" t="str">
        <f t="shared" si="9"/>
        <v>(nextval('obj_part_id_seq'), (select id from obj_building_v where zip||'|'||street||'|'||name||'|'||volume = '3043|Schülerweg 16|Turnhalle/Hauswartwhg./Heizzentrale|4497.00'), 'P60', 0, null, 2012,null),</v>
      </c>
    </row>
    <row r="642" spans="1:8" x14ac:dyDescent="0.25">
      <c r="A642" s="9" t="s">
        <v>1524</v>
      </c>
      <c r="B642" s="9" t="s">
        <v>1143</v>
      </c>
      <c r="C642">
        <v>0</v>
      </c>
      <c r="D642" t="s">
        <v>4080</v>
      </c>
      <c r="E642">
        <v>2012</v>
      </c>
      <c r="F642" s="9"/>
      <c r="H642" s="20" t="str">
        <f t="shared" si="9"/>
        <v>(nextval('obj_part_id_seq'), (select id from obj_building_v where zip||'|'||street||'|'||name||'|'||volume = '3043|Schülerweg 16|Turnhalle/Hauswartwhg./Heizzentrale|4497.00'), 'P61', 0, null, 2012,null),</v>
      </c>
    </row>
    <row r="643" spans="1:8" x14ac:dyDescent="0.25">
      <c r="A643" s="9" t="s">
        <v>1524</v>
      </c>
      <c r="B643" s="9" t="s">
        <v>1144</v>
      </c>
      <c r="C643">
        <v>0</v>
      </c>
      <c r="D643" t="s">
        <v>4080</v>
      </c>
      <c r="E643">
        <v>2012</v>
      </c>
      <c r="F643" s="9"/>
      <c r="H643" s="20" t="str">
        <f t="shared" si="9"/>
        <v>(nextval('obj_part_id_seq'), (select id from obj_building_v where zip||'|'||street||'|'||name||'|'||volume = '3043|Schülerweg 16|Turnhalle/Hauswartwhg./Heizzentrale|4497.00'), 'P62', 0, null, 2012,null),</v>
      </c>
    </row>
    <row r="644" spans="1:8" x14ac:dyDescent="0.25">
      <c r="A644" s="9" t="s">
        <v>1534</v>
      </c>
      <c r="B644" s="9" t="s">
        <v>1127</v>
      </c>
      <c r="C644">
        <v>39</v>
      </c>
      <c r="D644">
        <v>90</v>
      </c>
      <c r="E644">
        <v>2012</v>
      </c>
      <c r="F644" s="9" t="s">
        <v>1369</v>
      </c>
      <c r="H644" s="20" t="str">
        <f t="shared" si="9"/>
        <v>(nextval('obj_part_id_seq'), (select id from obj_building_v where zip||'|'||street||'|'||name||'|'||volume = '3043|Schülerweg 18|Oberstufenschulhaus/Aula|17300.00'), 'P48', 39, 90, 2012,'Stahlbeton, Mauerwerk'),</v>
      </c>
    </row>
    <row r="645" spans="1:8" x14ac:dyDescent="0.25">
      <c r="A645" s="9" t="s">
        <v>1534</v>
      </c>
      <c r="B645" s="9" t="s">
        <v>1129</v>
      </c>
      <c r="C645">
        <v>0</v>
      </c>
      <c r="D645" t="s">
        <v>4080</v>
      </c>
      <c r="E645">
        <v>2012</v>
      </c>
      <c r="F645" s="9"/>
      <c r="H645" s="20" t="str">
        <f t="shared" ref="H645:H708" si="10">"(nextval('obj_part_id_seq'), (select id from obj_building_v where zip||'|'||street||'|'||name||'|'||volume = '"&amp;A645&amp;"'), '"&amp;B645&amp;"', "&amp;C645&amp;", "&amp;D645&amp;", "&amp;IF(ISBLANK(E645),"null",E645)&amp;","&amp;IF(ISBLANK(F645),"null","'"&amp;F645&amp;"'")&amp;"),"</f>
        <v>(nextval('obj_part_id_seq'), (select id from obj_building_v where zip||'|'||street||'|'||name||'|'||volume = '3043|Schülerweg 18|Oberstufenschulhaus/Aula|17300.00'), 'P49', 0, null, 2012,null),</v>
      </c>
    </row>
    <row r="646" spans="1:8" x14ac:dyDescent="0.25">
      <c r="A646" s="9" t="s">
        <v>1534</v>
      </c>
      <c r="B646" s="9" t="s">
        <v>1097</v>
      </c>
      <c r="C646">
        <v>11</v>
      </c>
      <c r="D646">
        <v>90</v>
      </c>
      <c r="E646">
        <v>2012</v>
      </c>
      <c r="F646" s="9" t="s">
        <v>1535</v>
      </c>
      <c r="H646" s="20" t="str">
        <f t="shared" si="10"/>
        <v>(nextval('obj_part_id_seq'), (select id from obj_building_v where zip||'|'||street||'|'||name||'|'||volume = '3043|Schülerweg 18|Oberstufenschulhaus/Aula|17300.00'), 'P2', 11, 90, 2012,'Falzziegeldach, Holz, Stahl, Glasdach, Untersichten Holz i.O.'),</v>
      </c>
    </row>
    <row r="647" spans="1:8" x14ac:dyDescent="0.25">
      <c r="A647" s="9" t="s">
        <v>1534</v>
      </c>
      <c r="B647" s="9" t="s">
        <v>1099</v>
      </c>
      <c r="C647">
        <v>0</v>
      </c>
      <c r="D647" t="s">
        <v>4080</v>
      </c>
      <c r="E647">
        <v>2012</v>
      </c>
      <c r="F647" s="9"/>
      <c r="H647" s="20" t="str">
        <f t="shared" si="10"/>
        <v>(nextval('obj_part_id_seq'), (select id from obj_building_v where zip||'|'||street||'|'||name||'|'||volume = '3043|Schülerweg 18|Oberstufenschulhaus/Aula|17300.00'), 'P3', 0, null, 2012,null),</v>
      </c>
    </row>
    <row r="648" spans="1:8" x14ac:dyDescent="0.25">
      <c r="A648" s="9" t="s">
        <v>1534</v>
      </c>
      <c r="B648" s="9" t="s">
        <v>1100</v>
      </c>
      <c r="C648">
        <v>7</v>
      </c>
      <c r="D648">
        <v>85</v>
      </c>
      <c r="E648">
        <v>2012</v>
      </c>
      <c r="F648" s="9" t="s">
        <v>1536</v>
      </c>
      <c r="H648" s="20" t="str">
        <f t="shared" si="10"/>
        <v>(nextval('obj_part_id_seq'), (select id from obj_building_v where zip||'|'||street||'|'||name||'|'||volume = '3043|Schülerweg 18|Oberstufenschulhaus/Aula|17300.00'), 'P4', 7, 85, 2012,'Eternitschindeln, MW verp., Beton sicht, tw. gestrichen'),</v>
      </c>
    </row>
    <row r="649" spans="1:8" x14ac:dyDescent="0.25">
      <c r="A649" s="9" t="s">
        <v>1534</v>
      </c>
      <c r="B649" s="9" t="s">
        <v>1102</v>
      </c>
      <c r="C649">
        <v>10</v>
      </c>
      <c r="D649">
        <v>85</v>
      </c>
      <c r="E649">
        <v>2012</v>
      </c>
      <c r="F649" s="9" t="s">
        <v>1537</v>
      </c>
      <c r="H649" s="20" t="str">
        <f t="shared" si="10"/>
        <v>(nextval('obj_part_id_seq'), (select id from obj_building_v where zip||'|'||street||'|'||name||'|'||volume = '3043|Schülerweg 18|Oberstufenschulhaus/Aula|17300.00'), 'P5', 10, 85, 2012,'Holzfenster, Metalltüren/Glas, Lamellenstoren'),</v>
      </c>
    </row>
    <row r="650" spans="1:8" x14ac:dyDescent="0.25">
      <c r="A650" s="9" t="s">
        <v>1534</v>
      </c>
      <c r="B650" s="9" t="s">
        <v>1164</v>
      </c>
      <c r="C650">
        <v>6</v>
      </c>
      <c r="D650">
        <v>90</v>
      </c>
      <c r="E650">
        <v>2012</v>
      </c>
      <c r="F650" s="9" t="s">
        <v>1538</v>
      </c>
      <c r="H650" s="20" t="str">
        <f t="shared" si="10"/>
        <v>(nextval('obj_part_id_seq'), (select id from obj_building_v where zip||'|'||street||'|'||name||'|'||volume = '3043|Schülerweg 18|Oberstufenschulhaus/Aula|17300.00'), 'P50', 6, 90, 2012,'Beleuchtung tw. neu, Elektrovert. neu'),</v>
      </c>
    </row>
    <row r="651" spans="1:8" x14ac:dyDescent="0.25">
      <c r="A651" s="9" t="s">
        <v>1534</v>
      </c>
      <c r="B651" s="9" t="s">
        <v>1166</v>
      </c>
      <c r="C651">
        <v>1</v>
      </c>
      <c r="D651">
        <v>90</v>
      </c>
      <c r="E651">
        <v>2012</v>
      </c>
      <c r="F651" s="9" t="s">
        <v>1539</v>
      </c>
      <c r="H651" s="20" t="str">
        <f t="shared" si="10"/>
        <v>(nextval('obj_part_id_seq'), (select id from obj_building_v where zip||'|'||street||'|'||name||'|'||volume = '3043|Schülerweg 18|Oberstufenschulhaus/Aula|17300.00'), 'P51', 1, 90, 2012,'EDV, Uhr, Gong, Glocke, Brandmeleanlage'),</v>
      </c>
    </row>
    <row r="652" spans="1:8" x14ac:dyDescent="0.25">
      <c r="A652" s="9" t="s">
        <v>1534</v>
      </c>
      <c r="B652" s="9" t="s">
        <v>1104</v>
      </c>
      <c r="C652">
        <v>0</v>
      </c>
      <c r="D652" t="s">
        <v>4080</v>
      </c>
      <c r="E652">
        <v>2012</v>
      </c>
      <c r="F652" s="9" t="s">
        <v>1235</v>
      </c>
      <c r="H652" s="20" t="str">
        <f t="shared" si="10"/>
        <v>(nextval('obj_part_id_seq'), (select id from obj_building_v where zip||'|'||street||'|'||name||'|'||volume = '3043|Schülerweg 18|Oberstufenschulhaus/Aula|17300.00'), 'P6', 0, null, 2012,'Fernwärme'),</v>
      </c>
    </row>
    <row r="653" spans="1:8" x14ac:dyDescent="0.25">
      <c r="A653" s="9" t="s">
        <v>1534</v>
      </c>
      <c r="B653" s="9" t="s">
        <v>1106</v>
      </c>
      <c r="C653">
        <v>3</v>
      </c>
      <c r="D653">
        <v>90</v>
      </c>
      <c r="E653">
        <v>2012</v>
      </c>
      <c r="F653" s="9" t="s">
        <v>1540</v>
      </c>
      <c r="H653" s="20" t="str">
        <f t="shared" si="10"/>
        <v>(nextval('obj_part_id_seq'), (select id from obj_building_v where zip||'|'||street||'|'||name||'|'||volume = '3043|Schülerweg 18|Oberstufenschulhaus/Aula|17300.00'), 'P7', 3, 90, 2012,'Radiatoren, Konvektoren, Bodenheizung im Anbau'),</v>
      </c>
    </row>
    <row r="654" spans="1:8" x14ac:dyDescent="0.25">
      <c r="A654" s="9" t="s">
        <v>1534</v>
      </c>
      <c r="B654" s="9" t="s">
        <v>1108</v>
      </c>
      <c r="C654">
        <v>4</v>
      </c>
      <c r="D654">
        <v>85</v>
      </c>
      <c r="E654">
        <v>2012</v>
      </c>
      <c r="F654" s="9" t="s">
        <v>1541</v>
      </c>
      <c r="H654" s="20" t="str">
        <f t="shared" si="10"/>
        <v>(nextval('obj_part_id_seq'), (select id from obj_building_v where zip||'|'||street||'|'||name||'|'||volume = '3043|Schülerweg 18|Oberstufenschulhaus/Aula|17300.00'), 'P8', 4, 85, 2012,'Leitungen i.O., Apparate ohne Mängel'),</v>
      </c>
    </row>
    <row r="655" spans="1:8" x14ac:dyDescent="0.25">
      <c r="A655" s="9" t="s">
        <v>1534</v>
      </c>
      <c r="B655" s="9" t="s">
        <v>1138</v>
      </c>
      <c r="C655">
        <v>11</v>
      </c>
      <c r="D655">
        <v>90</v>
      </c>
      <c r="E655">
        <v>2012</v>
      </c>
      <c r="F655" s="9" t="s">
        <v>1542</v>
      </c>
      <c r="H655" s="20" t="str">
        <f t="shared" si="10"/>
        <v>(nextval('obj_part_id_seq'), (select id from obj_building_v where zip||'|'||street||'|'||name||'|'||volume = '3043|Schülerweg 18|Oberstufenschulhaus/Aula|17300.00'), 'P57', 11, 90, 2012,'Einbauten, Garderobenschäfte, Arbeitssimse, Glasvitrinen, neue Küchenmöbel in Lehrerzimmer'),</v>
      </c>
    </row>
    <row r="656" spans="1:8" x14ac:dyDescent="0.25">
      <c r="A656" s="9" t="s">
        <v>1534</v>
      </c>
      <c r="B656" s="9" t="s">
        <v>1140</v>
      </c>
      <c r="C656">
        <v>8</v>
      </c>
      <c r="D656">
        <v>85</v>
      </c>
      <c r="E656">
        <v>2012</v>
      </c>
      <c r="F656" s="9" t="s">
        <v>1543</v>
      </c>
      <c r="H656" s="20" t="str">
        <f t="shared" si="10"/>
        <v>(nextval('obj_part_id_seq'), (select id from obj_building_v where zip||'|'||street||'|'||name||'|'||volume = '3043|Schülerweg 18|Oberstufenschulhaus/Aula|17300.00'), 'P58', 8, 85, 2012,'B: Keramik, Parkett im Saal u. Werkräumen, Linol, W: Täfer, Putz, Beton roh im Anbau, Keramik in Schulkü., D: Akustikpl. (Pavatex) im DG, Beton gestr., Täfer, Heraklit'),</v>
      </c>
    </row>
    <row r="657" spans="1:8" x14ac:dyDescent="0.25">
      <c r="A657" s="9" t="s">
        <v>1534</v>
      </c>
      <c r="B657" s="9" t="s">
        <v>1142</v>
      </c>
      <c r="C657">
        <v>0</v>
      </c>
      <c r="D657" t="s">
        <v>4080</v>
      </c>
      <c r="E657">
        <v>2012</v>
      </c>
      <c r="F657" s="9"/>
      <c r="H657" s="20" t="str">
        <f t="shared" si="10"/>
        <v>(nextval('obj_part_id_seq'), (select id from obj_building_v where zip||'|'||street||'|'||name||'|'||volume = '3043|Schülerweg 18|Oberstufenschulhaus/Aula|17300.00'), 'P60', 0, null, 2012,null),</v>
      </c>
    </row>
    <row r="658" spans="1:8" x14ac:dyDescent="0.25">
      <c r="A658" s="9" t="s">
        <v>1534</v>
      </c>
      <c r="B658" s="9" t="s">
        <v>1143</v>
      </c>
      <c r="C658">
        <v>0</v>
      </c>
      <c r="D658" t="s">
        <v>4080</v>
      </c>
      <c r="E658">
        <v>2012</v>
      </c>
      <c r="F658" s="9"/>
      <c r="H658" s="20" t="str">
        <f t="shared" si="10"/>
        <v>(nextval('obj_part_id_seq'), (select id from obj_building_v where zip||'|'||street||'|'||name||'|'||volume = '3043|Schülerweg 18|Oberstufenschulhaus/Aula|17300.00'), 'P61', 0, null, 2012,null),</v>
      </c>
    </row>
    <row r="659" spans="1:8" x14ac:dyDescent="0.25">
      <c r="A659" s="9" t="s">
        <v>1534</v>
      </c>
      <c r="B659" s="9" t="s">
        <v>1144</v>
      </c>
      <c r="C659">
        <v>0</v>
      </c>
      <c r="D659" t="s">
        <v>4080</v>
      </c>
      <c r="E659">
        <v>2012</v>
      </c>
      <c r="F659" s="9"/>
      <c r="H659" s="20" t="str">
        <f t="shared" si="10"/>
        <v>(nextval('obj_part_id_seq'), (select id from obj_building_v where zip||'|'||street||'|'||name||'|'||volume = '3043|Schülerweg 18|Oberstufenschulhaus/Aula|17300.00'), 'P62', 0, null, 2012,null),</v>
      </c>
    </row>
    <row r="660" spans="1:8" x14ac:dyDescent="0.25">
      <c r="A660" s="9" t="s">
        <v>1544</v>
      </c>
      <c r="B660" s="9" t="s">
        <v>1127</v>
      </c>
      <c r="C660">
        <v>67</v>
      </c>
      <c r="D660">
        <v>90</v>
      </c>
      <c r="E660">
        <v>2012</v>
      </c>
      <c r="F660" s="9" t="s">
        <v>1500</v>
      </c>
      <c r="H660" s="20" t="str">
        <f t="shared" si="10"/>
        <v>(nextval('obj_part_id_seq'), (select id from obj_building_v where zip||'|'||street||'|'||name||'|'||volume = '3043|Alpenblickweg 10|Velounterstand|110.00'), 'P48', 67, 90, 2012,'Stahlkonstruktion'),</v>
      </c>
    </row>
    <row r="661" spans="1:8" x14ac:dyDescent="0.25">
      <c r="A661" s="9" t="s">
        <v>1544</v>
      </c>
      <c r="B661" s="9" t="s">
        <v>1129</v>
      </c>
      <c r="C661">
        <v>0</v>
      </c>
      <c r="D661" t="s">
        <v>4080</v>
      </c>
      <c r="E661">
        <v>2012</v>
      </c>
      <c r="F661" s="9"/>
      <c r="H661" s="20" t="str">
        <f t="shared" si="10"/>
        <v>(nextval('obj_part_id_seq'), (select id from obj_building_v where zip||'|'||street||'|'||name||'|'||volume = '3043|Alpenblickweg 10|Velounterstand|110.00'), 'P49', 0, null, 2012,null),</v>
      </c>
    </row>
    <row r="662" spans="1:8" x14ac:dyDescent="0.25">
      <c r="A662" s="9" t="s">
        <v>1544</v>
      </c>
      <c r="B662" s="9" t="s">
        <v>1097</v>
      </c>
      <c r="C662">
        <v>25</v>
      </c>
      <c r="D662">
        <v>90</v>
      </c>
      <c r="E662">
        <v>2012</v>
      </c>
      <c r="F662" s="9" t="s">
        <v>1545</v>
      </c>
      <c r="H662" s="20" t="str">
        <f t="shared" si="10"/>
        <v>(nextval('obj_part_id_seq'), (select id from obj_building_v where zip||'|'||street||'|'||name||'|'||volume = '3043|Alpenblickweg 10|Velounterstand|110.00'), 'P2', 25, 90, 2012,'Glas/Metall'),</v>
      </c>
    </row>
    <row r="663" spans="1:8" x14ac:dyDescent="0.25">
      <c r="A663" s="9" t="s">
        <v>1544</v>
      </c>
      <c r="B663" s="9" t="s">
        <v>1099</v>
      </c>
      <c r="C663">
        <v>0</v>
      </c>
      <c r="D663" t="s">
        <v>4080</v>
      </c>
      <c r="E663">
        <v>2012</v>
      </c>
      <c r="F663" s="9"/>
      <c r="H663" s="20" t="str">
        <f t="shared" si="10"/>
        <v>(nextval('obj_part_id_seq'), (select id from obj_building_v where zip||'|'||street||'|'||name||'|'||volume = '3043|Alpenblickweg 10|Velounterstand|110.00'), 'P3', 0, null, 2012,null),</v>
      </c>
    </row>
    <row r="664" spans="1:8" x14ac:dyDescent="0.25">
      <c r="A664" s="9" t="s">
        <v>1544</v>
      </c>
      <c r="B664" s="9" t="s">
        <v>1100</v>
      </c>
      <c r="C664">
        <v>0</v>
      </c>
      <c r="D664" t="s">
        <v>4080</v>
      </c>
      <c r="E664">
        <v>2012</v>
      </c>
      <c r="F664" s="9"/>
      <c r="H664" s="20" t="str">
        <f t="shared" si="10"/>
        <v>(nextval('obj_part_id_seq'), (select id from obj_building_v where zip||'|'||street||'|'||name||'|'||volume = '3043|Alpenblickweg 10|Velounterstand|110.00'), 'P4', 0, null, 2012,null),</v>
      </c>
    </row>
    <row r="665" spans="1:8" x14ac:dyDescent="0.25">
      <c r="A665" s="9" t="s">
        <v>1544</v>
      </c>
      <c r="B665" s="9" t="s">
        <v>1102</v>
      </c>
      <c r="C665">
        <v>0</v>
      </c>
      <c r="D665" t="s">
        <v>4080</v>
      </c>
      <c r="E665">
        <v>2012</v>
      </c>
      <c r="F665" s="9"/>
      <c r="H665" s="20" t="str">
        <f t="shared" si="10"/>
        <v>(nextval('obj_part_id_seq'), (select id from obj_building_v where zip||'|'||street||'|'||name||'|'||volume = '3043|Alpenblickweg 10|Velounterstand|110.00'), 'P5', 0, null, 2012,null),</v>
      </c>
    </row>
    <row r="666" spans="1:8" x14ac:dyDescent="0.25">
      <c r="A666" s="9" t="s">
        <v>1544</v>
      </c>
      <c r="B666" s="9" t="s">
        <v>1164</v>
      </c>
      <c r="C666">
        <v>4</v>
      </c>
      <c r="D666">
        <v>90</v>
      </c>
      <c r="E666">
        <v>2012</v>
      </c>
      <c r="F666" s="9" t="s">
        <v>1295</v>
      </c>
      <c r="H666" s="20" t="str">
        <f t="shared" si="10"/>
        <v>(nextval('obj_part_id_seq'), (select id from obj_building_v where zip||'|'||street||'|'||name||'|'||volume = '3043|Alpenblickweg 10|Velounterstand|110.00'), 'P50', 4, 90, 2012,'Beleuchtung'),</v>
      </c>
    </row>
    <row r="667" spans="1:8" x14ac:dyDescent="0.25">
      <c r="A667" s="9" t="s">
        <v>1544</v>
      </c>
      <c r="B667" s="9" t="s">
        <v>1166</v>
      </c>
      <c r="C667">
        <v>0</v>
      </c>
      <c r="D667" t="s">
        <v>4080</v>
      </c>
      <c r="E667">
        <v>2012</v>
      </c>
      <c r="F667" s="9"/>
      <c r="H667" s="20" t="str">
        <f t="shared" si="10"/>
        <v>(nextval('obj_part_id_seq'), (select id from obj_building_v where zip||'|'||street||'|'||name||'|'||volume = '3043|Alpenblickweg 10|Velounterstand|110.00'), 'P51', 0, null, 2012,null),</v>
      </c>
    </row>
    <row r="668" spans="1:8" x14ac:dyDescent="0.25">
      <c r="A668" s="9" t="s">
        <v>1544</v>
      </c>
      <c r="B668" s="9" t="s">
        <v>1104</v>
      </c>
      <c r="C668">
        <v>0</v>
      </c>
      <c r="D668" t="s">
        <v>4080</v>
      </c>
      <c r="E668">
        <v>2012</v>
      </c>
      <c r="F668" s="9"/>
      <c r="H668" s="20" t="str">
        <f t="shared" si="10"/>
        <v>(nextval('obj_part_id_seq'), (select id from obj_building_v where zip||'|'||street||'|'||name||'|'||volume = '3043|Alpenblickweg 10|Velounterstand|110.00'), 'P6', 0, null, 2012,null),</v>
      </c>
    </row>
    <row r="669" spans="1:8" x14ac:dyDescent="0.25">
      <c r="A669" s="9" t="s">
        <v>1544</v>
      </c>
      <c r="B669" s="9" t="s">
        <v>1106</v>
      </c>
      <c r="C669">
        <v>0</v>
      </c>
      <c r="D669" t="s">
        <v>4080</v>
      </c>
      <c r="E669">
        <v>2012</v>
      </c>
      <c r="F669" s="9"/>
      <c r="H669" s="20" t="str">
        <f t="shared" si="10"/>
        <v>(nextval('obj_part_id_seq'), (select id from obj_building_v where zip||'|'||street||'|'||name||'|'||volume = '3043|Alpenblickweg 10|Velounterstand|110.00'), 'P7', 0, null, 2012,null),</v>
      </c>
    </row>
    <row r="670" spans="1:8" x14ac:dyDescent="0.25">
      <c r="A670" s="9" t="s">
        <v>1544</v>
      </c>
      <c r="B670" s="9" t="s">
        <v>1108</v>
      </c>
      <c r="C670">
        <v>4</v>
      </c>
      <c r="D670">
        <v>90</v>
      </c>
      <c r="E670">
        <v>2012</v>
      </c>
      <c r="F670" s="9" t="s">
        <v>1502</v>
      </c>
      <c r="H670" s="20" t="str">
        <f t="shared" si="10"/>
        <v>(nextval('obj_part_id_seq'), (select id from obj_building_v where zip||'|'||street||'|'||name||'|'||volume = '3043|Alpenblickweg 10|Velounterstand|110.00'), 'P8', 4, 90, 2012,'Dachwasserablauf'),</v>
      </c>
    </row>
    <row r="671" spans="1:8" x14ac:dyDescent="0.25">
      <c r="A671" s="9" t="s">
        <v>1544</v>
      </c>
      <c r="B671" s="9" t="s">
        <v>1138</v>
      </c>
      <c r="C671">
        <v>0</v>
      </c>
      <c r="D671" t="s">
        <v>4080</v>
      </c>
      <c r="E671">
        <v>2012</v>
      </c>
      <c r="F671" s="9"/>
      <c r="H671" s="20" t="str">
        <f t="shared" si="10"/>
        <v>(nextval('obj_part_id_seq'), (select id from obj_building_v where zip||'|'||street||'|'||name||'|'||volume = '3043|Alpenblickweg 10|Velounterstand|110.00'), 'P57', 0, null, 2012,null),</v>
      </c>
    </row>
    <row r="672" spans="1:8" x14ac:dyDescent="0.25">
      <c r="A672" s="9" t="s">
        <v>1544</v>
      </c>
      <c r="B672" s="9" t="s">
        <v>1140</v>
      </c>
      <c r="C672">
        <v>0</v>
      </c>
      <c r="D672" t="s">
        <v>4080</v>
      </c>
      <c r="E672">
        <v>2012</v>
      </c>
      <c r="F672" s="9"/>
      <c r="H672" s="20" t="str">
        <f t="shared" si="10"/>
        <v>(nextval('obj_part_id_seq'), (select id from obj_building_v where zip||'|'||street||'|'||name||'|'||volume = '3043|Alpenblickweg 10|Velounterstand|110.00'), 'P58', 0, null, 2012,null),</v>
      </c>
    </row>
    <row r="673" spans="1:8" x14ac:dyDescent="0.25">
      <c r="A673" s="9" t="s">
        <v>1544</v>
      </c>
      <c r="B673" s="9" t="s">
        <v>1142</v>
      </c>
      <c r="C673">
        <v>0</v>
      </c>
      <c r="D673" t="s">
        <v>4080</v>
      </c>
      <c r="E673">
        <v>2012</v>
      </c>
      <c r="F673" s="9"/>
      <c r="H673" s="20" t="str">
        <f t="shared" si="10"/>
        <v>(nextval('obj_part_id_seq'), (select id from obj_building_v where zip||'|'||street||'|'||name||'|'||volume = '3043|Alpenblickweg 10|Velounterstand|110.00'), 'P60', 0, null, 2012,null),</v>
      </c>
    </row>
    <row r="674" spans="1:8" x14ac:dyDescent="0.25">
      <c r="A674" s="9" t="s">
        <v>1544</v>
      </c>
      <c r="B674" s="9" t="s">
        <v>1143</v>
      </c>
      <c r="C674">
        <v>0</v>
      </c>
      <c r="D674" t="s">
        <v>4080</v>
      </c>
      <c r="E674">
        <v>2012</v>
      </c>
      <c r="F674" s="9"/>
      <c r="H674" s="20" t="str">
        <f t="shared" si="10"/>
        <v>(nextval('obj_part_id_seq'), (select id from obj_building_v where zip||'|'||street||'|'||name||'|'||volume = '3043|Alpenblickweg 10|Velounterstand|110.00'), 'P61', 0, null, 2012,null),</v>
      </c>
    </row>
    <row r="675" spans="1:8" x14ac:dyDescent="0.25">
      <c r="A675" s="9" t="s">
        <v>1544</v>
      </c>
      <c r="B675" s="9" t="s">
        <v>1144</v>
      </c>
      <c r="C675">
        <v>0</v>
      </c>
      <c r="D675" t="s">
        <v>4080</v>
      </c>
      <c r="E675">
        <v>2012</v>
      </c>
      <c r="F675" s="9"/>
      <c r="H675" s="20" t="str">
        <f t="shared" si="10"/>
        <v>(nextval('obj_part_id_seq'), (select id from obj_building_v where zip||'|'||street||'|'||name||'|'||volume = '3043|Alpenblickweg 10|Velounterstand|110.00'), 'P62', 0, null, 2012,null),</v>
      </c>
    </row>
    <row r="676" spans="1:8" x14ac:dyDescent="0.25">
      <c r="A676" s="9" t="s">
        <v>1546</v>
      </c>
      <c r="B676" s="9" t="s">
        <v>1127</v>
      </c>
      <c r="C676">
        <v>39</v>
      </c>
      <c r="D676">
        <v>0</v>
      </c>
      <c r="E676">
        <v>2013</v>
      </c>
      <c r="F676" s="9"/>
      <c r="H676" s="20" t="str">
        <f t="shared" si="10"/>
        <v>(nextval('obj_part_id_seq'), (select id from obj_building_v where zip||'|'||street||'|'||name||'|'||volume = '7304||Rathaus|5266.00'), 'P48', 39, 0, 2013,null),</v>
      </c>
    </row>
    <row r="677" spans="1:8" x14ac:dyDescent="0.25">
      <c r="A677" s="9" t="s">
        <v>1546</v>
      </c>
      <c r="B677" s="9" t="s">
        <v>1129</v>
      </c>
      <c r="C677">
        <v>0</v>
      </c>
      <c r="D677" t="s">
        <v>4080</v>
      </c>
      <c r="E677">
        <v>2013</v>
      </c>
      <c r="F677" s="9"/>
      <c r="H677" s="20" t="str">
        <f t="shared" si="10"/>
        <v>(nextval('obj_part_id_seq'), (select id from obj_building_v where zip||'|'||street||'|'||name||'|'||volume = '7304||Rathaus|5266.00'), 'P49', 0, null, 2013,null),</v>
      </c>
    </row>
    <row r="678" spans="1:8" x14ac:dyDescent="0.25">
      <c r="A678" s="9" t="s">
        <v>1546</v>
      </c>
      <c r="B678" s="9" t="s">
        <v>1097</v>
      </c>
      <c r="C678">
        <v>0</v>
      </c>
      <c r="D678" t="s">
        <v>4080</v>
      </c>
      <c r="E678">
        <v>2013</v>
      </c>
      <c r="F678" s="9"/>
      <c r="H678" s="20" t="str">
        <f t="shared" si="10"/>
        <v>(nextval('obj_part_id_seq'), (select id from obj_building_v where zip||'|'||street||'|'||name||'|'||volume = '7304||Rathaus|5266.00'), 'P2', 0, null, 2013,null),</v>
      </c>
    </row>
    <row r="679" spans="1:8" x14ac:dyDescent="0.25">
      <c r="A679" s="9" t="s">
        <v>1546</v>
      </c>
      <c r="B679" s="9" t="s">
        <v>1099</v>
      </c>
      <c r="C679">
        <v>12</v>
      </c>
      <c r="D679">
        <v>0</v>
      </c>
      <c r="E679">
        <v>2013</v>
      </c>
      <c r="F679" s="9"/>
      <c r="H679" s="20" t="str">
        <f t="shared" si="10"/>
        <v>(nextval('obj_part_id_seq'), (select id from obj_building_v where zip||'|'||street||'|'||name||'|'||volume = '7304||Rathaus|5266.00'), 'P3', 12, 0, 2013,null),</v>
      </c>
    </row>
    <row r="680" spans="1:8" x14ac:dyDescent="0.25">
      <c r="A680" s="9" t="s">
        <v>1546</v>
      </c>
      <c r="B680" s="9" t="s">
        <v>1100</v>
      </c>
      <c r="C680">
        <v>6</v>
      </c>
      <c r="D680">
        <v>0</v>
      </c>
      <c r="E680">
        <v>2013</v>
      </c>
      <c r="F680" s="9"/>
      <c r="H680" s="20" t="str">
        <f t="shared" si="10"/>
        <v>(nextval('obj_part_id_seq'), (select id from obj_building_v where zip||'|'||street||'|'||name||'|'||volume = '7304||Rathaus|5266.00'), 'P4', 6, 0, 2013,null),</v>
      </c>
    </row>
    <row r="681" spans="1:8" x14ac:dyDescent="0.25">
      <c r="A681" s="9" t="s">
        <v>1546</v>
      </c>
      <c r="B681" s="9" t="s">
        <v>1102</v>
      </c>
      <c r="C681">
        <v>11</v>
      </c>
      <c r="D681">
        <v>0</v>
      </c>
      <c r="E681">
        <v>2013</v>
      </c>
      <c r="F681" s="9"/>
      <c r="H681" s="20" t="str">
        <f t="shared" si="10"/>
        <v>(nextval('obj_part_id_seq'), (select id from obj_building_v where zip||'|'||street||'|'||name||'|'||volume = '7304||Rathaus|5266.00'), 'P5', 11, 0, 2013,null),</v>
      </c>
    </row>
    <row r="682" spans="1:8" x14ac:dyDescent="0.25">
      <c r="A682" s="9" t="s">
        <v>1546</v>
      </c>
      <c r="B682" s="9" t="s">
        <v>1110</v>
      </c>
      <c r="C682">
        <v>7</v>
      </c>
      <c r="D682">
        <v>0</v>
      </c>
      <c r="E682">
        <v>2013</v>
      </c>
      <c r="F682" s="9"/>
      <c r="H682" s="20" t="str">
        <f t="shared" si="10"/>
        <v>(nextval('obj_part_id_seq'), (select id from obj_building_v where zip||'|'||street||'|'||name||'|'||volume = '7304||Rathaus|5266.00'), 'P9', 7, 0, 2013,null),</v>
      </c>
    </row>
    <row r="683" spans="1:8" x14ac:dyDescent="0.25">
      <c r="A683" s="9" t="s">
        <v>1546</v>
      </c>
      <c r="B683" s="9" t="s">
        <v>1104</v>
      </c>
      <c r="C683">
        <v>1</v>
      </c>
      <c r="D683">
        <v>0</v>
      </c>
      <c r="E683">
        <v>2013</v>
      </c>
      <c r="F683" s="9"/>
      <c r="H683" s="20" t="str">
        <f t="shared" si="10"/>
        <v>(nextval('obj_part_id_seq'), (select id from obj_building_v where zip||'|'||street||'|'||name||'|'||volume = '7304||Rathaus|5266.00'), 'P6', 1, 0, 2013,null),</v>
      </c>
    </row>
    <row r="684" spans="1:8" x14ac:dyDescent="0.25">
      <c r="A684" s="9" t="s">
        <v>1546</v>
      </c>
      <c r="B684" s="9" t="s">
        <v>1106</v>
      </c>
      <c r="C684">
        <v>3</v>
      </c>
      <c r="D684">
        <v>0</v>
      </c>
      <c r="E684">
        <v>2013</v>
      </c>
      <c r="F684" s="9"/>
      <c r="H684" s="20" t="str">
        <f t="shared" si="10"/>
        <v>(nextval('obj_part_id_seq'), (select id from obj_building_v where zip||'|'||street||'|'||name||'|'||volume = '7304||Rathaus|5266.00'), 'P7', 3, 0, 2013,null),</v>
      </c>
    </row>
    <row r="685" spans="1:8" x14ac:dyDescent="0.25">
      <c r="A685" s="9" t="s">
        <v>1546</v>
      </c>
      <c r="B685" s="9" t="s">
        <v>1108</v>
      </c>
      <c r="C685">
        <v>5</v>
      </c>
      <c r="D685">
        <v>0</v>
      </c>
      <c r="E685">
        <v>2013</v>
      </c>
      <c r="F685" s="9"/>
      <c r="H685" s="20" t="str">
        <f t="shared" si="10"/>
        <v>(nextval('obj_part_id_seq'), (select id from obj_building_v where zip||'|'||street||'|'||name||'|'||volume = '7304||Rathaus|5266.00'), 'P8', 5, 0, 2013,null),</v>
      </c>
    </row>
    <row r="686" spans="1:8" x14ac:dyDescent="0.25">
      <c r="A686" s="9" t="s">
        <v>1546</v>
      </c>
      <c r="B686" s="9" t="s">
        <v>1155</v>
      </c>
      <c r="C686">
        <v>3</v>
      </c>
      <c r="D686">
        <v>0</v>
      </c>
      <c r="E686">
        <v>2013</v>
      </c>
      <c r="F686" s="9"/>
      <c r="H686" s="20" t="str">
        <f t="shared" si="10"/>
        <v>(nextval('obj_part_id_seq'), (select id from obj_building_v where zip||'|'||street||'|'||name||'|'||volume = '7304||Rathaus|5266.00'), 'P56', 3, 0, 2013,null),</v>
      </c>
    </row>
    <row r="687" spans="1:8" x14ac:dyDescent="0.25">
      <c r="A687" s="9" t="s">
        <v>1546</v>
      </c>
      <c r="B687" s="9" t="s">
        <v>1138</v>
      </c>
      <c r="C687">
        <v>9</v>
      </c>
      <c r="D687">
        <v>0</v>
      </c>
      <c r="E687">
        <v>2013</v>
      </c>
      <c r="F687" s="9"/>
      <c r="H687" s="20" t="str">
        <f t="shared" si="10"/>
        <v>(nextval('obj_part_id_seq'), (select id from obj_building_v where zip||'|'||street||'|'||name||'|'||volume = '7304||Rathaus|5266.00'), 'P57', 9, 0, 2013,null),</v>
      </c>
    </row>
    <row r="688" spans="1:8" x14ac:dyDescent="0.25">
      <c r="A688" s="9" t="s">
        <v>1546</v>
      </c>
      <c r="B688" s="9" t="s">
        <v>1140</v>
      </c>
      <c r="C688">
        <v>4</v>
      </c>
      <c r="D688">
        <v>0</v>
      </c>
      <c r="E688">
        <v>2013</v>
      </c>
      <c r="F688" s="9"/>
      <c r="H688" s="20" t="str">
        <f t="shared" si="10"/>
        <v>(nextval('obj_part_id_seq'), (select id from obj_building_v where zip||'|'||street||'|'||name||'|'||volume = '7304||Rathaus|5266.00'), 'P58', 4, 0, 2013,null),</v>
      </c>
    </row>
    <row r="689" spans="1:8" x14ac:dyDescent="0.25">
      <c r="A689" s="9" t="s">
        <v>1546</v>
      </c>
      <c r="B689" s="9" t="s">
        <v>1142</v>
      </c>
      <c r="C689">
        <v>0</v>
      </c>
      <c r="D689" t="s">
        <v>4080</v>
      </c>
      <c r="E689">
        <v>2013</v>
      </c>
      <c r="F689" s="9"/>
      <c r="H689" s="20" t="str">
        <f t="shared" si="10"/>
        <v>(nextval('obj_part_id_seq'), (select id from obj_building_v where zip||'|'||street||'|'||name||'|'||volume = '7304||Rathaus|5266.00'), 'P60', 0, null, 2013,null),</v>
      </c>
    </row>
    <row r="690" spans="1:8" x14ac:dyDescent="0.25">
      <c r="A690" s="9" t="s">
        <v>1546</v>
      </c>
      <c r="B690" s="9" t="s">
        <v>1143</v>
      </c>
      <c r="C690">
        <v>0</v>
      </c>
      <c r="D690" t="s">
        <v>4080</v>
      </c>
      <c r="E690">
        <v>2013</v>
      </c>
      <c r="F690" s="9"/>
      <c r="H690" s="20" t="str">
        <f t="shared" si="10"/>
        <v>(nextval('obj_part_id_seq'), (select id from obj_building_v where zip||'|'||street||'|'||name||'|'||volume = '7304||Rathaus|5266.00'), 'P61', 0, null, 2013,null),</v>
      </c>
    </row>
    <row r="691" spans="1:8" x14ac:dyDescent="0.25">
      <c r="A691" s="9" t="s">
        <v>1546</v>
      </c>
      <c r="B691" s="9" t="s">
        <v>1144</v>
      </c>
      <c r="C691">
        <v>0</v>
      </c>
      <c r="D691" t="s">
        <v>4080</v>
      </c>
      <c r="E691">
        <v>2013</v>
      </c>
      <c r="F691" s="9"/>
      <c r="H691" s="20" t="str">
        <f t="shared" si="10"/>
        <v>(nextval('obj_part_id_seq'), (select id from obj_building_v where zip||'|'||street||'|'||name||'|'||volume = '7304||Rathaus|5266.00'), 'P62', 0, null, 2013,null),</v>
      </c>
    </row>
    <row r="692" spans="1:8" x14ac:dyDescent="0.25">
      <c r="A692" s="9" t="s">
        <v>1547</v>
      </c>
      <c r="B692" s="9" t="s">
        <v>1095</v>
      </c>
      <c r="C692">
        <v>35</v>
      </c>
      <c r="D692">
        <v>70</v>
      </c>
      <c r="E692">
        <v>2010</v>
      </c>
      <c r="F692" s="9" t="s">
        <v>1118</v>
      </c>
      <c r="H692" s="20" t="str">
        <f t="shared" si="10"/>
        <v>(nextval('obj_part_id_seq'), (select id from obj_building_v where zip||'|'||street||'|'||name||'|'||volume = '7304||Alte Turnhalle|7409.00'), 'P1', 35, 70, 2010,'Massiv'),</v>
      </c>
    </row>
    <row r="693" spans="1:8" x14ac:dyDescent="0.25">
      <c r="A693" s="9" t="s">
        <v>1547</v>
      </c>
      <c r="B693" s="9" t="s">
        <v>1097</v>
      </c>
      <c r="C693">
        <v>4</v>
      </c>
      <c r="D693">
        <v>70</v>
      </c>
      <c r="E693">
        <v>2010</v>
      </c>
      <c r="F693" s="9" t="s">
        <v>1548</v>
      </c>
      <c r="H693" s="20" t="str">
        <f t="shared" si="10"/>
        <v>(nextval('obj_part_id_seq'), (select id from obj_building_v where zip||'|'||street||'|'||name||'|'||volume = '7304||Alte Turnhalle|7409.00'), 'P2', 4, 70, 2010,'Kaltdach'),</v>
      </c>
    </row>
    <row r="694" spans="1:8" x14ac:dyDescent="0.25">
      <c r="A694" s="9" t="s">
        <v>1547</v>
      </c>
      <c r="B694" s="9" t="s">
        <v>1099</v>
      </c>
      <c r="C694">
        <v>0</v>
      </c>
      <c r="D694" t="s">
        <v>4080</v>
      </c>
      <c r="E694">
        <v>2010</v>
      </c>
      <c r="F694" s="9"/>
      <c r="H694" s="20" t="str">
        <f t="shared" si="10"/>
        <v>(nextval('obj_part_id_seq'), (select id from obj_building_v where zip||'|'||street||'|'||name||'|'||volume = '7304||Alte Turnhalle|7409.00'), 'P3', 0, null, 2010,null),</v>
      </c>
    </row>
    <row r="695" spans="1:8" x14ac:dyDescent="0.25">
      <c r="A695" s="9" t="s">
        <v>1547</v>
      </c>
      <c r="B695" s="9" t="s">
        <v>1100</v>
      </c>
      <c r="C695">
        <v>8</v>
      </c>
      <c r="D695">
        <v>70</v>
      </c>
      <c r="E695">
        <v>2010</v>
      </c>
      <c r="F695" s="9" t="s">
        <v>1549</v>
      </c>
      <c r="H695" s="20" t="str">
        <f t="shared" si="10"/>
        <v>(nextval('obj_part_id_seq'), (select id from obj_building_v where zip||'|'||street||'|'||name||'|'||volume = '7304||Alte Turnhalle|7409.00'), 'P4', 8, 70, 2010,'Massiv, o. Isolation'),</v>
      </c>
    </row>
    <row r="696" spans="1:8" x14ac:dyDescent="0.25">
      <c r="A696" s="9" t="s">
        <v>1547</v>
      </c>
      <c r="B696" s="9" t="s">
        <v>1102</v>
      </c>
      <c r="C696">
        <v>8</v>
      </c>
      <c r="D696">
        <v>80</v>
      </c>
      <c r="E696">
        <v>2010</v>
      </c>
      <c r="F696" s="9" t="s">
        <v>1550</v>
      </c>
      <c r="H696" s="20" t="str">
        <f t="shared" si="10"/>
        <v>(nextval('obj_part_id_seq'), (select id from obj_building_v where zip||'|'||street||'|'||name||'|'||volume = '7304||Alte Turnhalle|7409.00'), 'P5', 8, 80, 2010,'IV'),</v>
      </c>
    </row>
    <row r="697" spans="1:8" x14ac:dyDescent="0.25">
      <c r="A697" s="9" t="s">
        <v>1547</v>
      </c>
      <c r="B697" s="9" t="s">
        <v>1104</v>
      </c>
      <c r="C697">
        <v>1</v>
      </c>
      <c r="D697">
        <v>90</v>
      </c>
      <c r="E697">
        <v>2010</v>
      </c>
      <c r="F697" s="9" t="s">
        <v>1551</v>
      </c>
      <c r="H697" s="20" t="str">
        <f t="shared" si="10"/>
        <v>(nextval('obj_part_id_seq'), (select id from obj_building_v where zip||'|'||street||'|'||name||'|'||volume = '7304||Alte Turnhalle|7409.00'), 'P6', 1, 90, 2010,'Fernwärme (Holz- schnitzelfeuerungs- anlage)'),</v>
      </c>
    </row>
    <row r="698" spans="1:8" x14ac:dyDescent="0.25">
      <c r="A698" s="9" t="s">
        <v>1547</v>
      </c>
      <c r="B698" s="9" t="s">
        <v>1106</v>
      </c>
      <c r="C698">
        <v>2</v>
      </c>
      <c r="D698">
        <v>80</v>
      </c>
      <c r="E698">
        <v>2010</v>
      </c>
      <c r="F698" s="9" t="s">
        <v>1552</v>
      </c>
      <c r="H698" s="20" t="str">
        <f t="shared" si="10"/>
        <v>(nextval('obj_part_id_seq'), (select id from obj_building_v where zip||'|'||street||'|'||name||'|'||volume = '7304||Alte Turnhalle|7409.00'), 'P7', 2, 80, 2010,'Radiatoren mit Thermostaten, im UG Heizlüfter'),</v>
      </c>
    </row>
    <row r="699" spans="1:8" x14ac:dyDescent="0.25">
      <c r="A699" s="9" t="s">
        <v>1547</v>
      </c>
      <c r="B699" s="9" t="s">
        <v>1108</v>
      </c>
      <c r="C699">
        <v>6</v>
      </c>
      <c r="D699">
        <v>70</v>
      </c>
      <c r="E699">
        <v>2010</v>
      </c>
      <c r="F699" s="9" t="s">
        <v>1553</v>
      </c>
      <c r="H699" s="20" t="str">
        <f t="shared" si="10"/>
        <v>(nextval('obj_part_id_seq'), (select id from obj_building_v where zip||'|'||street||'|'||name||'|'||volume = '7304||Alte Turnhalle|7409.00'), 'P8', 6, 70, 2010,'WC/Küche'),</v>
      </c>
    </row>
    <row r="700" spans="1:8" x14ac:dyDescent="0.25">
      <c r="A700" s="9" t="s">
        <v>1547</v>
      </c>
      <c r="B700" s="9" t="s">
        <v>1110</v>
      </c>
      <c r="C700">
        <v>6</v>
      </c>
      <c r="D700">
        <v>75</v>
      </c>
      <c r="E700">
        <v>2010</v>
      </c>
      <c r="F700" s="9" t="s">
        <v>1554</v>
      </c>
      <c r="H700" s="20" t="str">
        <f t="shared" si="10"/>
        <v>(nextval('obj_part_id_seq'), (select id from obj_building_v where zip||'|'||street||'|'||name||'|'||volume = '7304||Alte Turnhalle|7409.00'), 'P9', 6, 75, 2010,'Leuchten im EG neu'),</v>
      </c>
    </row>
    <row r="701" spans="1:8" x14ac:dyDescent="0.25">
      <c r="A701" s="9" t="s">
        <v>1547</v>
      </c>
      <c r="B701" s="9" t="s">
        <v>1112</v>
      </c>
      <c r="C701">
        <v>3</v>
      </c>
      <c r="D701">
        <v>70</v>
      </c>
      <c r="E701">
        <v>2010</v>
      </c>
      <c r="F701" s="9" t="s">
        <v>1555</v>
      </c>
      <c r="H701" s="20" t="str">
        <f t="shared" si="10"/>
        <v>(nextval('obj_part_id_seq'), (select id from obj_building_v where zip||'|'||street||'|'||name||'|'||volume = '7304||Alte Turnhalle|7409.00'), 'P10', 3, 70, 2010,'Warenlift ausser Betrieb'),</v>
      </c>
    </row>
    <row r="702" spans="1:8" x14ac:dyDescent="0.25">
      <c r="A702" s="9" t="s">
        <v>1547</v>
      </c>
      <c r="B702" s="9" t="s">
        <v>1114</v>
      </c>
      <c r="C702">
        <v>27</v>
      </c>
      <c r="D702">
        <v>85</v>
      </c>
      <c r="E702">
        <v>2010</v>
      </c>
      <c r="F702" s="9" t="s">
        <v>1556</v>
      </c>
      <c r="H702" s="20" t="str">
        <f t="shared" si="10"/>
        <v>(nextval('obj_part_id_seq'), (select id from obj_building_v where zip||'|'||street||'|'||name||'|'||volume = '7304||Alte Turnhalle|7409.00'), 'P11', 27, 85, 2010,'Wände neu gestrichen, Treppenhaus Kunststein'),</v>
      </c>
    </row>
    <row r="703" spans="1:8" x14ac:dyDescent="0.25">
      <c r="A703" s="9" t="s">
        <v>1547</v>
      </c>
      <c r="B703" s="9" t="s">
        <v>1114</v>
      </c>
      <c r="C703">
        <v>0</v>
      </c>
      <c r="D703" t="s">
        <v>4080</v>
      </c>
      <c r="E703">
        <v>2010</v>
      </c>
      <c r="F703" s="9"/>
      <c r="H703" s="20" t="str">
        <f t="shared" si="10"/>
        <v>(nextval('obj_part_id_seq'), (select id from obj_building_v where zip||'|'||street||'|'||name||'|'||volume = '7304||Alte Turnhalle|7409.00'), 'P11', 0, null, 2010,null),</v>
      </c>
    </row>
    <row r="704" spans="1:8" x14ac:dyDescent="0.25">
      <c r="A704" s="9" t="s">
        <v>1547</v>
      </c>
      <c r="B704" s="9" t="s">
        <v>1116</v>
      </c>
      <c r="C704">
        <v>0</v>
      </c>
      <c r="D704" t="s">
        <v>4080</v>
      </c>
      <c r="E704">
        <v>2010</v>
      </c>
      <c r="F704" s="9"/>
      <c r="H704" s="20" t="str">
        <f t="shared" si="10"/>
        <v>(nextval('obj_part_id_seq'), (select id from obj_building_v where zip||'|'||street||'|'||name||'|'||volume = '7304||Alte Turnhalle|7409.00'), 'P12', 0, null, 2010,null),</v>
      </c>
    </row>
    <row r="705" spans="1:8" x14ac:dyDescent="0.25">
      <c r="A705" s="9" t="s">
        <v>1557</v>
      </c>
      <c r="B705" s="9" t="s">
        <v>1127</v>
      </c>
      <c r="C705">
        <v>24</v>
      </c>
      <c r="D705">
        <v>70</v>
      </c>
      <c r="E705">
        <v>2010</v>
      </c>
      <c r="F705" s="9" t="s">
        <v>1558</v>
      </c>
      <c r="H705" s="20" t="str">
        <f t="shared" si="10"/>
        <v>(nextval('obj_part_id_seq'), (select id from obj_building_v where zip||'|'||street||'|'||name||'|'||volume = '8253|Schulstr. 38|Kindergarten Basadingen|1049.00'), 'P48', 24, 70, 2010,'Hourdisdecke, hinterlüftet mit Stützen'),</v>
      </c>
    </row>
    <row r="706" spans="1:8" x14ac:dyDescent="0.25">
      <c r="A706" s="9" t="s">
        <v>1557</v>
      </c>
      <c r="B706" s="9" t="s">
        <v>1129</v>
      </c>
      <c r="C706">
        <v>0</v>
      </c>
      <c r="D706" t="s">
        <v>4080</v>
      </c>
      <c r="E706">
        <v>2010</v>
      </c>
      <c r="F706" s="9"/>
      <c r="H706" s="20" t="str">
        <f t="shared" si="10"/>
        <v>(nextval('obj_part_id_seq'), (select id from obj_building_v where zip||'|'||street||'|'||name||'|'||volume = '8253|Schulstr. 38|Kindergarten Basadingen|1049.00'), 'P49', 0, null, 2010,null),</v>
      </c>
    </row>
    <row r="707" spans="1:8" x14ac:dyDescent="0.25">
      <c r="A707" s="9" t="s">
        <v>1557</v>
      </c>
      <c r="B707" s="9" t="s">
        <v>1097</v>
      </c>
      <c r="C707">
        <v>20</v>
      </c>
      <c r="D707">
        <v>70</v>
      </c>
      <c r="E707">
        <v>2010</v>
      </c>
      <c r="F707" s="9" t="s">
        <v>1559</v>
      </c>
      <c r="H707" s="20" t="str">
        <f t="shared" si="10"/>
        <v>(nextval('obj_part_id_seq'), (select id from obj_building_v where zip||'|'||street||'|'||name||'|'||volume = '8253|Schulstr. 38|Kindergarten Basadingen|1049.00'), 'P2', 20, 70, 2010,'Pfettendach m. 10cm Dämmung'),</v>
      </c>
    </row>
    <row r="708" spans="1:8" x14ac:dyDescent="0.25">
      <c r="A708" s="9" t="s">
        <v>1557</v>
      </c>
      <c r="B708" s="9" t="s">
        <v>1099</v>
      </c>
      <c r="C708">
        <v>0</v>
      </c>
      <c r="D708" t="s">
        <v>4080</v>
      </c>
      <c r="E708">
        <v>2010</v>
      </c>
      <c r="F708" s="9"/>
      <c r="H708" s="20" t="str">
        <f t="shared" si="10"/>
        <v>(nextval('obj_part_id_seq'), (select id from obj_building_v where zip||'|'||street||'|'||name||'|'||volume = '8253|Schulstr. 38|Kindergarten Basadingen|1049.00'), 'P3', 0, null, 2010,null),</v>
      </c>
    </row>
    <row r="709" spans="1:8" x14ac:dyDescent="0.25">
      <c r="A709" s="9" t="s">
        <v>1557</v>
      </c>
      <c r="B709" s="9" t="s">
        <v>1100</v>
      </c>
      <c r="C709">
        <v>8</v>
      </c>
      <c r="D709">
        <v>50</v>
      </c>
      <c r="E709">
        <v>2010</v>
      </c>
      <c r="F709" s="9" t="s">
        <v>1560</v>
      </c>
      <c r="H709" s="20" t="str">
        <f t="shared" ref="H709:H772" si="11">"(nextval('obj_part_id_seq'), (select id from obj_building_v where zip||'|'||street||'|'||name||'|'||volume = '"&amp;A709&amp;"'), '"&amp;B709&amp;"', "&amp;C709&amp;", "&amp;D709&amp;", "&amp;IF(ISBLANK(E709),"null",E709)&amp;","&amp;IF(ISBLANK(F709),"null","'"&amp;F709&amp;"'")&amp;"),"</f>
        <v>(nextval('obj_part_id_seq'), (select id from obj_building_v where zip||'|'||street||'|'||name||'|'||volume = '8253|Schulstr. 38|Kindergarten Basadingen|1049.00'), 'P4', 8, 50, 2010,'Massiv, verputzt und Holzstützen'),</v>
      </c>
    </row>
    <row r="710" spans="1:8" x14ac:dyDescent="0.25">
      <c r="A710" s="9" t="s">
        <v>1557</v>
      </c>
      <c r="B710" s="9" t="s">
        <v>1102</v>
      </c>
      <c r="C710">
        <v>14</v>
      </c>
      <c r="D710">
        <v>70</v>
      </c>
      <c r="E710">
        <v>2010</v>
      </c>
      <c r="F710" s="9" t="s">
        <v>1561</v>
      </c>
      <c r="H710" s="20" t="str">
        <f t="shared" si="11"/>
        <v>(nextval('obj_part_id_seq'), (select id from obj_building_v where zip||'|'||street||'|'||name||'|'||volume = '8253|Schulstr. 38|Kindergarten Basadingen|1049.00'), 'P5', 14, 70, 2010,'Holz, IV-Verglasung, Glas 3mm'),</v>
      </c>
    </row>
    <row r="711" spans="1:8" x14ac:dyDescent="0.25">
      <c r="A711" s="9" t="s">
        <v>1557</v>
      </c>
      <c r="B711" s="9" t="s">
        <v>1110</v>
      </c>
      <c r="C711">
        <v>4</v>
      </c>
      <c r="D711">
        <v>90</v>
      </c>
      <c r="E711">
        <v>2010</v>
      </c>
      <c r="F711" s="9" t="s">
        <v>1254</v>
      </c>
      <c r="H711" s="20" t="str">
        <f t="shared" si="11"/>
        <v>(nextval('obj_part_id_seq'), (select id from obj_building_v where zip||'|'||street||'|'||name||'|'||volume = '8253|Schulstr. 38|Kindergarten Basadingen|1049.00'), 'P9', 4, 90, 2010,'neuere Sicherungen'),</v>
      </c>
    </row>
    <row r="712" spans="1:8" x14ac:dyDescent="0.25">
      <c r="A712" s="9" t="s">
        <v>1557</v>
      </c>
      <c r="B712" s="9" t="s">
        <v>1104</v>
      </c>
      <c r="C712">
        <v>3</v>
      </c>
      <c r="D712">
        <v>80</v>
      </c>
      <c r="E712">
        <v>2010</v>
      </c>
      <c r="F712" s="9" t="s">
        <v>1562</v>
      </c>
      <c r="H712" s="20" t="str">
        <f t="shared" si="11"/>
        <v>(nextval('obj_part_id_seq'), (select id from obj_building_v where zip||'|'||street||'|'||name||'|'||volume = '8253|Schulstr. 38|Kindergarten Basadingen|1049.00'), 'P6', 3, 80, 2010,'Holzschnitzelfeuerung und Elektroboiler'),</v>
      </c>
    </row>
    <row r="713" spans="1:8" x14ac:dyDescent="0.25">
      <c r="A713" s="9" t="s">
        <v>1557</v>
      </c>
      <c r="B713" s="9" t="s">
        <v>1106</v>
      </c>
      <c r="C713">
        <v>3</v>
      </c>
      <c r="D713">
        <v>80</v>
      </c>
      <c r="E713">
        <v>2010</v>
      </c>
      <c r="F713" s="9" t="s">
        <v>1563</v>
      </c>
      <c r="H713" s="20" t="str">
        <f t="shared" si="11"/>
        <v>(nextval('obj_part_id_seq'), (select id from obj_building_v where zip||'|'||street||'|'||name||'|'||volume = '8253|Schulstr. 38|Kindergarten Basadingen|1049.00'), 'P7', 3, 80, 2010,'Radiatoren o. Thermostaten, im neuen Anbau: Bodenheizung'),</v>
      </c>
    </row>
    <row r="714" spans="1:8" x14ac:dyDescent="0.25">
      <c r="A714" s="9" t="s">
        <v>1557</v>
      </c>
      <c r="B714" s="9" t="s">
        <v>1135</v>
      </c>
      <c r="C714">
        <v>1</v>
      </c>
      <c r="D714">
        <v>80</v>
      </c>
      <c r="E714">
        <v>2010</v>
      </c>
      <c r="F714" s="9"/>
      <c r="H714" s="20" t="str">
        <f t="shared" si="11"/>
        <v>(nextval('obj_part_id_seq'), (select id from obj_building_v where zip||'|'||street||'|'||name||'|'||volume = '8253|Schulstr. 38|Kindergarten Basadingen|1049.00'), 'P54', 1, 80, 2010,null),</v>
      </c>
    </row>
    <row r="715" spans="1:8" x14ac:dyDescent="0.25">
      <c r="A715" s="9" t="s">
        <v>1557</v>
      </c>
      <c r="B715" s="9" t="s">
        <v>1137</v>
      </c>
      <c r="C715">
        <v>3</v>
      </c>
      <c r="D715">
        <v>70</v>
      </c>
      <c r="E715">
        <v>2010</v>
      </c>
      <c r="F715" s="9"/>
      <c r="H715" s="20" t="str">
        <f t="shared" si="11"/>
        <v>(nextval('obj_part_id_seq'), (select id from obj_building_v where zip||'|'||street||'|'||name||'|'||volume = '8253|Schulstr. 38|Kindergarten Basadingen|1049.00'), 'P55', 3, 70, 2010,null),</v>
      </c>
    </row>
    <row r="716" spans="1:8" x14ac:dyDescent="0.25">
      <c r="A716" s="9" t="s">
        <v>1557</v>
      </c>
      <c r="B716" s="9" t="s">
        <v>1138</v>
      </c>
      <c r="C716">
        <v>17</v>
      </c>
      <c r="D716">
        <v>70</v>
      </c>
      <c r="E716">
        <v>2010</v>
      </c>
      <c r="F716" s="9"/>
      <c r="H716" s="20" t="str">
        <f t="shared" si="11"/>
        <v>(nextval('obj_part_id_seq'), (select id from obj_building_v where zip||'|'||street||'|'||name||'|'||volume = '8253|Schulstr. 38|Kindergarten Basadingen|1049.00'), 'P57', 17, 70, 2010,null),</v>
      </c>
    </row>
    <row r="717" spans="1:8" x14ac:dyDescent="0.25">
      <c r="A717" s="9" t="s">
        <v>1557</v>
      </c>
      <c r="B717" s="9" t="s">
        <v>1140</v>
      </c>
      <c r="C717">
        <v>3</v>
      </c>
      <c r="D717">
        <v>70</v>
      </c>
      <c r="E717">
        <v>2010</v>
      </c>
      <c r="F717" s="9" t="s">
        <v>1564</v>
      </c>
      <c r="H717" s="20" t="str">
        <f t="shared" si="11"/>
        <v>(nextval('obj_part_id_seq'), (select id from obj_building_v where zip||'|'||street||'|'||name||'|'||volume = '8253|Schulstr. 38|Kindergarten Basadingen|1049.00'), 'P58', 3, 70, 2010,'Parkettböden, Holzwände und verputzte Wände'),</v>
      </c>
    </row>
    <row r="718" spans="1:8" x14ac:dyDescent="0.25">
      <c r="A718" s="9" t="s">
        <v>1557</v>
      </c>
      <c r="B718" s="9" t="s">
        <v>1142</v>
      </c>
      <c r="C718">
        <v>0</v>
      </c>
      <c r="D718" t="s">
        <v>4080</v>
      </c>
      <c r="E718">
        <v>2010</v>
      </c>
      <c r="F718" s="9"/>
      <c r="H718" s="20" t="str">
        <f t="shared" si="11"/>
        <v>(nextval('obj_part_id_seq'), (select id from obj_building_v where zip||'|'||street||'|'||name||'|'||volume = '8253|Schulstr. 38|Kindergarten Basadingen|1049.00'), 'P60', 0, null, 2010,null),</v>
      </c>
    </row>
    <row r="719" spans="1:8" x14ac:dyDescent="0.25">
      <c r="A719" s="9" t="s">
        <v>1557</v>
      </c>
      <c r="B719" s="9" t="s">
        <v>1143</v>
      </c>
      <c r="C719">
        <v>0</v>
      </c>
      <c r="D719" t="s">
        <v>4080</v>
      </c>
      <c r="E719">
        <v>2010</v>
      </c>
      <c r="F719" s="9"/>
      <c r="H719" s="20" t="str">
        <f t="shared" si="11"/>
        <v>(nextval('obj_part_id_seq'), (select id from obj_building_v where zip||'|'||street||'|'||name||'|'||volume = '8253|Schulstr. 38|Kindergarten Basadingen|1049.00'), 'P61', 0, null, 2010,null),</v>
      </c>
    </row>
    <row r="720" spans="1:8" x14ac:dyDescent="0.25">
      <c r="A720" s="9" t="s">
        <v>1557</v>
      </c>
      <c r="B720" s="9" t="s">
        <v>1144</v>
      </c>
      <c r="C720">
        <v>0</v>
      </c>
      <c r="D720" t="s">
        <v>4080</v>
      </c>
      <c r="E720">
        <v>2010</v>
      </c>
      <c r="F720" s="9"/>
      <c r="H720" s="20" t="str">
        <f t="shared" si="11"/>
        <v>(nextval('obj_part_id_seq'), (select id from obj_building_v where zip||'|'||street||'|'||name||'|'||volume = '8253|Schulstr. 38|Kindergarten Basadingen|1049.00'), 'P62', 0, null, 2010,null),</v>
      </c>
    </row>
    <row r="721" spans="1:8" x14ac:dyDescent="0.25">
      <c r="A721" s="9" t="s">
        <v>1565</v>
      </c>
      <c r="B721" s="9" t="s">
        <v>1127</v>
      </c>
      <c r="C721">
        <v>35</v>
      </c>
      <c r="D721">
        <v>90</v>
      </c>
      <c r="E721">
        <v>2013</v>
      </c>
      <c r="F721" s="9" t="s">
        <v>1566</v>
      </c>
      <c r="H721" s="20" t="str">
        <f t="shared" si="11"/>
        <v>(nextval('obj_part_id_seq'), (select id from obj_building_v where zip||'|'||street||'|'||name||'|'||volume = '5620|Badstrasse 5|Sporthalle|21622.00'), 'P48', 35, 90, 2013,'Holzbau und tw. Stahlbeton, Riss im Sturz'),</v>
      </c>
    </row>
    <row r="722" spans="1:8" x14ac:dyDescent="0.25">
      <c r="A722" s="9" t="s">
        <v>1565</v>
      </c>
      <c r="B722" s="9" t="s">
        <v>1129</v>
      </c>
      <c r="C722">
        <v>0</v>
      </c>
      <c r="D722" t="s">
        <v>4080</v>
      </c>
      <c r="E722">
        <v>2013</v>
      </c>
      <c r="F722" s="9"/>
      <c r="H722" s="20" t="str">
        <f t="shared" si="11"/>
        <v>(nextval('obj_part_id_seq'), (select id from obj_building_v where zip||'|'||street||'|'||name||'|'||volume = '5620|Badstrasse 5|Sporthalle|21622.00'), 'P49', 0, null, 2013,null),</v>
      </c>
    </row>
    <row r="723" spans="1:8" x14ac:dyDescent="0.25">
      <c r="A723" s="9" t="s">
        <v>1565</v>
      </c>
      <c r="B723" s="9" t="s">
        <v>1097</v>
      </c>
      <c r="C723">
        <v>13</v>
      </c>
      <c r="D723">
        <v>90</v>
      </c>
      <c r="E723">
        <v>2013</v>
      </c>
      <c r="F723" s="9" t="s">
        <v>1567</v>
      </c>
      <c r="H723" s="20" t="str">
        <f t="shared" si="11"/>
        <v>(nextval('obj_part_id_seq'), (select id from obj_building_v where zip||'|'||street||'|'||name||'|'||volume = '5620|Badstrasse 5|Sporthalle|21622.00'), 'P2', 13, 90, 2013,'Dachkonstruktion aus Brettschichtholz, Oblichter, Dachdeckung vermutlich ebenfalls Eternit'),</v>
      </c>
    </row>
    <row r="724" spans="1:8" x14ac:dyDescent="0.25">
      <c r="A724" s="9" t="s">
        <v>1565</v>
      </c>
      <c r="B724" s="9" t="s">
        <v>1099</v>
      </c>
      <c r="C724">
        <v>0</v>
      </c>
      <c r="D724" t="s">
        <v>4080</v>
      </c>
      <c r="E724">
        <v>2013</v>
      </c>
      <c r="F724" s="9"/>
      <c r="H724" s="20" t="str">
        <f t="shared" si="11"/>
        <v>(nextval('obj_part_id_seq'), (select id from obj_building_v where zip||'|'||street||'|'||name||'|'||volume = '5620|Badstrasse 5|Sporthalle|21622.00'), 'P3', 0, null, 2013,null),</v>
      </c>
    </row>
    <row r="725" spans="1:8" x14ac:dyDescent="0.25">
      <c r="A725" s="9" t="s">
        <v>1565</v>
      </c>
      <c r="B725" s="9" t="s">
        <v>1100</v>
      </c>
      <c r="C725">
        <v>9</v>
      </c>
      <c r="D725">
        <v>90</v>
      </c>
      <c r="E725">
        <v>2013</v>
      </c>
      <c r="F725" s="9" t="s">
        <v>1568</v>
      </c>
      <c r="H725" s="20" t="str">
        <f t="shared" si="11"/>
        <v>(nextval('obj_part_id_seq'), (select id from obj_building_v where zip||'|'||street||'|'||name||'|'||volume = '5620|Badstrasse 5|Sporthalle|21622.00'), 'P4', 9, 90, 2013,'Holzkonstruktion mit Eternitplatten'),</v>
      </c>
    </row>
    <row r="726" spans="1:8" x14ac:dyDescent="0.25">
      <c r="A726" s="9" t="s">
        <v>1565</v>
      </c>
      <c r="B726" s="9" t="s">
        <v>1102</v>
      </c>
      <c r="C726">
        <v>3</v>
      </c>
      <c r="D726">
        <v>90</v>
      </c>
      <c r="E726">
        <v>2013</v>
      </c>
      <c r="F726" s="9" t="s">
        <v>1569</v>
      </c>
      <c r="H726" s="20" t="str">
        <f t="shared" si="11"/>
        <v>(nextval('obj_part_id_seq'), (select id from obj_building_v where zip||'|'||street||'|'||name||'|'||volume = '5620|Badstrasse 5|Sporthalle|21622.00'), 'P5', 3, 90, 2013,'Holz-Metall (''10), IV, Metallstoren'),</v>
      </c>
    </row>
    <row r="727" spans="1:8" x14ac:dyDescent="0.25">
      <c r="A727" s="9" t="s">
        <v>1565</v>
      </c>
      <c r="B727" s="9" t="s">
        <v>1110</v>
      </c>
      <c r="C727">
        <v>5</v>
      </c>
      <c r="D727">
        <v>90</v>
      </c>
      <c r="E727">
        <v>2013</v>
      </c>
      <c r="F727" s="9" t="s">
        <v>1570</v>
      </c>
      <c r="H727" s="20" t="str">
        <f t="shared" si="11"/>
        <v>(nextval('obj_part_id_seq'), (select id from obj_building_v where zip||'|'||street||'|'||name||'|'||volume = '5620|Badstrasse 5|Sporthalle|21622.00'), 'P9', 5, 90, 2013,'Turnhallenbeleuchtung, Audioanlage, Spielstandsanzeige mit Uhr, zentrale Uhr mit Gong, Notstromanlage, BMA'),</v>
      </c>
    </row>
    <row r="728" spans="1:8" x14ac:dyDescent="0.25">
      <c r="A728" s="9" t="s">
        <v>1565</v>
      </c>
      <c r="B728" s="9" t="s">
        <v>1104</v>
      </c>
      <c r="C728">
        <v>0</v>
      </c>
      <c r="D728" t="s">
        <v>4080</v>
      </c>
      <c r="E728">
        <v>2013</v>
      </c>
      <c r="F728" s="9" t="s">
        <v>1235</v>
      </c>
      <c r="H728" s="20" t="str">
        <f t="shared" si="11"/>
        <v>(nextval('obj_part_id_seq'), (select id from obj_building_v where zip||'|'||street||'|'||name||'|'||volume = '5620|Badstrasse 5|Sporthalle|21622.00'), 'P6', 0, null, 2013,'Fernwärme'),</v>
      </c>
    </row>
    <row r="729" spans="1:8" x14ac:dyDescent="0.25">
      <c r="A729" s="9" t="s">
        <v>1565</v>
      </c>
      <c r="B729" s="9" t="s">
        <v>1106</v>
      </c>
      <c r="C729">
        <v>3</v>
      </c>
      <c r="D729">
        <v>90</v>
      </c>
      <c r="E729">
        <v>2013</v>
      </c>
      <c r="F729" s="9" t="s">
        <v>1571</v>
      </c>
      <c r="H729" s="20" t="str">
        <f t="shared" si="11"/>
        <v>(nextval('obj_part_id_seq'), (select id from obj_building_v where zip||'|'||street||'|'||name||'|'||volume = '5620|Badstrasse 5|Sporthalle|21622.00'), 'P7', 3, 90, 2013,'Bodenheizung'),</v>
      </c>
    </row>
    <row r="730" spans="1:8" x14ac:dyDescent="0.25">
      <c r="A730" s="9" t="s">
        <v>1565</v>
      </c>
      <c r="B730" s="9" t="s">
        <v>1403</v>
      </c>
      <c r="C730">
        <v>2</v>
      </c>
      <c r="D730">
        <v>90</v>
      </c>
      <c r="E730">
        <v>2013</v>
      </c>
      <c r="F730" s="9" t="s">
        <v>1572</v>
      </c>
      <c r="H730" s="20" t="str">
        <f t="shared" si="11"/>
        <v>(nextval('obj_part_id_seq'), (select id from obj_building_v where zip||'|'||street||'|'||name||'|'||volume = '5620|Badstrasse 5|Sporthalle|21622.00'), 'P52', 2, 90, 2013,'Hallenlüftung'),</v>
      </c>
    </row>
    <row r="731" spans="1:8" x14ac:dyDescent="0.25">
      <c r="A731" s="9" t="s">
        <v>1565</v>
      </c>
      <c r="B731" s="9" t="s">
        <v>1404</v>
      </c>
      <c r="C731">
        <v>2</v>
      </c>
      <c r="D731">
        <v>90</v>
      </c>
      <c r="E731">
        <v>2013</v>
      </c>
      <c r="F731" s="9" t="s">
        <v>1573</v>
      </c>
      <c r="H731" s="20" t="str">
        <f t="shared" si="11"/>
        <v>(nextval('obj_part_id_seq'), (select id from obj_building_v where zip||'|'||street||'|'||name||'|'||volume = '5620|Badstrasse 5|Sporthalle|21622.00'), 'P53', 2, 90, 2013,'Lüftungskanäle im Geräteraum'),</v>
      </c>
    </row>
    <row r="732" spans="1:8" x14ac:dyDescent="0.25">
      <c r="A732" s="9" t="s">
        <v>1565</v>
      </c>
      <c r="B732" s="9" t="s">
        <v>1135</v>
      </c>
      <c r="C732">
        <v>2</v>
      </c>
      <c r="D732">
        <v>90</v>
      </c>
      <c r="E732">
        <v>2013</v>
      </c>
      <c r="F732" s="9" t="s">
        <v>1257</v>
      </c>
      <c r="H732" s="20" t="str">
        <f t="shared" si="11"/>
        <v>(nextval('obj_part_id_seq'), (select id from obj_building_v where zip||'|'||street||'|'||name||'|'||volume = '5620|Badstrasse 5|Sporthalle|21622.00'), 'P54', 2, 90, 2013,'Apparate neuwertig'),</v>
      </c>
    </row>
    <row r="733" spans="1:8" x14ac:dyDescent="0.25">
      <c r="A733" s="9" t="s">
        <v>1565</v>
      </c>
      <c r="B733" s="9" t="s">
        <v>1137</v>
      </c>
      <c r="C733">
        <v>3</v>
      </c>
      <c r="D733">
        <v>90</v>
      </c>
      <c r="E733">
        <v>2013</v>
      </c>
      <c r="F733" s="9" t="s">
        <v>1574</v>
      </c>
      <c r="H733" s="20" t="str">
        <f t="shared" si="11"/>
        <v>(nextval('obj_part_id_seq'), (select id from obj_building_v where zip||'|'||street||'|'||name||'|'||volume = '5620|Badstrasse 5|Sporthalle|21622.00'), 'P55', 3, 90, 2013,'hochliegende Kanalisation, keine Mängel bekannt'),</v>
      </c>
    </row>
    <row r="734" spans="1:8" x14ac:dyDescent="0.25">
      <c r="A734" s="9" t="s">
        <v>1565</v>
      </c>
      <c r="B734" s="9" t="s">
        <v>1138</v>
      </c>
      <c r="C734">
        <v>10</v>
      </c>
      <c r="D734">
        <v>90</v>
      </c>
      <c r="E734">
        <v>2013</v>
      </c>
      <c r="F734" s="9" t="s">
        <v>1575</v>
      </c>
      <c r="H734" s="20" t="str">
        <f t="shared" si="11"/>
        <v>(nextval('obj_part_id_seq'), (select id from obj_building_v where zip||'|'||street||'|'||name||'|'||volume = '5620|Badstrasse 5|Sporthalle|21622.00'), 'P57', 10, 90, 2013,'Garderoben, Office mit Kühlschrank, Tribüne, Sprossenwände, innere Verglasungen'),</v>
      </c>
    </row>
    <row r="735" spans="1:8" x14ac:dyDescent="0.25">
      <c r="A735" s="9" t="s">
        <v>1565</v>
      </c>
      <c r="B735" s="9" t="s">
        <v>1140</v>
      </c>
      <c r="C735">
        <v>11</v>
      </c>
      <c r="D735">
        <v>90</v>
      </c>
      <c r="E735">
        <v>2013</v>
      </c>
      <c r="F735" s="9" t="s">
        <v>1576</v>
      </c>
      <c r="H735" s="20" t="str">
        <f t="shared" si="11"/>
        <v>(nextval('obj_part_id_seq'), (select id from obj_building_v where zip||'|'||street||'|'||name||'|'||volume = '5620|Badstrasse 5|Sporthalle|21622.00'), 'P58', 11, 90, 2013,'B: Turnhallenboden, im Eingangsbereich Beton gestrichen, Keramik, Kunststein, W+D: Holz'),</v>
      </c>
    </row>
    <row r="736" spans="1:8" x14ac:dyDescent="0.25">
      <c r="A736" s="9" t="s">
        <v>1565</v>
      </c>
      <c r="B736" s="9" t="s">
        <v>1142</v>
      </c>
      <c r="C736">
        <v>0</v>
      </c>
      <c r="D736" t="s">
        <v>4080</v>
      </c>
      <c r="E736">
        <v>2013</v>
      </c>
      <c r="F736" s="9"/>
      <c r="H736" s="20" t="str">
        <f t="shared" si="11"/>
        <v>(nextval('obj_part_id_seq'), (select id from obj_building_v where zip||'|'||street||'|'||name||'|'||volume = '5620|Badstrasse 5|Sporthalle|21622.00'), 'P60', 0, null, 2013,null),</v>
      </c>
    </row>
    <row r="737" spans="1:8" x14ac:dyDescent="0.25">
      <c r="A737" s="9" t="s">
        <v>1565</v>
      </c>
      <c r="B737" s="9" t="s">
        <v>1143</v>
      </c>
      <c r="C737">
        <v>2</v>
      </c>
      <c r="D737">
        <v>90</v>
      </c>
      <c r="E737">
        <v>2013</v>
      </c>
      <c r="F737" s="9" t="s">
        <v>1301</v>
      </c>
      <c r="H737" s="20" t="str">
        <f t="shared" si="11"/>
        <v>(nextval('obj_part_id_seq'), (select id from obj_building_v where zip||'|'||street||'|'||name||'|'||volume = '5620|Badstrasse 5|Sporthalle|21622.00'), 'P61', 2, 90, 2013,'Aufzug ohne Mängel'),</v>
      </c>
    </row>
    <row r="738" spans="1:8" x14ac:dyDescent="0.25">
      <c r="A738" s="9" t="s">
        <v>1565</v>
      </c>
      <c r="B738" s="9" t="s">
        <v>1144</v>
      </c>
      <c r="C738">
        <v>0</v>
      </c>
      <c r="D738" t="s">
        <v>4080</v>
      </c>
      <c r="E738">
        <v>2013</v>
      </c>
      <c r="F738" s="9"/>
      <c r="H738" s="20" t="str">
        <f t="shared" si="11"/>
        <v>(nextval('obj_part_id_seq'), (select id from obj_building_v where zip||'|'||street||'|'||name||'|'||volume = '5620|Badstrasse 5|Sporthalle|21622.00'), 'P62', 0, null, 2013,null),</v>
      </c>
    </row>
    <row r="739" spans="1:8" x14ac:dyDescent="0.25">
      <c r="A739" s="9" t="s">
        <v>1577</v>
      </c>
      <c r="B739" s="9" t="s">
        <v>1127</v>
      </c>
      <c r="C739">
        <v>41</v>
      </c>
      <c r="D739">
        <v>90</v>
      </c>
      <c r="E739">
        <v>2013</v>
      </c>
      <c r="F739" s="9" t="s">
        <v>1578</v>
      </c>
      <c r="H739" s="20" t="str">
        <f t="shared" si="11"/>
        <v>(nextval('obj_part_id_seq'), (select id from obj_building_v where zip||'|'||street||'|'||name||'|'||volume = '5626|Schulhausstrasse 6|Schulanlage Staffeln|7672.00'), 'P48', 41, 90, 2013,'Stahlbeton und Mauerwerk, Stahlkonstruktion'),</v>
      </c>
    </row>
    <row r="740" spans="1:8" x14ac:dyDescent="0.25">
      <c r="A740" s="9" t="s">
        <v>1577</v>
      </c>
      <c r="B740" s="9" t="s">
        <v>1129</v>
      </c>
      <c r="C740">
        <v>0</v>
      </c>
      <c r="D740" t="s">
        <v>4080</v>
      </c>
      <c r="E740">
        <v>2013</v>
      </c>
      <c r="F740" s="9"/>
      <c r="H740" s="20" t="str">
        <f t="shared" si="11"/>
        <v>(nextval('obj_part_id_seq'), (select id from obj_building_v where zip||'|'||street||'|'||name||'|'||volume = '5626|Schulhausstrasse 6|Schulanlage Staffeln|7672.00'), 'P49', 0, null, 2013,null),</v>
      </c>
    </row>
    <row r="741" spans="1:8" x14ac:dyDescent="0.25">
      <c r="A741" s="9" t="s">
        <v>1577</v>
      </c>
      <c r="B741" s="9" t="s">
        <v>1097</v>
      </c>
      <c r="C741">
        <v>8</v>
      </c>
      <c r="D741">
        <v>80</v>
      </c>
      <c r="E741">
        <v>2013</v>
      </c>
      <c r="F741" s="9" t="s">
        <v>1579</v>
      </c>
      <c r="H741" s="20" t="str">
        <f t="shared" si="11"/>
        <v>(nextval('obj_part_id_seq'), (select id from obj_building_v where zip||'|'||street||'|'||name||'|'||volume = '5626|Schulhausstrasse 6|Schulanlage Staffeln|7672.00'), 'P2', 8, 80, 2013,'Wellblech und Eternit, Oblichter'),</v>
      </c>
    </row>
    <row r="742" spans="1:8" x14ac:dyDescent="0.25">
      <c r="A742" s="9" t="s">
        <v>1577</v>
      </c>
      <c r="B742" s="9" t="s">
        <v>1099</v>
      </c>
      <c r="C742">
        <v>0</v>
      </c>
      <c r="D742" t="s">
        <v>4080</v>
      </c>
      <c r="E742">
        <v>2013</v>
      </c>
      <c r="F742" s="9"/>
      <c r="H742" s="20" t="str">
        <f t="shared" si="11"/>
        <v>(nextval('obj_part_id_seq'), (select id from obj_building_v where zip||'|'||street||'|'||name||'|'||volume = '5626|Schulhausstrasse 6|Schulanlage Staffeln|7672.00'), 'P3', 0, null, 2013,null),</v>
      </c>
    </row>
    <row r="743" spans="1:8" x14ac:dyDescent="0.25">
      <c r="A743" s="9" t="s">
        <v>1577</v>
      </c>
      <c r="B743" s="9" t="s">
        <v>1100</v>
      </c>
      <c r="C743">
        <v>7</v>
      </c>
      <c r="D743">
        <v>90</v>
      </c>
      <c r="E743">
        <v>2013</v>
      </c>
      <c r="F743" s="9" t="s">
        <v>1580</v>
      </c>
      <c r="H743" s="20" t="str">
        <f t="shared" si="11"/>
        <v>(nextval('obj_part_id_seq'), (select id from obj_building_v where zip||'|'||street||'|'||name||'|'||volume = '5626|Schulhausstrasse 6|Schulanlage Staffeln|7672.00'), 'P4', 7, 90, 2013,'Eternit geschindelt und Sichtbetonplatten, Metall-/Glas'),</v>
      </c>
    </row>
    <row r="744" spans="1:8" x14ac:dyDescent="0.25">
      <c r="A744" s="9" t="s">
        <v>1577</v>
      </c>
      <c r="B744" s="9" t="s">
        <v>1102</v>
      </c>
      <c r="C744">
        <v>10</v>
      </c>
      <c r="D744">
        <v>80</v>
      </c>
      <c r="E744">
        <v>2013</v>
      </c>
      <c r="F744" s="9" t="s">
        <v>1581</v>
      </c>
      <c r="H744" s="20" t="str">
        <f t="shared" si="11"/>
        <v>(nextval('obj_part_id_seq'), (select id from obj_building_v where zip||'|'||street||'|'||name||'|'||volume = '5626|Schulhausstrasse 6|Schulanlage Staffeln|7672.00'), 'P5', 10, 80, 2013,'Metall- und Holzfenster, RL-Storen, Gläser tw. blind, Windfang aus Metall/Glas'),</v>
      </c>
    </row>
    <row r="745" spans="1:8" x14ac:dyDescent="0.25">
      <c r="A745" s="9" t="s">
        <v>1577</v>
      </c>
      <c r="B745" s="9" t="s">
        <v>1164</v>
      </c>
      <c r="C745">
        <v>6</v>
      </c>
      <c r="D745">
        <v>80</v>
      </c>
      <c r="E745">
        <v>2013</v>
      </c>
      <c r="F745" s="9" t="s">
        <v>1582</v>
      </c>
      <c r="H745" s="20" t="str">
        <f t="shared" si="11"/>
        <v>(nextval('obj_part_id_seq'), (select id from obj_building_v where zip||'|'||street||'|'||name||'|'||volume = '5626|Schulhausstrasse 6|Schulanlage Staffeln|7672.00'), 'P50', 6, 80, 2013,'Beleuchtung z. T. veraltet, alte Keramiksicherungen, zu schwach abgesichert, Bühnentechnik'),</v>
      </c>
    </row>
    <row r="746" spans="1:8" x14ac:dyDescent="0.25">
      <c r="A746" s="9" t="s">
        <v>1577</v>
      </c>
      <c r="B746" s="9" t="s">
        <v>1166</v>
      </c>
      <c r="C746">
        <v>1</v>
      </c>
      <c r="D746">
        <v>90</v>
      </c>
      <c r="E746">
        <v>2013</v>
      </c>
      <c r="F746" s="9" t="s">
        <v>1583</v>
      </c>
      <c r="H746" s="20" t="str">
        <f t="shared" si="11"/>
        <v>(nextval('obj_part_id_seq'), (select id from obj_building_v where zip||'|'||street||'|'||name||'|'||volume = '5626|Schulhausstrasse 6|Schulanlage Staffeln|7672.00'), 'P51', 1, 90, 2013,'zentrale Uhr mit Gong, EDV, Telefon'),</v>
      </c>
    </row>
    <row r="747" spans="1:8" x14ac:dyDescent="0.25">
      <c r="A747" s="9" t="s">
        <v>1577</v>
      </c>
      <c r="B747" s="9" t="s">
        <v>1104</v>
      </c>
      <c r="C747">
        <v>1</v>
      </c>
      <c r="D747">
        <v>90</v>
      </c>
      <c r="E747">
        <v>2013</v>
      </c>
      <c r="F747" s="9" t="s">
        <v>1584</v>
      </c>
      <c r="H747" s="20" t="str">
        <f t="shared" si="11"/>
        <v>(nextval('obj_part_id_seq'), (select id from obj_building_v where zip||'|'||street||'|'||name||'|'||volume = '5626|Schulhausstrasse 6|Schulanlage Staffeln|7672.00'), 'P6', 1, 90, 2013,'Ölheizung (Brenner ''92)'),</v>
      </c>
    </row>
    <row r="748" spans="1:8" x14ac:dyDescent="0.25">
      <c r="A748" s="9" t="s">
        <v>1577</v>
      </c>
      <c r="B748" s="9" t="s">
        <v>1106</v>
      </c>
      <c r="C748">
        <v>3</v>
      </c>
      <c r="D748">
        <v>90</v>
      </c>
      <c r="E748">
        <v>2013</v>
      </c>
      <c r="F748" s="9" t="s">
        <v>1585</v>
      </c>
      <c r="H748" s="20" t="str">
        <f t="shared" si="11"/>
        <v>(nextval('obj_part_id_seq'), (select id from obj_building_v where zip||'|'||street||'|'||name||'|'||volume = '5626|Schulhausstrasse 6|Schulanlage Staffeln|7672.00'), 'P7', 3, 90, 2013,'Radiatoren mit Thermostaten im Altbau, Bodenheizung im Neubau'),</v>
      </c>
    </row>
    <row r="749" spans="1:8" x14ac:dyDescent="0.25">
      <c r="A749" s="9" t="s">
        <v>1577</v>
      </c>
      <c r="B749" s="9" t="s">
        <v>1108</v>
      </c>
      <c r="C749">
        <v>4</v>
      </c>
      <c r="D749">
        <v>80</v>
      </c>
      <c r="E749">
        <v>2013</v>
      </c>
      <c r="F749" s="9" t="s">
        <v>1586</v>
      </c>
      <c r="H749" s="20" t="str">
        <f t="shared" si="11"/>
        <v>(nextval('obj_part_id_seq'), (select id from obj_building_v where zip||'|'||street||'|'||name||'|'||volume = '5626|Schulhausstrasse 6|Schulanlage Staffeln|7672.00'), 'P8', 4, 80, 2013,'Armaturen z.T. mit Mischventilen, bei Lavabos WC und KZ ohne WW, Leitungen: keine Mängel bekannt'),</v>
      </c>
    </row>
    <row r="750" spans="1:8" x14ac:dyDescent="0.25">
      <c r="A750" s="9" t="s">
        <v>1577</v>
      </c>
      <c r="B750" s="9" t="s">
        <v>1138</v>
      </c>
      <c r="C750">
        <v>11</v>
      </c>
      <c r="D750">
        <v>90</v>
      </c>
      <c r="E750">
        <v>2013</v>
      </c>
      <c r="F750" s="9" t="s">
        <v>1587</v>
      </c>
      <c r="H750" s="20" t="str">
        <f t="shared" si="11"/>
        <v>(nextval('obj_part_id_seq'), (select id from obj_building_v where zip||'|'||street||'|'||name||'|'||volume = '5626|Schulhausstrasse 6|Schulanlage Staffeln|7672.00'), 'P57', 11, 90, 2013,'Einbauschränke, innere Verglasung, Garderoben, Küche, Bühneneinbau'),</v>
      </c>
    </row>
    <row r="751" spans="1:8" x14ac:dyDescent="0.25">
      <c r="A751" s="9" t="s">
        <v>1577</v>
      </c>
      <c r="B751" s="9" t="s">
        <v>1140</v>
      </c>
      <c r="C751">
        <v>8</v>
      </c>
      <c r="D751">
        <v>90</v>
      </c>
      <c r="E751">
        <v>2013</v>
      </c>
      <c r="F751" s="9" t="s">
        <v>1588</v>
      </c>
      <c r="H751" s="20" t="str">
        <f t="shared" si="11"/>
        <v>(nextval('obj_part_id_seq'), (select id from obj_building_v where zip||'|'||street||'|'||name||'|'||volume = '5626|Schulhausstrasse 6|Schulanlage Staffeln|7672.00'), 'P58', 8, 90, 2013,'B: Linol, Schmutzschleuse, Kunststein, Keramik, Parkett, W+D: Spritzputz, Verputz, Holz, Sichtbeton, Täfer, Heraklith, Akustik'),</v>
      </c>
    </row>
    <row r="752" spans="1:8" x14ac:dyDescent="0.25">
      <c r="A752" s="9" t="s">
        <v>1577</v>
      </c>
      <c r="B752" s="9" t="s">
        <v>1142</v>
      </c>
      <c r="C752">
        <v>0</v>
      </c>
      <c r="D752" t="s">
        <v>4080</v>
      </c>
      <c r="E752">
        <v>2013</v>
      </c>
      <c r="F752" s="9"/>
      <c r="H752" s="20" t="str">
        <f t="shared" si="11"/>
        <v>(nextval('obj_part_id_seq'), (select id from obj_building_v where zip||'|'||street||'|'||name||'|'||volume = '5626|Schulhausstrasse 6|Schulanlage Staffeln|7672.00'), 'P60', 0, null, 2013,null),</v>
      </c>
    </row>
    <row r="753" spans="1:8" x14ac:dyDescent="0.25">
      <c r="A753" s="9" t="s">
        <v>1577</v>
      </c>
      <c r="B753" s="9" t="s">
        <v>1143</v>
      </c>
      <c r="C753">
        <v>0</v>
      </c>
      <c r="D753" t="s">
        <v>4080</v>
      </c>
      <c r="E753">
        <v>2013</v>
      </c>
      <c r="F753" s="9"/>
      <c r="H753" s="20" t="str">
        <f t="shared" si="11"/>
        <v>(nextval('obj_part_id_seq'), (select id from obj_building_v where zip||'|'||street||'|'||name||'|'||volume = '5626|Schulhausstrasse 6|Schulanlage Staffeln|7672.00'), 'P61', 0, null, 2013,null),</v>
      </c>
    </row>
    <row r="754" spans="1:8" x14ac:dyDescent="0.25">
      <c r="A754" s="9" t="s">
        <v>1577</v>
      </c>
      <c r="B754" s="9" t="s">
        <v>1144</v>
      </c>
      <c r="C754">
        <v>0</v>
      </c>
      <c r="D754" t="s">
        <v>4080</v>
      </c>
      <c r="E754">
        <v>2013</v>
      </c>
      <c r="F754" s="9"/>
      <c r="H754" s="20" t="str">
        <f t="shared" si="11"/>
        <v>(nextval('obj_part_id_seq'), (select id from obj_building_v where zip||'|'||street||'|'||name||'|'||volume = '5626|Schulhausstrasse 6|Schulanlage Staffeln|7672.00'), 'P62', 0, null, 2013,null),</v>
      </c>
    </row>
    <row r="755" spans="1:8" x14ac:dyDescent="0.25">
      <c r="A755" s="9" t="s">
        <v>1589</v>
      </c>
      <c r="B755" s="9" t="s">
        <v>1127</v>
      </c>
      <c r="C755">
        <v>41</v>
      </c>
      <c r="D755">
        <v>90</v>
      </c>
      <c r="E755">
        <v>2013</v>
      </c>
      <c r="F755" s="9" t="s">
        <v>1590</v>
      </c>
      <c r="H755" s="20" t="str">
        <f t="shared" si="11"/>
        <v>(nextval('obj_part_id_seq'), (select id from obj_building_v where zip||'|'||street||'|'||name||'|'||volume = '9223|Schulstrasse 10|Primarschulanlage Halden; Schulhaus, Wohnungen|1766.00'), 'P48', 41, 90, 2013,'Mauerwerk und Holzbalkendecken, Dachstuhl trocken und schadlos, Treppen OG aus Holz'),</v>
      </c>
    </row>
    <row r="756" spans="1:8" x14ac:dyDescent="0.25">
      <c r="A756" s="9" t="s">
        <v>1589</v>
      </c>
      <c r="B756" s="9" t="s">
        <v>1129</v>
      </c>
      <c r="C756">
        <v>0</v>
      </c>
      <c r="D756" t="s">
        <v>4080</v>
      </c>
      <c r="E756">
        <v>2013</v>
      </c>
      <c r="F756" s="9"/>
      <c r="H756" s="20" t="str">
        <f t="shared" si="11"/>
        <v>(nextval('obj_part_id_seq'), (select id from obj_building_v where zip||'|'||street||'|'||name||'|'||volume = '9223|Schulstrasse 10|Primarschulanlage Halden; Schulhaus, Wohnungen|1766.00'), 'P49', 0, null, 2013,null),</v>
      </c>
    </row>
    <row r="757" spans="1:8" x14ac:dyDescent="0.25">
      <c r="A757" s="9" t="s">
        <v>1589</v>
      </c>
      <c r="B757" s="9" t="s">
        <v>1097</v>
      </c>
      <c r="C757">
        <v>8</v>
      </c>
      <c r="D757">
        <v>90</v>
      </c>
      <c r="E757">
        <v>2013</v>
      </c>
      <c r="F757" s="9" t="s">
        <v>1591</v>
      </c>
      <c r="H757" s="20" t="str">
        <f t="shared" si="11"/>
        <v>(nextval('obj_part_id_seq'), (select id from obj_building_v where zip||'|'||street||'|'||name||'|'||volume = '9223|Schulstrasse 10|Primarschulanlage Halden; Schulhaus, Wohnungen|1766.00'), 'P2', 8, 90, 2013,'Unterdach aus Holzschindeln, Biberschwanzziegel'),</v>
      </c>
    </row>
    <row r="758" spans="1:8" x14ac:dyDescent="0.25">
      <c r="A758" s="9" t="s">
        <v>1589</v>
      </c>
      <c r="B758" s="9" t="s">
        <v>1099</v>
      </c>
      <c r="C758">
        <v>0</v>
      </c>
      <c r="D758" t="s">
        <v>4080</v>
      </c>
      <c r="E758">
        <v>2013</v>
      </c>
      <c r="F758" s="9"/>
      <c r="H758" s="20" t="str">
        <f t="shared" si="11"/>
        <v>(nextval('obj_part_id_seq'), (select id from obj_building_v where zip||'|'||street||'|'||name||'|'||volume = '9223|Schulstrasse 10|Primarschulanlage Halden; Schulhaus, Wohnungen|1766.00'), 'P3', 0, null, 2013,null),</v>
      </c>
    </row>
    <row r="759" spans="1:8" x14ac:dyDescent="0.25">
      <c r="A759" s="9" t="s">
        <v>1589</v>
      </c>
      <c r="B759" s="9" t="s">
        <v>1100</v>
      </c>
      <c r="C759">
        <v>7</v>
      </c>
      <c r="D759">
        <v>90</v>
      </c>
      <c r="E759">
        <v>2013</v>
      </c>
      <c r="F759" s="9" t="s">
        <v>1592</v>
      </c>
      <c r="H759" s="20" t="str">
        <f t="shared" si="11"/>
        <v>(nextval('obj_part_id_seq'), (select id from obj_building_v where zip||'|'||street||'|'||name||'|'||volume = '9223|Schulstrasse 10|Primarschulanlage Halden; Schulhaus, Wohnungen|1766.00'), 'P4', 7, 90, 2013,'Verputzt, Sockel gestrichen, Glasbausteine im Eingangsbereich'),</v>
      </c>
    </row>
    <row r="760" spans="1:8" x14ac:dyDescent="0.25">
      <c r="A760" s="9" t="s">
        <v>1589</v>
      </c>
      <c r="B760" s="9" t="s">
        <v>1102</v>
      </c>
      <c r="C760">
        <v>10</v>
      </c>
      <c r="D760">
        <v>90</v>
      </c>
      <c r="E760">
        <v>2013</v>
      </c>
      <c r="F760" s="9" t="s">
        <v>1593</v>
      </c>
      <c r="H760" s="20" t="str">
        <f t="shared" si="11"/>
        <v>(nextval('obj_part_id_seq'), (select id from obj_building_v where zip||'|'||street||'|'||name||'|'||volume = '9223|Schulstrasse 10|Primarschulanlage Halden; Schulhaus, Wohnungen|1766.00'), 'P5', 10, 90, 2013,'Kunststofffenster IV 2004, Innere Verdunklungen, seitliche Aussentüre 2005'),</v>
      </c>
    </row>
    <row r="761" spans="1:8" x14ac:dyDescent="0.25">
      <c r="A761" s="9" t="s">
        <v>1589</v>
      </c>
      <c r="B761" s="9" t="s">
        <v>1164</v>
      </c>
      <c r="C761">
        <v>6</v>
      </c>
      <c r="D761">
        <v>80</v>
      </c>
      <c r="E761">
        <v>2013</v>
      </c>
      <c r="F761" s="9" t="s">
        <v>1594</v>
      </c>
      <c r="H761" s="20" t="str">
        <f t="shared" si="11"/>
        <v>(nextval('obj_part_id_seq'), (select id from obj_building_v where zip||'|'||street||'|'||name||'|'||volume = '9223|Schulstrasse 10|Primarschulanlage Halden; Schulhaus, Wohnungen|1766.00'), 'P50', 6, 80, 2013,'Aufputztableau mit alten Keramiksicherungen (ev. asbesthaltig)'),</v>
      </c>
    </row>
    <row r="762" spans="1:8" x14ac:dyDescent="0.25">
      <c r="A762" s="9" t="s">
        <v>1589</v>
      </c>
      <c r="B762" s="9" t="s">
        <v>1166</v>
      </c>
      <c r="C762">
        <v>1</v>
      </c>
      <c r="D762">
        <v>90</v>
      </c>
      <c r="E762">
        <v>2013</v>
      </c>
      <c r="F762" s="9" t="s">
        <v>1595</v>
      </c>
      <c r="H762" s="20" t="str">
        <f t="shared" si="11"/>
        <v>(nextval('obj_part_id_seq'), (select id from obj_building_v where zip||'|'||street||'|'||name||'|'||volume = '9223|Schulstrasse 10|Primarschulanlage Halden; Schulhaus, Wohnungen|1766.00'), 'P51', 1, 90, 2013,'Telefon, EDV-Installationen, Sonnerie'),</v>
      </c>
    </row>
    <row r="763" spans="1:8" x14ac:dyDescent="0.25">
      <c r="A763" s="9" t="s">
        <v>1589</v>
      </c>
      <c r="B763" s="9" t="s">
        <v>1104</v>
      </c>
      <c r="C763">
        <v>1</v>
      </c>
      <c r="D763">
        <v>80</v>
      </c>
      <c r="E763">
        <v>2013</v>
      </c>
      <c r="F763" s="9" t="s">
        <v>1596</v>
      </c>
      <c r="H763" s="20" t="str">
        <f t="shared" si="11"/>
        <v>(nextval('obj_part_id_seq'), (select id from obj_building_v where zip||'|'||street||'|'||name||'|'||volume = '9223|Schulstrasse 10|Primarschulanlage Halden; Schulhaus, Wohnungen|1766.00'), 'P6', 1, 80, 2013,'Heizkessel ''84 Brenner 2009'),</v>
      </c>
    </row>
    <row r="764" spans="1:8" x14ac:dyDescent="0.25">
      <c r="A764" s="9" t="s">
        <v>1589</v>
      </c>
      <c r="B764" s="9" t="s">
        <v>1106</v>
      </c>
      <c r="C764">
        <v>3</v>
      </c>
      <c r="D764">
        <v>90</v>
      </c>
      <c r="E764">
        <v>2013</v>
      </c>
      <c r="F764" s="9" t="s">
        <v>1107</v>
      </c>
      <c r="H764" s="20" t="str">
        <f t="shared" si="11"/>
        <v>(nextval('obj_part_id_seq'), (select id from obj_building_v where zip||'|'||street||'|'||name||'|'||volume = '9223|Schulstrasse 10|Primarschulanlage Halden; Schulhaus, Wohnungen|1766.00'), 'P7', 3, 90, 2013,'Radiatoren mit Thermostaten'),</v>
      </c>
    </row>
    <row r="765" spans="1:8" x14ac:dyDescent="0.25">
      <c r="A765" s="9" t="s">
        <v>1589</v>
      </c>
      <c r="B765" s="9" t="s">
        <v>1108</v>
      </c>
      <c r="C765">
        <v>4</v>
      </c>
      <c r="D765">
        <v>90</v>
      </c>
      <c r="E765">
        <v>2013</v>
      </c>
      <c r="F765" s="9" t="s">
        <v>1597</v>
      </c>
      <c r="H765" s="20" t="str">
        <f t="shared" si="11"/>
        <v>(nextval('obj_part_id_seq'), (select id from obj_building_v where zip||'|'||street||'|'||name||'|'||volume = '9223|Schulstrasse 10|Primarschulanlage Halden; Schulhaus, Wohnungen|1766.00'), 'P8', 4, 90, 2013,'Durchfluss in Ordnung, Boiler 2011'),</v>
      </c>
    </row>
    <row r="766" spans="1:8" x14ac:dyDescent="0.25">
      <c r="A766" s="9" t="s">
        <v>1589</v>
      </c>
      <c r="B766" s="9" t="s">
        <v>1138</v>
      </c>
      <c r="C766">
        <v>11</v>
      </c>
      <c r="D766">
        <v>90</v>
      </c>
      <c r="E766">
        <v>2013</v>
      </c>
      <c r="F766" s="9" t="s">
        <v>1598</v>
      </c>
      <c r="H766" s="20" t="str">
        <f t="shared" si="11"/>
        <v>(nextval('obj_part_id_seq'), (select id from obj_building_v where zip||'|'||street||'|'||name||'|'||volume = '9223|Schulstrasse 10|Primarschulanlage Halden; Schulhaus, Wohnungen|1766.00'), 'P57', 11, 90, 2013,'Kücheapparate älter aber funktionstüchtig'),</v>
      </c>
    </row>
    <row r="767" spans="1:8" x14ac:dyDescent="0.25">
      <c r="A767" s="9" t="s">
        <v>1589</v>
      </c>
      <c r="B767" s="9" t="s">
        <v>1140</v>
      </c>
      <c r="C767">
        <v>8</v>
      </c>
      <c r="D767">
        <v>90</v>
      </c>
      <c r="E767">
        <v>2013</v>
      </c>
      <c r="F767" s="9" t="s">
        <v>1599</v>
      </c>
      <c r="H767" s="20" t="str">
        <f t="shared" si="11"/>
        <v>(nextval('obj_part_id_seq'), (select id from obj_building_v where zip||'|'||street||'|'||name||'|'||volume = '9223|Schulstrasse 10|Primarschulanlage Halden; Schulhaus, Wohnungen|1766.00'), 'P58', 8, 90, 2013,'B: Linol, Parkett, Keramik, PVC und Teppich W: Putz D: Akustikdecken und Holz'),</v>
      </c>
    </row>
    <row r="768" spans="1:8" x14ac:dyDescent="0.25">
      <c r="A768" s="9" t="s">
        <v>1589</v>
      </c>
      <c r="B768" s="9" t="s">
        <v>1142</v>
      </c>
      <c r="C768">
        <v>0</v>
      </c>
      <c r="D768" t="s">
        <v>4080</v>
      </c>
      <c r="E768">
        <v>2013</v>
      </c>
      <c r="F768" s="9"/>
      <c r="H768" s="20" t="str">
        <f t="shared" si="11"/>
        <v>(nextval('obj_part_id_seq'), (select id from obj_building_v where zip||'|'||street||'|'||name||'|'||volume = '9223|Schulstrasse 10|Primarschulanlage Halden; Schulhaus, Wohnungen|1766.00'), 'P60', 0, null, 2013,null),</v>
      </c>
    </row>
    <row r="769" spans="1:8" x14ac:dyDescent="0.25">
      <c r="A769" s="9" t="s">
        <v>1589</v>
      </c>
      <c r="B769" s="9" t="s">
        <v>1143</v>
      </c>
      <c r="C769">
        <v>0</v>
      </c>
      <c r="D769" t="s">
        <v>4080</v>
      </c>
      <c r="E769">
        <v>2013</v>
      </c>
      <c r="F769" s="9"/>
      <c r="H769" s="20" t="str">
        <f t="shared" si="11"/>
        <v>(nextval('obj_part_id_seq'), (select id from obj_building_v where zip||'|'||street||'|'||name||'|'||volume = '9223|Schulstrasse 10|Primarschulanlage Halden; Schulhaus, Wohnungen|1766.00'), 'P61', 0, null, 2013,null),</v>
      </c>
    </row>
    <row r="770" spans="1:8" x14ac:dyDescent="0.25">
      <c r="A770" s="9" t="s">
        <v>1589</v>
      </c>
      <c r="B770" s="9" t="s">
        <v>1144</v>
      </c>
      <c r="C770">
        <v>0</v>
      </c>
      <c r="D770" t="s">
        <v>4080</v>
      </c>
      <c r="E770">
        <v>2013</v>
      </c>
      <c r="F770" s="9"/>
      <c r="H770" s="20" t="str">
        <f t="shared" si="11"/>
        <v>(nextval('obj_part_id_seq'), (select id from obj_building_v where zip||'|'||street||'|'||name||'|'||volume = '9223|Schulstrasse 10|Primarschulanlage Halden; Schulhaus, Wohnungen|1766.00'), 'P62', 0, null, 2013,null),</v>
      </c>
    </row>
    <row r="771" spans="1:8" x14ac:dyDescent="0.25">
      <c r="A771" s="9" t="s">
        <v>1600</v>
      </c>
      <c r="B771" s="9" t="s">
        <v>1127</v>
      </c>
      <c r="C771">
        <v>41</v>
      </c>
      <c r="D771">
        <v>90</v>
      </c>
      <c r="E771">
        <v>2013</v>
      </c>
      <c r="F771" s="9" t="s">
        <v>1601</v>
      </c>
      <c r="H771" s="20" t="str">
        <f t="shared" si="11"/>
        <v>(nextval('obj_part_id_seq'), (select id from obj_building_v where zip||'|'||street||'|'||name||'|'||volume = '9220|Hoffnungsgut|Schulhaus (Altbau)|4079.00'), 'P48', 41, 90, 2013,'Mauerwerk mit Stahlstützen und -trägern'),</v>
      </c>
    </row>
    <row r="772" spans="1:8" x14ac:dyDescent="0.25">
      <c r="A772" s="9" t="s">
        <v>1600</v>
      </c>
      <c r="B772" s="9" t="s">
        <v>1129</v>
      </c>
      <c r="C772">
        <v>0</v>
      </c>
      <c r="D772" t="s">
        <v>4080</v>
      </c>
      <c r="E772">
        <v>2013</v>
      </c>
      <c r="F772" s="9"/>
      <c r="H772" s="20" t="str">
        <f t="shared" si="11"/>
        <v>(nextval('obj_part_id_seq'), (select id from obj_building_v where zip||'|'||street||'|'||name||'|'||volume = '9220|Hoffnungsgut|Schulhaus (Altbau)|4079.00'), 'P49', 0, null, 2013,null),</v>
      </c>
    </row>
    <row r="773" spans="1:8" x14ac:dyDescent="0.25">
      <c r="A773" s="9" t="s">
        <v>1600</v>
      </c>
      <c r="B773" s="9" t="s">
        <v>1097</v>
      </c>
      <c r="C773">
        <v>8</v>
      </c>
      <c r="D773">
        <v>90</v>
      </c>
      <c r="E773">
        <v>2013</v>
      </c>
      <c r="F773" s="9" t="s">
        <v>1591</v>
      </c>
      <c r="H773" s="20" t="str">
        <f t="shared" ref="H773:H836" si="12">"(nextval('obj_part_id_seq'), (select id from obj_building_v where zip||'|'||street||'|'||name||'|'||volume = '"&amp;A773&amp;"'), '"&amp;B773&amp;"', "&amp;C773&amp;", "&amp;D773&amp;", "&amp;IF(ISBLANK(E773),"null",E773)&amp;","&amp;IF(ISBLANK(F773),"null","'"&amp;F773&amp;"'")&amp;"),"</f>
        <v>(nextval('obj_part_id_seq'), (select id from obj_building_v where zip||'|'||street||'|'||name||'|'||volume = '9220|Hoffnungsgut|Schulhaus (Altbau)|4079.00'), 'P2', 8, 90, 2013,'Unterdach aus Holzschindeln, Biberschwanzziegel'),</v>
      </c>
    </row>
    <row r="774" spans="1:8" x14ac:dyDescent="0.25">
      <c r="A774" s="9" t="s">
        <v>1600</v>
      </c>
      <c r="B774" s="9" t="s">
        <v>1099</v>
      </c>
      <c r="C774">
        <v>0</v>
      </c>
      <c r="D774" t="s">
        <v>4080</v>
      </c>
      <c r="E774">
        <v>2013</v>
      </c>
      <c r="F774" s="9"/>
      <c r="H774" s="20" t="str">
        <f t="shared" si="12"/>
        <v>(nextval('obj_part_id_seq'), (select id from obj_building_v where zip||'|'||street||'|'||name||'|'||volume = '9220|Hoffnungsgut|Schulhaus (Altbau)|4079.00'), 'P3', 0, null, 2013,null),</v>
      </c>
    </row>
    <row r="775" spans="1:8" x14ac:dyDescent="0.25">
      <c r="A775" s="9" t="s">
        <v>1600</v>
      </c>
      <c r="B775" s="9" t="s">
        <v>1100</v>
      </c>
      <c r="C775">
        <v>7</v>
      </c>
      <c r="D775">
        <v>90</v>
      </c>
      <c r="E775">
        <v>2013</v>
      </c>
      <c r="F775" s="9" t="s">
        <v>1602</v>
      </c>
      <c r="H775" s="20" t="str">
        <f t="shared" si="12"/>
        <v>(nextval('obj_part_id_seq'), (select id from obj_building_v where zip||'|'||street||'|'||name||'|'||volume = '9220|Hoffnungsgut|Schulhaus (Altbau)|4079.00'), 'P4', 7, 90, 2013,'Mauerwerk verputzt, tw. Holz, Lukarne mit Holzschindeln verkleidet'),</v>
      </c>
    </row>
    <row r="776" spans="1:8" x14ac:dyDescent="0.25">
      <c r="A776" s="9" t="s">
        <v>1600</v>
      </c>
      <c r="B776" s="9" t="s">
        <v>1102</v>
      </c>
      <c r="C776">
        <v>10</v>
      </c>
      <c r="D776">
        <v>90</v>
      </c>
      <c r="E776">
        <v>2013</v>
      </c>
      <c r="F776" s="9" t="s">
        <v>1603</v>
      </c>
      <c r="H776" s="20" t="str">
        <f t="shared" si="12"/>
        <v>(nextval('obj_part_id_seq'), (select id from obj_building_v where zip||'|'||street||'|'||name||'|'||volume = '9220|Hoffnungsgut|Schulhaus (Altbau)|4079.00'), 'P5', 10, 90, 2013,'Holzmetall ''93 mit Rafflamellenstoren'),</v>
      </c>
    </row>
    <row r="777" spans="1:8" x14ac:dyDescent="0.25">
      <c r="A777" s="9" t="s">
        <v>1600</v>
      </c>
      <c r="B777" s="9" t="s">
        <v>1164</v>
      </c>
      <c r="C777">
        <v>6</v>
      </c>
      <c r="D777">
        <v>90</v>
      </c>
      <c r="E777">
        <v>2013</v>
      </c>
      <c r="F777" s="9" t="s">
        <v>1604</v>
      </c>
      <c r="H777" s="20" t="str">
        <f t="shared" si="12"/>
        <v>(nextval('obj_part_id_seq'), (select id from obj_building_v where zip||'|'||street||'|'||name||'|'||volume = '9220|Hoffnungsgut|Schulhaus (Altbau)|4079.00'), 'P50', 6, 90, 2013,'Beleuchtung ''93'),</v>
      </c>
    </row>
    <row r="778" spans="1:8" x14ac:dyDescent="0.25">
      <c r="A778" s="9" t="s">
        <v>1600</v>
      </c>
      <c r="B778" s="9" t="s">
        <v>1166</v>
      </c>
      <c r="C778">
        <v>1</v>
      </c>
      <c r="D778">
        <v>90</v>
      </c>
      <c r="E778">
        <v>2013</v>
      </c>
      <c r="F778" s="9" t="s">
        <v>1605</v>
      </c>
      <c r="H778" s="20" t="str">
        <f t="shared" si="12"/>
        <v>(nextval('obj_part_id_seq'), (select id from obj_building_v where zip||'|'||street||'|'||name||'|'||volume = '9220|Hoffnungsgut|Schulhaus (Altbau)|4079.00'), 'P51', 1, 90, 2013,'Pausenglocke, Telefon, EDV'),</v>
      </c>
    </row>
    <row r="779" spans="1:8" x14ac:dyDescent="0.25">
      <c r="A779" s="9" t="s">
        <v>1600</v>
      </c>
      <c r="B779" s="9" t="s">
        <v>1104</v>
      </c>
      <c r="C779">
        <v>1</v>
      </c>
      <c r="D779">
        <v>90</v>
      </c>
      <c r="E779">
        <v>2013</v>
      </c>
      <c r="F779" s="9" t="s">
        <v>1606</v>
      </c>
      <c r="H779" s="20" t="str">
        <f t="shared" si="12"/>
        <v>(nextval('obj_part_id_seq'), (select id from obj_building_v where zip||'|'||street||'|'||name||'|'||volume = '9220|Hoffnungsgut|Schulhaus (Altbau)|4079.00'), 'P6', 1, 90, 2013,'Gasheizung ''93'),</v>
      </c>
    </row>
    <row r="780" spans="1:8" x14ac:dyDescent="0.25">
      <c r="A780" s="9" t="s">
        <v>1600</v>
      </c>
      <c r="B780" s="9" t="s">
        <v>1106</v>
      </c>
      <c r="C780">
        <v>3</v>
      </c>
      <c r="D780">
        <v>90</v>
      </c>
      <c r="E780">
        <v>2013</v>
      </c>
      <c r="F780" s="9" t="s">
        <v>1107</v>
      </c>
      <c r="H780" s="20" t="str">
        <f t="shared" si="12"/>
        <v>(nextval('obj_part_id_seq'), (select id from obj_building_v where zip||'|'||street||'|'||name||'|'||volume = '9220|Hoffnungsgut|Schulhaus (Altbau)|4079.00'), 'P7', 3, 90, 2013,'Radiatoren mit Thermostaten'),</v>
      </c>
    </row>
    <row r="781" spans="1:8" x14ac:dyDescent="0.25">
      <c r="A781" s="9" t="s">
        <v>1600</v>
      </c>
      <c r="B781" s="9" t="s">
        <v>1108</v>
      </c>
      <c r="C781">
        <v>4</v>
      </c>
      <c r="D781">
        <v>90</v>
      </c>
      <c r="E781">
        <v>2013</v>
      </c>
      <c r="F781" s="9" t="s">
        <v>1607</v>
      </c>
      <c r="H781" s="20" t="str">
        <f t="shared" si="12"/>
        <v>(nextval('obj_part_id_seq'), (select id from obj_building_v where zip||'|'||street||'|'||name||'|'||volume = '9220|Hoffnungsgut|Schulhaus (Altbau)|4079.00'), 'P8', 4, 90, 2013,'Moderne Armaturen, Sanitärleitungen intakt, Pumpenschacht mit Tauchpumpe im UG'),</v>
      </c>
    </row>
    <row r="782" spans="1:8" x14ac:dyDescent="0.25">
      <c r="A782" s="9" t="s">
        <v>1600</v>
      </c>
      <c r="B782" s="9" t="s">
        <v>1138</v>
      </c>
      <c r="C782">
        <v>11</v>
      </c>
      <c r="D782">
        <v>90</v>
      </c>
      <c r="E782">
        <v>2013</v>
      </c>
      <c r="F782" s="9" t="s">
        <v>1608</v>
      </c>
      <c r="H782" s="20" t="str">
        <f t="shared" si="12"/>
        <v>(nextval('obj_part_id_seq'), (select id from obj_building_v where zip||'|'||street||'|'||name||'|'||volume = '9220|Hoffnungsgut|Schulhaus (Altbau)|4079.00'), 'P57', 11, 90, 2013,'Innentüren aus Holz, Garderobenbänke, Einbauschränke, Arbeitssimse'),</v>
      </c>
    </row>
    <row r="783" spans="1:8" x14ac:dyDescent="0.25">
      <c r="A783" s="9" t="s">
        <v>1600</v>
      </c>
      <c r="B783" s="9" t="s">
        <v>1140</v>
      </c>
      <c r="C783">
        <v>8</v>
      </c>
      <c r="D783">
        <v>85</v>
      </c>
      <c r="E783">
        <v>2013</v>
      </c>
      <c r="F783" s="9" t="s">
        <v>1609</v>
      </c>
      <c r="H783" s="20" t="str">
        <f t="shared" si="12"/>
        <v>(nextval('obj_part_id_seq'), (select id from obj_building_v where zip||'|'||street||'|'||name||'|'||volume = '9220|Hoffnungsgut|Schulhaus (Altbau)|4079.00'), 'P58', 8, 85, 2013,'B: Beton, gestrichen im UG, Linol, Parkett, Holz und Keramik W: Glasfasertapete und Putz D: Heraklitdecken'),</v>
      </c>
    </row>
    <row r="784" spans="1:8" x14ac:dyDescent="0.25">
      <c r="A784" s="9" t="s">
        <v>1600</v>
      </c>
      <c r="B784" s="9" t="s">
        <v>1142</v>
      </c>
      <c r="C784">
        <v>0</v>
      </c>
      <c r="D784" t="s">
        <v>4080</v>
      </c>
      <c r="E784">
        <v>2013</v>
      </c>
      <c r="F784" s="9"/>
      <c r="H784" s="20" t="str">
        <f t="shared" si="12"/>
        <v>(nextval('obj_part_id_seq'), (select id from obj_building_v where zip||'|'||street||'|'||name||'|'||volume = '9220|Hoffnungsgut|Schulhaus (Altbau)|4079.00'), 'P60', 0, null, 2013,null),</v>
      </c>
    </row>
    <row r="785" spans="1:8" x14ac:dyDescent="0.25">
      <c r="A785" s="9" t="s">
        <v>1600</v>
      </c>
      <c r="B785" s="9" t="s">
        <v>1143</v>
      </c>
      <c r="C785">
        <v>0</v>
      </c>
      <c r="D785" t="s">
        <v>4080</v>
      </c>
      <c r="E785">
        <v>2013</v>
      </c>
      <c r="F785" s="9"/>
      <c r="H785" s="20" t="str">
        <f t="shared" si="12"/>
        <v>(nextval('obj_part_id_seq'), (select id from obj_building_v where zip||'|'||street||'|'||name||'|'||volume = '9220|Hoffnungsgut|Schulhaus (Altbau)|4079.00'), 'P61', 0, null, 2013,null),</v>
      </c>
    </row>
    <row r="786" spans="1:8" x14ac:dyDescent="0.25">
      <c r="A786" s="9" t="s">
        <v>1600</v>
      </c>
      <c r="B786" s="9" t="s">
        <v>1144</v>
      </c>
      <c r="C786">
        <v>0</v>
      </c>
      <c r="D786" t="s">
        <v>4080</v>
      </c>
      <c r="E786">
        <v>2013</v>
      </c>
      <c r="F786" s="9"/>
      <c r="H786" s="20" t="str">
        <f t="shared" si="12"/>
        <v>(nextval('obj_part_id_seq'), (select id from obj_building_v where zip||'|'||street||'|'||name||'|'||volume = '9220|Hoffnungsgut|Schulhaus (Altbau)|4079.00'), 'P62', 0, null, 2013,null),</v>
      </c>
    </row>
    <row r="787" spans="1:8" x14ac:dyDescent="0.25">
      <c r="A787" s="9" t="s">
        <v>1610</v>
      </c>
      <c r="B787" s="9" t="s">
        <v>1127</v>
      </c>
      <c r="C787">
        <v>41</v>
      </c>
      <c r="D787">
        <v>90</v>
      </c>
      <c r="E787">
        <v>2013</v>
      </c>
      <c r="F787" s="9" t="s">
        <v>1611</v>
      </c>
      <c r="H787" s="20" t="str">
        <f t="shared" si="12"/>
        <v>(nextval('obj_part_id_seq'), (select id from obj_building_v where zip||'|'||street||'|'||name||'|'||volume = '9220|Hoffnungsgut|Schulhaus (Neubau)|12106.00'), 'P48', 41, 90, 2013,'Stahlbeton und Metallstützen'),</v>
      </c>
    </row>
    <row r="788" spans="1:8" x14ac:dyDescent="0.25">
      <c r="A788" s="9" t="s">
        <v>1610</v>
      </c>
      <c r="B788" s="9" t="s">
        <v>1129</v>
      </c>
      <c r="C788">
        <v>0</v>
      </c>
      <c r="D788" t="s">
        <v>4080</v>
      </c>
      <c r="E788">
        <v>2013</v>
      </c>
      <c r="F788" s="9"/>
      <c r="H788" s="20" t="str">
        <f t="shared" si="12"/>
        <v>(nextval('obj_part_id_seq'), (select id from obj_building_v where zip||'|'||street||'|'||name||'|'||volume = '9220|Hoffnungsgut|Schulhaus (Neubau)|12106.00'), 'P49', 0, null, 2013,null),</v>
      </c>
    </row>
    <row r="789" spans="1:8" x14ac:dyDescent="0.25">
      <c r="A789" s="9" t="s">
        <v>1610</v>
      </c>
      <c r="B789" s="9" t="s">
        <v>1097</v>
      </c>
      <c r="C789">
        <v>8</v>
      </c>
      <c r="D789">
        <v>90</v>
      </c>
      <c r="E789">
        <v>2013</v>
      </c>
      <c r="F789" s="9" t="s">
        <v>1612</v>
      </c>
      <c r="H789" s="20" t="str">
        <f t="shared" si="12"/>
        <v>(nextval('obj_part_id_seq'), (select id from obj_building_v where zip||'|'||street||'|'||name||'|'||volume = '9220|Hoffnungsgut|Schulhaus (Neubau)|12106.00'), 'P2', 8, 90, 2013,'Doppelpultdach, Metallblecheindeckung mit Doppelstehfalz, div. Dachflächenfenster bei Dach Pausenhalle mit Metallunterkonstruktion'),</v>
      </c>
    </row>
    <row r="790" spans="1:8" x14ac:dyDescent="0.25">
      <c r="A790" s="9" t="s">
        <v>1610</v>
      </c>
      <c r="B790" s="9" t="s">
        <v>1099</v>
      </c>
      <c r="C790">
        <v>0</v>
      </c>
      <c r="D790" t="s">
        <v>4080</v>
      </c>
      <c r="E790">
        <v>2013</v>
      </c>
      <c r="F790" s="9"/>
      <c r="H790" s="20" t="str">
        <f t="shared" si="12"/>
        <v>(nextval('obj_part_id_seq'), (select id from obj_building_v where zip||'|'||street||'|'||name||'|'||volume = '9220|Hoffnungsgut|Schulhaus (Neubau)|12106.00'), 'P3', 0, null, 2013,null),</v>
      </c>
    </row>
    <row r="791" spans="1:8" x14ac:dyDescent="0.25">
      <c r="A791" s="9" t="s">
        <v>1610</v>
      </c>
      <c r="B791" s="9" t="s">
        <v>1100</v>
      </c>
      <c r="C791">
        <v>7</v>
      </c>
      <c r="D791">
        <v>90</v>
      </c>
      <c r="E791">
        <v>2013</v>
      </c>
      <c r="F791" s="9" t="s">
        <v>1613</v>
      </c>
      <c r="H791" s="20" t="str">
        <f t="shared" si="12"/>
        <v>(nextval('obj_part_id_seq'), (select id from obj_building_v where zip||'|'||street||'|'||name||'|'||volume = '9220|Hoffnungsgut|Schulhaus (Neubau)|12106.00'), 'P4', 7, 90, 2013,'Holz (Stulpschalung), verputzte Aussenwärmedämmung'),</v>
      </c>
    </row>
    <row r="792" spans="1:8" x14ac:dyDescent="0.25">
      <c r="A792" s="9" t="s">
        <v>1610</v>
      </c>
      <c r="B792" s="9" t="s">
        <v>1102</v>
      </c>
      <c r="C792">
        <v>10</v>
      </c>
      <c r="D792">
        <v>90</v>
      </c>
      <c r="E792">
        <v>2013</v>
      </c>
      <c r="F792" s="9" t="s">
        <v>1614</v>
      </c>
      <c r="H792" s="20" t="str">
        <f t="shared" si="12"/>
        <v>(nextval('obj_part_id_seq'), (select id from obj_building_v where zip||'|'||street||'|'||name||'|'||volume = '9220|Hoffnungsgut|Schulhaus (Neubau)|12106.00'), 'P5', 10, 90, 2013,'Holzmetall  94 mit Rafflamellenstoren'),</v>
      </c>
    </row>
    <row r="793" spans="1:8" x14ac:dyDescent="0.25">
      <c r="A793" s="9" t="s">
        <v>1610</v>
      </c>
      <c r="B793" s="9" t="s">
        <v>1164</v>
      </c>
      <c r="C793">
        <v>6</v>
      </c>
      <c r="D793">
        <v>90</v>
      </c>
      <c r="E793">
        <v>2013</v>
      </c>
      <c r="F793" s="9" t="s">
        <v>1615</v>
      </c>
      <c r="H793" s="20" t="str">
        <f t="shared" si="12"/>
        <v>(nextval('obj_part_id_seq'), (select id from obj_building_v where zip||'|'||street||'|'||name||'|'||volume = '9220|Hoffnungsgut|Schulhaus (Neubau)|12106.00'), 'P50', 6, 90, 2013,'Etagenverteilungen tw. mit Keramiksicherungen'),</v>
      </c>
    </row>
    <row r="794" spans="1:8" x14ac:dyDescent="0.25">
      <c r="A794" s="9" t="s">
        <v>1610</v>
      </c>
      <c r="B794" s="9" t="s">
        <v>1166</v>
      </c>
      <c r="C794">
        <v>1</v>
      </c>
      <c r="D794">
        <v>90</v>
      </c>
      <c r="E794">
        <v>2013</v>
      </c>
      <c r="F794" s="9" t="s">
        <v>1616</v>
      </c>
      <c r="H794" s="20" t="str">
        <f t="shared" si="12"/>
        <v>(nextval('obj_part_id_seq'), (select id from obj_building_v where zip||'|'||street||'|'||name||'|'||volume = '9220|Hoffnungsgut|Schulhaus (Neubau)|12106.00'), 'P51', 1, 90, 2013,'Telefon, EDV-Leitungen und Server'),</v>
      </c>
    </row>
    <row r="795" spans="1:8" x14ac:dyDescent="0.25">
      <c r="A795" s="9" t="s">
        <v>1610</v>
      </c>
      <c r="B795" s="9" t="s">
        <v>1104</v>
      </c>
      <c r="C795">
        <v>0</v>
      </c>
      <c r="D795" t="s">
        <v>4080</v>
      </c>
      <c r="E795">
        <v>2013</v>
      </c>
      <c r="F795" s="9" t="s">
        <v>1617</v>
      </c>
      <c r="H795" s="20" t="str">
        <f t="shared" si="12"/>
        <v>(nextval('obj_part_id_seq'), (select id from obj_building_v where zip||'|'||street||'|'||name||'|'||volume = '9220|Hoffnungsgut|Schulhaus (Neubau)|12106.00'), 'P6', 0, null, 2013,'Fernwärme von Benachbarten alten Schulhaus'),</v>
      </c>
    </row>
    <row r="796" spans="1:8" x14ac:dyDescent="0.25">
      <c r="A796" s="9" t="s">
        <v>1610</v>
      </c>
      <c r="B796" s="9" t="s">
        <v>1106</v>
      </c>
      <c r="C796">
        <v>3</v>
      </c>
      <c r="D796">
        <v>90</v>
      </c>
      <c r="E796">
        <v>2013</v>
      </c>
      <c r="F796" s="9" t="s">
        <v>1107</v>
      </c>
      <c r="H796" s="20" t="str">
        <f t="shared" si="12"/>
        <v>(nextval('obj_part_id_seq'), (select id from obj_building_v where zip||'|'||street||'|'||name||'|'||volume = '9220|Hoffnungsgut|Schulhaus (Neubau)|12106.00'), 'P7', 3, 90, 2013,'Radiatoren mit Thermostaten'),</v>
      </c>
    </row>
    <row r="797" spans="1:8" x14ac:dyDescent="0.25">
      <c r="A797" s="9" t="s">
        <v>1610</v>
      </c>
      <c r="B797" s="9" t="s">
        <v>1108</v>
      </c>
      <c r="C797">
        <v>4</v>
      </c>
      <c r="D797">
        <v>90</v>
      </c>
      <c r="E797">
        <v>2013</v>
      </c>
      <c r="F797" s="9" t="s">
        <v>1618</v>
      </c>
      <c r="H797" s="20" t="str">
        <f t="shared" si="12"/>
        <v>(nextval('obj_part_id_seq'), (select id from obj_building_v where zip||'|'||street||'|'||name||'|'||volume = '9220|Hoffnungsgut|Schulhaus (Neubau)|12106.00'), 'P8', 4, 90, 2013,'Apparate und Armaturen zeitgemäss und intakt, Abluft Druckerraum im DG, Leitungen i.O.'),</v>
      </c>
    </row>
    <row r="798" spans="1:8" x14ac:dyDescent="0.25">
      <c r="A798" s="9" t="s">
        <v>1610</v>
      </c>
      <c r="B798" s="9" t="s">
        <v>1138</v>
      </c>
      <c r="C798">
        <v>11</v>
      </c>
      <c r="D798">
        <v>85</v>
      </c>
      <c r="E798">
        <v>2013</v>
      </c>
      <c r="F798" s="9" t="s">
        <v>1619</v>
      </c>
      <c r="H798" s="20" t="str">
        <f t="shared" si="12"/>
        <v>(nextval('obj_part_id_seq'), (select id from obj_building_v where zip||'|'||street||'|'||name||'|'||volume = '9220|Hoffnungsgut|Schulhaus (Neubau)|12106.00'), 'P57', 11, 85, 2013,'Geländer aus Metall, Einbauten aus Holz, Grundputz im Anschluss Firstbalken gerissen, Toilettentrennwände aus Holz'),</v>
      </c>
    </row>
    <row r="799" spans="1:8" x14ac:dyDescent="0.25">
      <c r="A799" s="9" t="s">
        <v>1610</v>
      </c>
      <c r="B799" s="9" t="s">
        <v>1140</v>
      </c>
      <c r="C799">
        <v>8</v>
      </c>
      <c r="D799">
        <v>90</v>
      </c>
      <c r="E799">
        <v>2013</v>
      </c>
      <c r="F799" s="9" t="s">
        <v>1620</v>
      </c>
      <c r="H799" s="20" t="str">
        <f t="shared" si="12"/>
        <v>(nextval('obj_part_id_seq'), (select id from obj_building_v where zip||'|'||street||'|'||name||'|'||volume = '9220|Hoffnungsgut|Schulhaus (Neubau)|12106.00'), 'P58', 8, 90, 2013,'B: Parkett, Beton, Linol oder Keramikplatten W:Glasfasertapeten oder Beton, Keramikplatten im WC D: Akustikdecken aus Holz, in KZ: Täfer'),</v>
      </c>
    </row>
    <row r="800" spans="1:8" x14ac:dyDescent="0.25">
      <c r="A800" s="9" t="s">
        <v>1610</v>
      </c>
      <c r="B800" s="9" t="s">
        <v>1142</v>
      </c>
      <c r="C800">
        <v>1</v>
      </c>
      <c r="D800">
        <v>90</v>
      </c>
      <c r="E800">
        <v>2013</v>
      </c>
      <c r="F800" s="9" t="s">
        <v>1621</v>
      </c>
      <c r="H800" s="20" t="str">
        <f t="shared" si="12"/>
        <v>(nextval('obj_part_id_seq'), (select id from obj_building_v where zip||'|'||street||'|'||name||'|'||volume = '9220|Hoffnungsgut|Schulhaus (Neubau)|12106.00'), 'P60', 1, 90, 2013,'Treppenlift'),</v>
      </c>
    </row>
    <row r="801" spans="1:8" x14ac:dyDescent="0.25">
      <c r="A801" s="9" t="s">
        <v>1610</v>
      </c>
      <c r="B801" s="9" t="s">
        <v>1143</v>
      </c>
      <c r="C801">
        <v>0</v>
      </c>
      <c r="D801">
        <v>90</v>
      </c>
      <c r="E801">
        <v>2013</v>
      </c>
      <c r="F801" s="9"/>
      <c r="H801" s="20" t="str">
        <f t="shared" si="12"/>
        <v>(nextval('obj_part_id_seq'), (select id from obj_building_v where zip||'|'||street||'|'||name||'|'||volume = '9220|Hoffnungsgut|Schulhaus (Neubau)|12106.00'), 'P61', 0, 90, 2013,null),</v>
      </c>
    </row>
    <row r="802" spans="1:8" x14ac:dyDescent="0.25">
      <c r="A802" s="9" t="s">
        <v>1610</v>
      </c>
      <c r="B802" s="9" t="s">
        <v>1144</v>
      </c>
      <c r="C802">
        <v>0</v>
      </c>
      <c r="D802" t="s">
        <v>4080</v>
      </c>
      <c r="E802">
        <v>2013</v>
      </c>
      <c r="F802" s="9"/>
      <c r="H802" s="20" t="str">
        <f t="shared" si="12"/>
        <v>(nextval('obj_part_id_seq'), (select id from obj_building_v where zip||'|'||street||'|'||name||'|'||volume = '9220|Hoffnungsgut|Schulhaus (Neubau)|12106.00'), 'P62', 0, null, 2013,null),</v>
      </c>
    </row>
    <row r="803" spans="1:8" x14ac:dyDescent="0.25">
      <c r="A803" s="9" t="s">
        <v>1622</v>
      </c>
      <c r="B803" s="9" t="s">
        <v>1127</v>
      </c>
      <c r="C803">
        <v>35</v>
      </c>
      <c r="D803">
        <v>90</v>
      </c>
      <c r="E803">
        <v>2013</v>
      </c>
      <c r="F803" s="9" t="s">
        <v>1623</v>
      </c>
      <c r="H803" s="20" t="str">
        <f t="shared" si="12"/>
        <v>(nextval('obj_part_id_seq'), (select id from obj_building_v where zip||'|'||street||'|'||name||'|'||volume = '9220|Hoffnungsgut|Turnhallen, Wohnung|7282.00'), 'P48', 35, 90, 2013,'Stahlbeton und Mauerwerk, Rostflecken in Ecke Decke-Wand, vermutlich von Armierungseisen (Abklärung erforderlich)'),</v>
      </c>
    </row>
    <row r="804" spans="1:8" x14ac:dyDescent="0.25">
      <c r="A804" s="9" t="s">
        <v>1622</v>
      </c>
      <c r="B804" s="9" t="s">
        <v>1129</v>
      </c>
      <c r="C804">
        <v>0</v>
      </c>
      <c r="D804" t="s">
        <v>4080</v>
      </c>
      <c r="E804">
        <v>2013</v>
      </c>
      <c r="F804" s="9"/>
      <c r="H804" s="20" t="str">
        <f t="shared" si="12"/>
        <v>(nextval('obj_part_id_seq'), (select id from obj_building_v where zip||'|'||street||'|'||name||'|'||volume = '9220|Hoffnungsgut|Turnhallen, Wohnung|7282.00'), 'P49', 0, null, 2013,null),</v>
      </c>
    </row>
    <row r="805" spans="1:8" x14ac:dyDescent="0.25">
      <c r="A805" s="9" t="s">
        <v>1622</v>
      </c>
      <c r="B805" s="9" t="s">
        <v>1097</v>
      </c>
      <c r="C805">
        <v>0</v>
      </c>
      <c r="D805" t="s">
        <v>4080</v>
      </c>
      <c r="E805">
        <v>2013</v>
      </c>
      <c r="F805" s="9"/>
      <c r="H805" s="20" t="str">
        <f t="shared" si="12"/>
        <v>(nextval('obj_part_id_seq'), (select id from obj_building_v where zip||'|'||street||'|'||name||'|'||volume = '9220|Hoffnungsgut|Turnhallen, Wohnung|7282.00'), 'P2', 0, null, 2013,null),</v>
      </c>
    </row>
    <row r="806" spans="1:8" x14ac:dyDescent="0.25">
      <c r="A806" s="9" t="s">
        <v>1622</v>
      </c>
      <c r="B806" s="9" t="s">
        <v>1099</v>
      </c>
      <c r="C806">
        <v>13</v>
      </c>
      <c r="D806">
        <v>90</v>
      </c>
      <c r="E806">
        <v>2013</v>
      </c>
      <c r="F806" s="9" t="s">
        <v>1624</v>
      </c>
      <c r="H806" s="20" t="str">
        <f t="shared" si="12"/>
        <v>(nextval('obj_part_id_seq'), (select id from obj_building_v where zip||'|'||street||'|'||name||'|'||volume = '9220|Hoffnungsgut|Turnhallen, Wohnung|7282.00'), 'P3', 13, 90, 2013,'Dachbegrünung; teilweise stehendes Wasser (vermoost). tw. undicht (Turnhalle 2 im OG)'),</v>
      </c>
    </row>
    <row r="807" spans="1:8" x14ac:dyDescent="0.25">
      <c r="A807" s="9" t="s">
        <v>1622</v>
      </c>
      <c r="B807" s="9" t="s">
        <v>1100</v>
      </c>
      <c r="C807">
        <v>6</v>
      </c>
      <c r="D807">
        <v>90</v>
      </c>
      <c r="E807">
        <v>2013</v>
      </c>
      <c r="F807" s="9" t="s">
        <v>1625</v>
      </c>
      <c r="H807" s="20" t="str">
        <f t="shared" si="12"/>
        <v>(nextval('obj_part_id_seq'), (select id from obj_building_v where zip||'|'||street||'|'||name||'|'||volume = '9220|Hoffnungsgut|Turnhallen, Wohnung|7282.00'), 'P4', 6, 90, 2013,'Grossflächige Eternitplatten'),</v>
      </c>
    </row>
    <row r="808" spans="1:8" x14ac:dyDescent="0.25">
      <c r="A808" s="9" t="s">
        <v>1622</v>
      </c>
      <c r="B808" s="9" t="s">
        <v>1102</v>
      </c>
      <c r="C808">
        <v>8</v>
      </c>
      <c r="D808">
        <v>90</v>
      </c>
      <c r="E808">
        <v>2013</v>
      </c>
      <c r="F808" s="9" t="s">
        <v>1626</v>
      </c>
      <c r="H808" s="20" t="str">
        <f t="shared" si="12"/>
        <v>(nextval('obj_part_id_seq'), (select id from obj_building_v where zip||'|'||street||'|'||name||'|'||volume = '9220|Hoffnungsgut|Turnhallen, Wohnung|7282.00'), 'P5', 8, 90, 2013,'Holzmetallfenster ''98 IV'),</v>
      </c>
    </row>
    <row r="809" spans="1:8" x14ac:dyDescent="0.25">
      <c r="A809" s="9" t="s">
        <v>1622</v>
      </c>
      <c r="B809" s="9" t="s">
        <v>1110</v>
      </c>
      <c r="C809">
        <v>5</v>
      </c>
      <c r="D809">
        <v>90</v>
      </c>
      <c r="E809">
        <v>2013</v>
      </c>
      <c r="F809" s="9" t="s">
        <v>1627</v>
      </c>
      <c r="H809" s="20" t="str">
        <f t="shared" si="12"/>
        <v>(nextval('obj_part_id_seq'), (select id from obj_building_v where zip||'|'||street||'|'||name||'|'||volume = '9220|Hoffnungsgut|Turnhallen, Wohnung|7282.00'), 'P9', 5, 90, 2013,'Mangelhafte Absicherung der Aussenbeleuchtung wird in laufender Rechnung abgedekt'),</v>
      </c>
    </row>
    <row r="810" spans="1:8" x14ac:dyDescent="0.25">
      <c r="A810" s="9" t="s">
        <v>1622</v>
      </c>
      <c r="B810" s="9" t="s">
        <v>1104</v>
      </c>
      <c r="C810">
        <v>0</v>
      </c>
      <c r="D810" t="s">
        <v>4080</v>
      </c>
      <c r="E810">
        <v>2013</v>
      </c>
      <c r="F810" s="9" t="s">
        <v>1628</v>
      </c>
      <c r="H810" s="20" t="str">
        <f t="shared" si="12"/>
        <v>(nextval('obj_part_id_seq'), (select id from obj_building_v where zip||'|'||street||'|'||name||'|'||volume = '9220|Hoffnungsgut|Turnhallen, Wohnung|7282.00'), 'P6', 0, null, 2013,'Heizung vom benachbarten Schulhaus (Altteil)'),</v>
      </c>
    </row>
    <row r="811" spans="1:8" x14ac:dyDescent="0.25">
      <c r="A811" s="9" t="s">
        <v>1622</v>
      </c>
      <c r="B811" s="9" t="s">
        <v>1106</v>
      </c>
      <c r="C811">
        <v>3</v>
      </c>
      <c r="D811">
        <v>90</v>
      </c>
      <c r="E811">
        <v>2013</v>
      </c>
      <c r="F811" s="9" t="s">
        <v>1107</v>
      </c>
      <c r="H811" s="20" t="str">
        <f t="shared" si="12"/>
        <v>(nextval('obj_part_id_seq'), (select id from obj_building_v where zip||'|'||street||'|'||name||'|'||volume = '9220|Hoffnungsgut|Turnhallen, Wohnung|7282.00'), 'P7', 3, 90, 2013,'Radiatoren mit Thermostaten'),</v>
      </c>
    </row>
    <row r="812" spans="1:8" x14ac:dyDescent="0.25">
      <c r="A812" s="9" t="s">
        <v>1622</v>
      </c>
      <c r="B812" s="9" t="s">
        <v>1403</v>
      </c>
      <c r="C812">
        <v>2</v>
      </c>
      <c r="D812">
        <v>80</v>
      </c>
      <c r="E812">
        <v>2013</v>
      </c>
      <c r="F812" s="9" t="s">
        <v>1629</v>
      </c>
      <c r="H812" s="20" t="str">
        <f t="shared" si="12"/>
        <v>(nextval('obj_part_id_seq'), (select id from obj_building_v where zip||'|'||street||'|'||name||'|'||volume = '9220|Hoffnungsgut|Turnhallen, Wohnung|7282.00'), 'P52', 2, 80, 2013,'Alte Lüftung, jedoch funktionstüchtig'),</v>
      </c>
    </row>
    <row r="813" spans="1:8" x14ac:dyDescent="0.25">
      <c r="A813" s="9" t="s">
        <v>1622</v>
      </c>
      <c r="B813" s="9" t="s">
        <v>1404</v>
      </c>
      <c r="C813">
        <v>2</v>
      </c>
      <c r="D813">
        <v>90</v>
      </c>
      <c r="E813">
        <v>2013</v>
      </c>
      <c r="F813" s="9"/>
      <c r="H813" s="20" t="str">
        <f t="shared" si="12"/>
        <v>(nextval('obj_part_id_seq'), (select id from obj_building_v where zip||'|'||street||'|'||name||'|'||volume = '9220|Hoffnungsgut|Turnhallen, Wohnung|7282.00'), 'P53', 2, 90, 2013,null),</v>
      </c>
    </row>
    <row r="814" spans="1:8" x14ac:dyDescent="0.25">
      <c r="A814" s="9" t="s">
        <v>1622</v>
      </c>
      <c r="B814" s="9" t="s">
        <v>1135</v>
      </c>
      <c r="C814">
        <v>2</v>
      </c>
      <c r="D814">
        <v>85</v>
      </c>
      <c r="E814">
        <v>2013</v>
      </c>
      <c r="F814" s="9" t="s">
        <v>1630</v>
      </c>
      <c r="H814" s="20" t="str">
        <f t="shared" si="12"/>
        <v>(nextval('obj_part_id_seq'), (select id from obj_building_v where zip||'|'||street||'|'||name||'|'||volume = '9220|Hoffnungsgut|Turnhallen, Wohnung|7282.00'), 'P54', 2, 85, 2013,'Tw. ältere Armaturen jedoch keine Mängel sichtbar'),</v>
      </c>
    </row>
    <row r="815" spans="1:8" x14ac:dyDescent="0.25">
      <c r="A815" s="9" t="s">
        <v>1622</v>
      </c>
      <c r="B815" s="9" t="s">
        <v>1137</v>
      </c>
      <c r="C815">
        <v>3</v>
      </c>
      <c r="D815">
        <v>80</v>
      </c>
      <c r="E815">
        <v>2013</v>
      </c>
      <c r="F815" s="9" t="s">
        <v>1631</v>
      </c>
      <c r="H815" s="20" t="str">
        <f t="shared" si="12"/>
        <v>(nextval('obj_part_id_seq'), (select id from obj_building_v where zip||'|'||street||'|'||name||'|'||volume = '9220|Hoffnungsgut|Turnhallen, Wohnung|7282.00'), 'P55', 3, 80, 2013,'Bei Küche etwas reduzierter Durchfluss, ansonsten sind keine Mängel bekannt, Steigleitungen sind alt'),</v>
      </c>
    </row>
    <row r="816" spans="1:8" x14ac:dyDescent="0.25">
      <c r="A816" s="9" t="s">
        <v>1622</v>
      </c>
      <c r="B816" s="9" t="s">
        <v>1138</v>
      </c>
      <c r="C816">
        <v>10</v>
      </c>
      <c r="D816">
        <v>90</v>
      </c>
      <c r="E816">
        <v>2013</v>
      </c>
      <c r="F816" s="9" t="s">
        <v>1632</v>
      </c>
      <c r="H816" s="20" t="str">
        <f t="shared" si="12"/>
        <v>(nextval('obj_part_id_seq'), (select id from obj_building_v where zip||'|'||street||'|'||name||'|'||volume = '9220|Hoffnungsgut|Turnhallen, Wohnung|7282.00'), 'P57', 10, 90, 2013,'Einbauschränke, Küche'),</v>
      </c>
    </row>
    <row r="817" spans="1:8" x14ac:dyDescent="0.25">
      <c r="A817" s="9" t="s">
        <v>1622</v>
      </c>
      <c r="B817" s="9" t="s">
        <v>1140</v>
      </c>
      <c r="C817">
        <v>11</v>
      </c>
      <c r="D817">
        <v>90</v>
      </c>
      <c r="E817">
        <v>2013</v>
      </c>
      <c r="F817" s="9" t="s">
        <v>1633</v>
      </c>
      <c r="H817" s="20" t="str">
        <f t="shared" si="12"/>
        <v>(nextval('obj_part_id_seq'), (select id from obj_building_v where zip||'|'||street||'|'||name||'|'||volume = '9220|Hoffnungsgut|Turnhallen, Wohnung|7282.00'), 'P58', 11, 90, 2013,'B: Keramikplatten, Linol, Flüssigkunststoffboden, Kunststein, Laminat oder Parkett W: Glasfasertapete oder gestrichener Putz D: Akustikdecken oder Putz'),</v>
      </c>
    </row>
    <row r="818" spans="1:8" x14ac:dyDescent="0.25">
      <c r="A818" s="9" t="s">
        <v>1622</v>
      </c>
      <c r="B818" s="9" t="s">
        <v>1142</v>
      </c>
      <c r="C818">
        <v>0</v>
      </c>
      <c r="D818" t="s">
        <v>4080</v>
      </c>
      <c r="E818">
        <v>2013</v>
      </c>
      <c r="F818" s="9"/>
      <c r="H818" s="20" t="str">
        <f t="shared" si="12"/>
        <v>(nextval('obj_part_id_seq'), (select id from obj_building_v where zip||'|'||street||'|'||name||'|'||volume = '9220|Hoffnungsgut|Turnhallen, Wohnung|7282.00'), 'P60', 0, null, 2013,null),</v>
      </c>
    </row>
    <row r="819" spans="1:8" x14ac:dyDescent="0.25">
      <c r="A819" s="9" t="s">
        <v>1622</v>
      </c>
      <c r="B819" s="9" t="s">
        <v>1143</v>
      </c>
      <c r="C819">
        <v>0</v>
      </c>
      <c r="D819" t="s">
        <v>4080</v>
      </c>
      <c r="E819">
        <v>2013</v>
      </c>
      <c r="F819" s="9"/>
      <c r="H819" s="20" t="str">
        <f t="shared" si="12"/>
        <v>(nextval('obj_part_id_seq'), (select id from obj_building_v where zip||'|'||street||'|'||name||'|'||volume = '9220|Hoffnungsgut|Turnhallen, Wohnung|7282.00'), 'P61', 0, null, 2013,null),</v>
      </c>
    </row>
    <row r="820" spans="1:8" x14ac:dyDescent="0.25">
      <c r="A820" s="9" t="s">
        <v>1622</v>
      </c>
      <c r="B820" s="9" t="s">
        <v>1144</v>
      </c>
      <c r="C820">
        <v>0</v>
      </c>
      <c r="D820" t="s">
        <v>4080</v>
      </c>
      <c r="E820">
        <v>2013</v>
      </c>
      <c r="F820" s="9"/>
      <c r="H820" s="20" t="str">
        <f t="shared" si="12"/>
        <v>(nextval('obj_part_id_seq'), (select id from obj_building_v where zip||'|'||street||'|'||name||'|'||volume = '9220|Hoffnungsgut|Turnhallen, Wohnung|7282.00'), 'P62', 0, null, 2013,null),</v>
      </c>
    </row>
    <row r="821" spans="1:8" x14ac:dyDescent="0.25">
      <c r="A821" s="9" t="s">
        <v>1634</v>
      </c>
      <c r="B821" s="9" t="s">
        <v>1127</v>
      </c>
      <c r="C821">
        <v>67</v>
      </c>
      <c r="D821">
        <v>90</v>
      </c>
      <c r="E821">
        <v>2013</v>
      </c>
      <c r="F821" s="9" t="s">
        <v>1635</v>
      </c>
      <c r="H821" s="20" t="str">
        <f t="shared" si="12"/>
        <v>(nextval('obj_part_id_seq'), (select id from obj_building_v where zip||'|'||street||'|'||name||'|'||volume = '9220|Hoffnungsgut|Garagen, Abstellgebäude|838.00'), 'P48', 67, 90, 2013,'Stahlbeton, Stahl, Mauerwerk und KS-Sichtmauerwerk'),</v>
      </c>
    </row>
    <row r="822" spans="1:8" x14ac:dyDescent="0.25">
      <c r="A822" s="9" t="s">
        <v>1634</v>
      </c>
      <c r="B822" s="9" t="s">
        <v>1129</v>
      </c>
      <c r="C822">
        <v>0</v>
      </c>
      <c r="D822" t="s">
        <v>4080</v>
      </c>
      <c r="E822">
        <v>2013</v>
      </c>
      <c r="F822" s="9"/>
      <c r="H822" s="20" t="str">
        <f t="shared" si="12"/>
        <v>(nextval('obj_part_id_seq'), (select id from obj_building_v where zip||'|'||street||'|'||name||'|'||volume = '9220|Hoffnungsgut|Garagen, Abstellgebäude|838.00'), 'P49', 0, null, 2013,null),</v>
      </c>
    </row>
    <row r="823" spans="1:8" x14ac:dyDescent="0.25">
      <c r="A823" s="9" t="s">
        <v>1634</v>
      </c>
      <c r="B823" s="9" t="s">
        <v>1099</v>
      </c>
      <c r="C823">
        <v>21</v>
      </c>
      <c r="D823">
        <v>80</v>
      </c>
      <c r="E823">
        <v>2013</v>
      </c>
      <c r="F823" s="9" t="s">
        <v>1636</v>
      </c>
      <c r="H823" s="20" t="str">
        <f t="shared" si="12"/>
        <v>(nextval('obj_part_id_seq'), (select id from obj_building_v where zip||'|'||street||'|'||name||'|'||volume = '9220|Hoffnungsgut|Garagen, Abstellgebäude|838.00'), 'P3', 21, 80, 2013,'Die Nutzschicht des befahrbaren Dachs ist uneben (Velounterstand), das Glasdach ist intakt'),</v>
      </c>
    </row>
    <row r="824" spans="1:8" x14ac:dyDescent="0.25">
      <c r="A824" s="9" t="s">
        <v>1634</v>
      </c>
      <c r="B824" s="9" t="s">
        <v>1100</v>
      </c>
      <c r="C824">
        <v>1</v>
      </c>
      <c r="D824">
        <v>90</v>
      </c>
      <c r="E824">
        <v>2013</v>
      </c>
      <c r="F824" s="9" t="s">
        <v>1637</v>
      </c>
      <c r="H824" s="20" t="str">
        <f t="shared" si="12"/>
        <v>(nextval('obj_part_id_seq'), (select id from obj_building_v where zip||'|'||street||'|'||name||'|'||volume = '9220|Hoffnungsgut|Garagen, Abstellgebäude|838.00'), 'P4', 1, 90, 2013,'Sichtmauerwerk im EG und Anstrich im UG'),</v>
      </c>
    </row>
    <row r="825" spans="1:8" x14ac:dyDescent="0.25">
      <c r="A825" s="9" t="s">
        <v>1634</v>
      </c>
      <c r="B825" s="9" t="s">
        <v>1102</v>
      </c>
      <c r="C825">
        <v>1</v>
      </c>
      <c r="D825">
        <v>85</v>
      </c>
      <c r="E825">
        <v>2013</v>
      </c>
      <c r="F825" s="9" t="s">
        <v>1638</v>
      </c>
      <c r="H825" s="20" t="str">
        <f t="shared" si="12"/>
        <v>(nextval('obj_part_id_seq'), (select id from obj_building_v where zip||'|'||street||'|'||name||'|'||volume = '9220|Hoffnungsgut|Garagen, Abstellgebäude|838.00'), 'P5', 1, 85, 2013,'Garagentore mit Holzfenster'),</v>
      </c>
    </row>
    <row r="826" spans="1:8" x14ac:dyDescent="0.25">
      <c r="A826" s="9" t="s">
        <v>1634</v>
      </c>
      <c r="B826" s="9" t="s">
        <v>1164</v>
      </c>
      <c r="C826">
        <v>3</v>
      </c>
      <c r="D826">
        <v>85</v>
      </c>
      <c r="E826">
        <v>2013</v>
      </c>
      <c r="F826" s="9" t="s">
        <v>1639</v>
      </c>
      <c r="H826" s="20" t="str">
        <f t="shared" si="12"/>
        <v>(nextval('obj_part_id_seq'), (select id from obj_building_v where zip||'|'||street||'|'||name||'|'||volume = '9220|Hoffnungsgut|Garagen, Abstellgebäude|838.00'), 'P50', 3, 85, 2013,'Sicherungen genügend, Beleuchtung Velounterstand und Garagen'),</v>
      </c>
    </row>
    <row r="827" spans="1:8" x14ac:dyDescent="0.25">
      <c r="A827" s="9" t="s">
        <v>1634</v>
      </c>
      <c r="B827" s="9" t="s">
        <v>1166</v>
      </c>
      <c r="C827">
        <v>0</v>
      </c>
      <c r="D827" t="s">
        <v>4080</v>
      </c>
      <c r="E827">
        <v>2013</v>
      </c>
      <c r="F827" s="9"/>
      <c r="H827" s="20" t="str">
        <f t="shared" si="12"/>
        <v>(nextval('obj_part_id_seq'), (select id from obj_building_v where zip||'|'||street||'|'||name||'|'||volume = '9220|Hoffnungsgut|Garagen, Abstellgebäude|838.00'), 'P51', 0, null, 2013,null),</v>
      </c>
    </row>
    <row r="828" spans="1:8" x14ac:dyDescent="0.25">
      <c r="A828" s="9" t="s">
        <v>1634</v>
      </c>
      <c r="B828" s="9" t="s">
        <v>1403</v>
      </c>
      <c r="C828">
        <v>0</v>
      </c>
      <c r="D828" t="s">
        <v>4080</v>
      </c>
      <c r="E828">
        <v>2013</v>
      </c>
      <c r="F828" s="9"/>
      <c r="H828" s="20" t="str">
        <f t="shared" si="12"/>
        <v>(nextval('obj_part_id_seq'), (select id from obj_building_v where zip||'|'||street||'|'||name||'|'||volume = '9220|Hoffnungsgut|Garagen, Abstellgebäude|838.00'), 'P52', 0, null, 2013,null),</v>
      </c>
    </row>
    <row r="829" spans="1:8" x14ac:dyDescent="0.25">
      <c r="A829" s="9" t="s">
        <v>1634</v>
      </c>
      <c r="B829" s="9" t="s">
        <v>1404</v>
      </c>
      <c r="C829">
        <v>0</v>
      </c>
      <c r="D829" t="s">
        <v>4080</v>
      </c>
      <c r="E829">
        <v>2013</v>
      </c>
      <c r="F829" s="9"/>
      <c r="H829" s="20" t="str">
        <f t="shared" si="12"/>
        <v>(nextval('obj_part_id_seq'), (select id from obj_building_v where zip||'|'||street||'|'||name||'|'||volume = '9220|Hoffnungsgut|Garagen, Abstellgebäude|838.00'), 'P53', 0, null, 2013,null),</v>
      </c>
    </row>
    <row r="830" spans="1:8" x14ac:dyDescent="0.25">
      <c r="A830" s="9" t="s">
        <v>1634</v>
      </c>
      <c r="B830" s="9" t="s">
        <v>1108</v>
      </c>
      <c r="C830">
        <v>1</v>
      </c>
      <c r="D830">
        <v>90</v>
      </c>
      <c r="E830">
        <v>2013</v>
      </c>
      <c r="F830" s="9" t="s">
        <v>1640</v>
      </c>
      <c r="H830" s="20" t="str">
        <f t="shared" si="12"/>
        <v>(nextval('obj_part_id_seq'), (select id from obj_building_v where zip||'|'||street||'|'||name||'|'||volume = '9220|Hoffnungsgut|Garagen, Abstellgebäude|838.00'), 'P8', 1, 90, 2013,'keine Mängel, Wasseranschluss'),</v>
      </c>
    </row>
    <row r="831" spans="1:8" x14ac:dyDescent="0.25">
      <c r="A831" s="9" t="s">
        <v>1634</v>
      </c>
      <c r="B831" s="9" t="s">
        <v>1155</v>
      </c>
      <c r="C831">
        <v>0</v>
      </c>
      <c r="D831" t="s">
        <v>4080</v>
      </c>
      <c r="E831">
        <v>2013</v>
      </c>
      <c r="F831" s="9"/>
      <c r="H831" s="20" t="str">
        <f t="shared" si="12"/>
        <v>(nextval('obj_part_id_seq'), (select id from obj_building_v where zip||'|'||street||'|'||name||'|'||volume = '9220|Hoffnungsgut|Garagen, Abstellgebäude|838.00'), 'P56', 0, null, 2013,null),</v>
      </c>
    </row>
    <row r="832" spans="1:8" x14ac:dyDescent="0.25">
      <c r="A832" s="9" t="s">
        <v>1634</v>
      </c>
      <c r="B832" s="9" t="s">
        <v>1114</v>
      </c>
      <c r="C832">
        <v>6</v>
      </c>
      <c r="D832">
        <v>90</v>
      </c>
      <c r="E832">
        <v>2013</v>
      </c>
      <c r="F832" s="9" t="s">
        <v>1641</v>
      </c>
      <c r="H832" s="20" t="str">
        <f t="shared" si="12"/>
        <v>(nextval('obj_part_id_seq'), (select id from obj_building_v where zip||'|'||street||'|'||name||'|'||volume = '9220|Hoffnungsgut|Garagen, Abstellgebäude|838.00'), 'P11', 6, 90, 2013,'B: Hartbeton, gestrichen, W: Mauerwerk, gestrichen, D: Beton, gestrichen'),</v>
      </c>
    </row>
    <row r="833" spans="1:8" x14ac:dyDescent="0.25">
      <c r="A833" s="9" t="s">
        <v>1634</v>
      </c>
      <c r="B833" s="9" t="s">
        <v>1142</v>
      </c>
      <c r="C833">
        <v>0</v>
      </c>
      <c r="D833" t="s">
        <v>4080</v>
      </c>
      <c r="E833">
        <v>2013</v>
      </c>
      <c r="F833" s="9"/>
      <c r="H833" s="20" t="str">
        <f t="shared" si="12"/>
        <v>(nextval('obj_part_id_seq'), (select id from obj_building_v where zip||'|'||street||'|'||name||'|'||volume = '9220|Hoffnungsgut|Garagen, Abstellgebäude|838.00'), 'P60', 0, null, 2013,null),</v>
      </c>
    </row>
    <row r="834" spans="1:8" x14ac:dyDescent="0.25">
      <c r="A834" s="9" t="s">
        <v>1634</v>
      </c>
      <c r="B834" s="9" t="s">
        <v>1143</v>
      </c>
      <c r="C834">
        <v>0</v>
      </c>
      <c r="D834" t="s">
        <v>4080</v>
      </c>
      <c r="E834">
        <v>2013</v>
      </c>
      <c r="F834" s="9"/>
      <c r="H834" s="20" t="str">
        <f t="shared" si="12"/>
        <v>(nextval('obj_part_id_seq'), (select id from obj_building_v where zip||'|'||street||'|'||name||'|'||volume = '9220|Hoffnungsgut|Garagen, Abstellgebäude|838.00'), 'P61', 0, null, 2013,null),</v>
      </c>
    </row>
    <row r="835" spans="1:8" x14ac:dyDescent="0.25">
      <c r="A835" s="9" t="s">
        <v>1634</v>
      </c>
      <c r="B835" s="9" t="s">
        <v>1144</v>
      </c>
      <c r="C835">
        <v>0</v>
      </c>
      <c r="D835" t="s">
        <v>4080</v>
      </c>
      <c r="E835">
        <v>2013</v>
      </c>
      <c r="F835" s="9"/>
      <c r="H835" s="20" t="str">
        <f t="shared" si="12"/>
        <v>(nextval('obj_part_id_seq'), (select id from obj_building_v where zip||'|'||street||'|'||name||'|'||volume = '9220|Hoffnungsgut|Garagen, Abstellgebäude|838.00'), 'P62', 0, null, 2013,null),</v>
      </c>
    </row>
    <row r="836" spans="1:8" x14ac:dyDescent="0.25">
      <c r="A836" s="9" t="s">
        <v>1642</v>
      </c>
      <c r="B836" s="9" t="s">
        <v>1127</v>
      </c>
      <c r="C836">
        <v>27</v>
      </c>
      <c r="D836">
        <v>90</v>
      </c>
      <c r="E836">
        <v>2013</v>
      </c>
      <c r="F836" s="9" t="s">
        <v>1643</v>
      </c>
      <c r="H836" s="20" t="str">
        <f t="shared" si="12"/>
        <v>(nextval('obj_part_id_seq'), (select id from obj_building_v where zip||'|'||street||'|'||name||'|'||volume = '9220|Hoffnungsgut/(Thurblick)|Kindergartenpavillon, Gartenhaus|772.00'), 'P48', 27, 90, 2013,'Holzständerbau, Elementbau'),</v>
      </c>
    </row>
    <row r="837" spans="1:8" x14ac:dyDescent="0.25">
      <c r="A837" s="9" t="s">
        <v>1642</v>
      </c>
      <c r="B837" s="9" t="s">
        <v>1129</v>
      </c>
      <c r="C837">
        <v>0</v>
      </c>
      <c r="D837" t="s">
        <v>4080</v>
      </c>
      <c r="E837">
        <v>2013</v>
      </c>
      <c r="F837" s="9"/>
      <c r="H837" s="20" t="str">
        <f t="shared" ref="H837:H900" si="13">"(nextval('obj_part_id_seq'), (select id from obj_building_v where zip||'|'||street||'|'||name||'|'||volume = '"&amp;A837&amp;"'), '"&amp;B837&amp;"', "&amp;C837&amp;", "&amp;D837&amp;", "&amp;IF(ISBLANK(E837),"null",E837)&amp;","&amp;IF(ISBLANK(F837),"null","'"&amp;F837&amp;"'")&amp;"),"</f>
        <v>(nextval('obj_part_id_seq'), (select id from obj_building_v where zip||'|'||street||'|'||name||'|'||volume = '9220|Hoffnungsgut/(Thurblick)|Kindergartenpavillon, Gartenhaus|772.00'), 'P49', 0, null, 2013,null),</v>
      </c>
    </row>
    <row r="838" spans="1:8" x14ac:dyDescent="0.25">
      <c r="A838" s="9" t="s">
        <v>1642</v>
      </c>
      <c r="B838" s="9" t="s">
        <v>1097</v>
      </c>
      <c r="C838">
        <v>0</v>
      </c>
      <c r="D838" t="s">
        <v>4080</v>
      </c>
      <c r="E838">
        <v>2013</v>
      </c>
      <c r="F838" s="9"/>
      <c r="H838" s="20" t="str">
        <f t="shared" si="13"/>
        <v>(nextval('obj_part_id_seq'), (select id from obj_building_v where zip||'|'||street||'|'||name||'|'||volume = '9220|Hoffnungsgut/(Thurblick)|Kindergartenpavillon, Gartenhaus|772.00'), 'P2', 0, null, 2013,null),</v>
      </c>
    </row>
    <row r="839" spans="1:8" x14ac:dyDescent="0.25">
      <c r="A839" s="9" t="s">
        <v>1642</v>
      </c>
      <c r="B839" s="9" t="s">
        <v>1099</v>
      </c>
      <c r="C839">
        <v>20</v>
      </c>
      <c r="D839">
        <v>90</v>
      </c>
      <c r="E839">
        <v>2013</v>
      </c>
      <c r="F839" s="9" t="s">
        <v>1644</v>
      </c>
      <c r="H839" s="20" t="str">
        <f t="shared" si="13"/>
        <v>(nextval('obj_part_id_seq'), (select id from obj_building_v where zip||'|'||street||'|'||name||'|'||volume = '9220|Hoffnungsgut/(Thurblick)|Kindergartenpavillon, Gartenhaus|772.00'), 'P3', 20, 90, 2013,'Extensiv begrüntes Flachdach'),</v>
      </c>
    </row>
    <row r="840" spans="1:8" x14ac:dyDescent="0.25">
      <c r="A840" s="9" t="s">
        <v>1642</v>
      </c>
      <c r="B840" s="9" t="s">
        <v>1100</v>
      </c>
      <c r="C840">
        <v>8</v>
      </c>
      <c r="D840">
        <v>90</v>
      </c>
      <c r="E840">
        <v>2013</v>
      </c>
      <c r="F840" s="9" t="s">
        <v>1645</v>
      </c>
      <c r="H840" s="20" t="str">
        <f t="shared" si="13"/>
        <v>(nextval('obj_part_id_seq'), (select id from obj_building_v where zip||'|'||street||'|'||name||'|'||volume = '9220|Hoffnungsgut/(Thurblick)|Kindergartenpavillon, Gartenhaus|772.00'), 'P4', 8, 90, 2013,'Holz, vermutlich Lärche'),</v>
      </c>
    </row>
    <row r="841" spans="1:8" x14ac:dyDescent="0.25">
      <c r="A841" s="9" t="s">
        <v>1642</v>
      </c>
      <c r="B841" s="9" t="s">
        <v>1102</v>
      </c>
      <c r="C841">
        <v>14</v>
      </c>
      <c r="D841">
        <v>90</v>
      </c>
      <c r="E841">
        <v>2013</v>
      </c>
      <c r="F841" s="9" t="s">
        <v>1646</v>
      </c>
      <c r="H841" s="20" t="str">
        <f t="shared" si="13"/>
        <v>(nextval('obj_part_id_seq'), (select id from obj_building_v where zip||'|'||street||'|'||name||'|'||volume = '9220|Hoffnungsgut/(Thurblick)|Kindergartenpavillon, Gartenhaus|772.00'), 'P5', 14, 90, 2013,'Holzfenster IV 2002, Rafflamellenstoren'),</v>
      </c>
    </row>
    <row r="842" spans="1:8" x14ac:dyDescent="0.25">
      <c r="A842" s="9" t="s">
        <v>1642</v>
      </c>
      <c r="B842" s="9" t="s">
        <v>1110</v>
      </c>
      <c r="C842">
        <v>4</v>
      </c>
      <c r="D842">
        <v>90</v>
      </c>
      <c r="E842">
        <v>2013</v>
      </c>
      <c r="F842" s="9" t="s">
        <v>1647</v>
      </c>
      <c r="H842" s="20" t="str">
        <f t="shared" si="13"/>
        <v>(nextval('obj_part_id_seq'), (select id from obj_building_v where zip||'|'||street||'|'||name||'|'||volume = '9220|Hoffnungsgut/(Thurblick)|Kindergartenpavillon, Gartenhaus|772.00'), 'P9', 4, 90, 2013,'Neue Sicherungen mit FI-Schaltern'),</v>
      </c>
    </row>
    <row r="843" spans="1:8" x14ac:dyDescent="0.25">
      <c r="A843" s="9" t="s">
        <v>1642</v>
      </c>
      <c r="B843" s="9" t="s">
        <v>1104</v>
      </c>
      <c r="C843">
        <v>0</v>
      </c>
      <c r="D843">
        <v>90</v>
      </c>
      <c r="E843">
        <v>2013</v>
      </c>
      <c r="F843" s="9" t="s">
        <v>1648</v>
      </c>
      <c r="H843" s="20" t="str">
        <f t="shared" si="13"/>
        <v>(nextval('obj_part_id_seq'), (select id from obj_building_v where zip||'|'||street||'|'||name||'|'||volume = '9220|Hoffnungsgut/(Thurblick)|Kindergartenpavillon, Gartenhaus|772.00'), 'P6', 0, 90, 2013,'WW: E-Boiler, Heizung vom Nachbargebäude'),</v>
      </c>
    </row>
    <row r="844" spans="1:8" x14ac:dyDescent="0.25">
      <c r="A844" s="9" t="s">
        <v>1642</v>
      </c>
      <c r="B844" s="9" t="s">
        <v>1106</v>
      </c>
      <c r="C844">
        <v>3</v>
      </c>
      <c r="D844">
        <v>90</v>
      </c>
      <c r="E844">
        <v>2013</v>
      </c>
      <c r="F844" s="9" t="s">
        <v>1107</v>
      </c>
      <c r="H844" s="20" t="str">
        <f t="shared" si="13"/>
        <v>(nextval('obj_part_id_seq'), (select id from obj_building_v where zip||'|'||street||'|'||name||'|'||volume = '9220|Hoffnungsgut/(Thurblick)|Kindergartenpavillon, Gartenhaus|772.00'), 'P7', 3, 90, 2013,'Radiatoren mit Thermostaten'),</v>
      </c>
    </row>
    <row r="845" spans="1:8" x14ac:dyDescent="0.25">
      <c r="A845" s="9" t="s">
        <v>1642</v>
      </c>
      <c r="B845" s="9" t="s">
        <v>1135</v>
      </c>
      <c r="C845">
        <v>1</v>
      </c>
      <c r="D845">
        <v>90</v>
      </c>
      <c r="E845">
        <v>2013</v>
      </c>
      <c r="F845" s="9" t="s">
        <v>1649</v>
      </c>
      <c r="H845" s="20" t="str">
        <f t="shared" si="13"/>
        <v>(nextval('obj_part_id_seq'), (select id from obj_building_v where zip||'|'||street||'|'||name||'|'||volume = '9220|Hoffnungsgut/(Thurblick)|Kindergartenpavillon, Gartenhaus|772.00'), 'P54', 1, 90, 2013,'Moderne Apparate, keine Mängel bekannt'),</v>
      </c>
    </row>
    <row r="846" spans="1:8" x14ac:dyDescent="0.25">
      <c r="A846" s="9" t="s">
        <v>1642</v>
      </c>
      <c r="B846" s="9" t="s">
        <v>1137</v>
      </c>
      <c r="C846">
        <v>3</v>
      </c>
      <c r="D846">
        <v>90</v>
      </c>
      <c r="E846">
        <v>2013</v>
      </c>
      <c r="F846" s="9" t="s">
        <v>1650</v>
      </c>
      <c r="H846" s="20" t="str">
        <f t="shared" si="13"/>
        <v>(nextval('obj_part_id_seq'), (select id from obj_building_v where zip||'|'||street||'|'||name||'|'||volume = '9220|Hoffnungsgut/(Thurblick)|Kindergartenpavillon, Gartenhaus|772.00'), 'P55', 3, 90, 2013,'Durchfluss gewährleistet'),</v>
      </c>
    </row>
    <row r="847" spans="1:8" x14ac:dyDescent="0.25">
      <c r="A847" s="9" t="s">
        <v>1642</v>
      </c>
      <c r="B847" s="9" t="s">
        <v>1138</v>
      </c>
      <c r="C847">
        <v>17</v>
      </c>
      <c r="D847">
        <v>90</v>
      </c>
      <c r="E847">
        <v>2013</v>
      </c>
      <c r="F847" s="9" t="s">
        <v>1651</v>
      </c>
      <c r="H847" s="20" t="str">
        <f t="shared" si="13"/>
        <v>(nextval('obj_part_id_seq'), (select id from obj_building_v where zip||'|'||street||'|'||name||'|'||volume = '9220|Hoffnungsgut/(Thurblick)|Kindergartenpavillon, Gartenhaus|772.00'), 'P57', 17, 90, 2013,'Glasstüre, Metall Schiebetüre, Küche'),</v>
      </c>
    </row>
    <row r="848" spans="1:8" x14ac:dyDescent="0.25">
      <c r="A848" s="9" t="s">
        <v>1642</v>
      </c>
      <c r="B848" s="9" t="s">
        <v>1140</v>
      </c>
      <c r="C848">
        <v>3</v>
      </c>
      <c r="D848">
        <v>90</v>
      </c>
      <c r="E848">
        <v>2013</v>
      </c>
      <c r="F848" s="9" t="s">
        <v>1652</v>
      </c>
      <c r="H848" s="20" t="str">
        <f t="shared" si="13"/>
        <v>(nextval('obj_part_id_seq'), (select id from obj_building_v where zip||'|'||street||'|'||name||'|'||volume = '9220|Hoffnungsgut/(Thurblick)|Kindergartenpavillon, Gartenhaus|772.00'), 'P58', 3, 90, 2013,'B: Linol W: Glasfasertapete D: Holztäfer'),</v>
      </c>
    </row>
    <row r="849" spans="1:8" x14ac:dyDescent="0.25">
      <c r="A849" s="9" t="s">
        <v>1642</v>
      </c>
      <c r="B849" s="9" t="s">
        <v>1142</v>
      </c>
      <c r="C849">
        <v>0</v>
      </c>
      <c r="D849" t="s">
        <v>4080</v>
      </c>
      <c r="E849">
        <v>2013</v>
      </c>
      <c r="F849" s="9"/>
      <c r="H849" s="20" t="str">
        <f t="shared" si="13"/>
        <v>(nextval('obj_part_id_seq'), (select id from obj_building_v where zip||'|'||street||'|'||name||'|'||volume = '9220|Hoffnungsgut/(Thurblick)|Kindergartenpavillon, Gartenhaus|772.00'), 'P60', 0, null, 2013,null),</v>
      </c>
    </row>
    <row r="850" spans="1:8" x14ac:dyDescent="0.25">
      <c r="A850" s="9" t="s">
        <v>1642</v>
      </c>
      <c r="B850" s="9" t="s">
        <v>1143</v>
      </c>
      <c r="C850">
        <v>0</v>
      </c>
      <c r="D850" t="s">
        <v>4080</v>
      </c>
      <c r="E850">
        <v>2013</v>
      </c>
      <c r="F850" s="9"/>
      <c r="H850" s="20" t="str">
        <f t="shared" si="13"/>
        <v>(nextval('obj_part_id_seq'), (select id from obj_building_v where zip||'|'||street||'|'||name||'|'||volume = '9220|Hoffnungsgut/(Thurblick)|Kindergartenpavillon, Gartenhaus|772.00'), 'P61', 0, null, 2013,null),</v>
      </c>
    </row>
    <row r="851" spans="1:8" x14ac:dyDescent="0.25">
      <c r="A851" s="9" t="s">
        <v>1642</v>
      </c>
      <c r="B851" s="9" t="s">
        <v>1144</v>
      </c>
      <c r="C851">
        <v>0</v>
      </c>
      <c r="D851" t="s">
        <v>4080</v>
      </c>
      <c r="E851">
        <v>2013</v>
      </c>
      <c r="F851" s="9"/>
      <c r="H851" s="20" t="str">
        <f t="shared" si="13"/>
        <v>(nextval('obj_part_id_seq'), (select id from obj_building_v where zip||'|'||street||'|'||name||'|'||volume = '9220|Hoffnungsgut/(Thurblick)|Kindergartenpavillon, Gartenhaus|772.00'), 'P62', 0, null, 2013,null),</v>
      </c>
    </row>
    <row r="852" spans="1:8" x14ac:dyDescent="0.25">
      <c r="A852" s="9" t="s">
        <v>1653</v>
      </c>
      <c r="B852" s="9" t="s">
        <v>1127</v>
      </c>
      <c r="C852">
        <v>41</v>
      </c>
      <c r="D852">
        <v>90</v>
      </c>
      <c r="E852">
        <v>2013</v>
      </c>
      <c r="F852" s="9" t="s">
        <v>1654</v>
      </c>
      <c r="H852" s="20" t="str">
        <f t="shared" si="13"/>
        <v>(nextval('obj_part_id_seq'), (select id from obj_building_v where zip||'|'||street||'|'||name||'|'||volume = '9220|Obertor 4|Schulhaus, Velounterstand|7446.00'), 'P48', 41, 90, 2013,'Stahlstützen, Mauerwerk, Natursteinsockel, Veloständer: Stahlstützen und -träger'),</v>
      </c>
    </row>
    <row r="853" spans="1:8" x14ac:dyDescent="0.25">
      <c r="A853" s="9" t="s">
        <v>1653</v>
      </c>
      <c r="B853" s="9" t="s">
        <v>1129</v>
      </c>
      <c r="C853">
        <v>0</v>
      </c>
      <c r="D853" t="s">
        <v>4080</v>
      </c>
      <c r="E853">
        <v>2013</v>
      </c>
      <c r="F853" s="9"/>
      <c r="H853" s="20" t="str">
        <f t="shared" si="13"/>
        <v>(nextval('obj_part_id_seq'), (select id from obj_building_v where zip||'|'||street||'|'||name||'|'||volume = '9220|Obertor 4|Schulhaus, Velounterstand|7446.00'), 'P49', 0, null, 2013,null),</v>
      </c>
    </row>
    <row r="854" spans="1:8" x14ac:dyDescent="0.25">
      <c r="A854" s="9" t="s">
        <v>1653</v>
      </c>
      <c r="B854" s="9" t="s">
        <v>1097</v>
      </c>
      <c r="C854">
        <v>8</v>
      </c>
      <c r="D854">
        <v>90</v>
      </c>
      <c r="E854">
        <v>2013</v>
      </c>
      <c r="F854" s="9" t="s">
        <v>1655</v>
      </c>
      <c r="H854" s="20" t="str">
        <f t="shared" si="13"/>
        <v>(nextval('obj_part_id_seq'), (select id from obj_building_v where zip||'|'||street||'|'||name||'|'||volume = '9220|Obertor 4|Schulhaus, Velounterstand|7446.00'), 'P2', 8, 90, 2013,'Dach ist nur im Bereich des Treppenhauses isoliert, Dacheindeckung: Biberschwanzziegel'),</v>
      </c>
    </row>
    <row r="855" spans="1:8" x14ac:dyDescent="0.25">
      <c r="A855" s="9" t="s">
        <v>1653</v>
      </c>
      <c r="B855" s="9" t="s">
        <v>1099</v>
      </c>
      <c r="C855">
        <v>0</v>
      </c>
      <c r="D855" t="s">
        <v>4080</v>
      </c>
      <c r="E855">
        <v>2013</v>
      </c>
      <c r="F855" s="9"/>
      <c r="H855" s="20" t="str">
        <f t="shared" si="13"/>
        <v>(nextval('obj_part_id_seq'), (select id from obj_building_v where zip||'|'||street||'|'||name||'|'||volume = '9220|Obertor 4|Schulhaus, Velounterstand|7446.00'), 'P3', 0, null, 2013,null),</v>
      </c>
    </row>
    <row r="856" spans="1:8" x14ac:dyDescent="0.25">
      <c r="A856" s="9" t="s">
        <v>1653</v>
      </c>
      <c r="B856" s="9" t="s">
        <v>1100</v>
      </c>
      <c r="C856">
        <v>7</v>
      </c>
      <c r="D856">
        <v>90</v>
      </c>
      <c r="E856">
        <v>2013</v>
      </c>
      <c r="F856" s="9" t="s">
        <v>1656</v>
      </c>
      <c r="H856" s="20" t="str">
        <f t="shared" si="13"/>
        <v>(nextval('obj_part_id_seq'), (select id from obj_building_v where zip||'|'||street||'|'||name||'|'||volume = '9220|Obertor 4|Schulhaus, Velounterstand|7446.00'), 'P4', 7, 90, 2013,'Mauerwerk, verputzt, Kunststeingewände'),</v>
      </c>
    </row>
    <row r="857" spans="1:8" x14ac:dyDescent="0.25">
      <c r="A857" s="9" t="s">
        <v>1653</v>
      </c>
      <c r="B857" s="9" t="s">
        <v>1102</v>
      </c>
      <c r="C857">
        <v>10</v>
      </c>
      <c r="D857">
        <v>90</v>
      </c>
      <c r="E857">
        <v>2013</v>
      </c>
      <c r="F857" s="9" t="s">
        <v>1657</v>
      </c>
      <c r="H857" s="20" t="str">
        <f t="shared" si="13"/>
        <v>(nextval('obj_part_id_seq'), (select id from obj_building_v where zip||'|'||street||'|'||name||'|'||volume = '9220|Obertor 4|Schulhaus, Velounterstand|7446.00'), 'P5', 10, 90, 2013,'Holzmetall ''88 mit Rafflamellenstoren'),</v>
      </c>
    </row>
    <row r="858" spans="1:8" x14ac:dyDescent="0.25">
      <c r="A858" s="9" t="s">
        <v>1653</v>
      </c>
      <c r="B858" s="9" t="s">
        <v>1164</v>
      </c>
      <c r="C858">
        <v>6</v>
      </c>
      <c r="D858">
        <v>90</v>
      </c>
      <c r="E858">
        <v>2013</v>
      </c>
      <c r="F858" s="9" t="s">
        <v>1658</v>
      </c>
      <c r="H858" s="20" t="str">
        <f t="shared" si="13"/>
        <v>(nextval('obj_part_id_seq'), (select id from obj_building_v where zip||'|'||street||'|'||name||'|'||volume = '9220|Obertor 4|Schulhaus, Velounterstand|7446.00'), 'P50', 6, 90, 2013,'Haupt- und Unterverteilungen mit neueren Sicherungen, Beleuchtung älter, aber ausreichend'),</v>
      </c>
    </row>
    <row r="859" spans="1:8" x14ac:dyDescent="0.25">
      <c r="A859" s="9" t="s">
        <v>1653</v>
      </c>
      <c r="B859" s="9" t="s">
        <v>1166</v>
      </c>
      <c r="C859">
        <v>1</v>
      </c>
      <c r="D859">
        <v>90</v>
      </c>
      <c r="E859">
        <v>2013</v>
      </c>
      <c r="F859" s="9" t="s">
        <v>1605</v>
      </c>
      <c r="H859" s="20" t="str">
        <f t="shared" si="13"/>
        <v>(nextval('obj_part_id_seq'), (select id from obj_building_v where zip||'|'||street||'|'||name||'|'||volume = '9220|Obertor 4|Schulhaus, Velounterstand|7446.00'), 'P51', 1, 90, 2013,'Pausenglocke, Telefon, EDV'),</v>
      </c>
    </row>
    <row r="860" spans="1:8" x14ac:dyDescent="0.25">
      <c r="A860" s="9" t="s">
        <v>1653</v>
      </c>
      <c r="B860" s="9" t="s">
        <v>1104</v>
      </c>
      <c r="C860">
        <v>1</v>
      </c>
      <c r="D860">
        <v>90</v>
      </c>
      <c r="E860">
        <v>2013</v>
      </c>
      <c r="F860" s="9" t="s">
        <v>1659</v>
      </c>
      <c r="H860" s="20" t="str">
        <f t="shared" si="13"/>
        <v>(nextval('obj_part_id_seq'), (select id from obj_building_v where zip||'|'||street||'|'||name||'|'||volume = '9220|Obertor 4|Schulhaus, Velounterstand|7446.00'), 'P6', 1, 90, 2013,'Gasheizung ''88'),</v>
      </c>
    </row>
    <row r="861" spans="1:8" x14ac:dyDescent="0.25">
      <c r="A861" s="9" t="s">
        <v>1653</v>
      </c>
      <c r="B861" s="9" t="s">
        <v>1106</v>
      </c>
      <c r="C861">
        <v>3</v>
      </c>
      <c r="D861">
        <v>90</v>
      </c>
      <c r="E861">
        <v>2013</v>
      </c>
      <c r="F861" s="9" t="s">
        <v>1660</v>
      </c>
      <c r="H861" s="20" t="str">
        <f t="shared" si="13"/>
        <v>(nextval('obj_part_id_seq'), (select id from obj_building_v where zip||'|'||street||'|'||name||'|'||volume = '9220|Obertor 4|Schulhaus, Velounterstand|7446.00'), 'P7', 3, 90, 2013,'Heizkörper mit Thermostat'),</v>
      </c>
    </row>
    <row r="862" spans="1:8" x14ac:dyDescent="0.25">
      <c r="A862" s="9" t="s">
        <v>1653</v>
      </c>
      <c r="B862" s="9" t="s">
        <v>1108</v>
      </c>
      <c r="C862">
        <v>4</v>
      </c>
      <c r="D862">
        <v>90</v>
      </c>
      <c r="E862">
        <v>2013</v>
      </c>
      <c r="F862" s="9" t="s">
        <v>1661</v>
      </c>
      <c r="H862" s="20" t="str">
        <f t="shared" si="13"/>
        <v>(nextval('obj_part_id_seq'), (select id from obj_building_v where zip||'|'||street||'|'||name||'|'||volume = '9220|Obertor 4|Schulhaus, Velounterstand|7446.00'), 'P8', 4, 90, 2013,'Reduzierter Druck in Leitungen, dezentraler Boiler, Apparate zeitgemäss'),</v>
      </c>
    </row>
    <row r="863" spans="1:8" x14ac:dyDescent="0.25">
      <c r="A863" s="9" t="s">
        <v>1653</v>
      </c>
      <c r="B863" s="9" t="s">
        <v>1138</v>
      </c>
      <c r="C863">
        <v>11</v>
      </c>
      <c r="D863">
        <v>90</v>
      </c>
      <c r="E863">
        <v>2013</v>
      </c>
      <c r="F863" s="9" t="s">
        <v>1662</v>
      </c>
      <c r="H863" s="20" t="str">
        <f t="shared" si="13"/>
        <v>(nextval('obj_part_id_seq'), (select id from obj_building_v where zip||'|'||street||'|'||name||'|'||volume = '9220|Obertor 4|Schulhaus, Velounterstand|7446.00'), 'P57', 11, 90, 2013,'Wandschränke und Garderoben, Treppengeländer: h= 95 cm'),</v>
      </c>
    </row>
    <row r="864" spans="1:8" x14ac:dyDescent="0.25">
      <c r="A864" s="9" t="s">
        <v>1653</v>
      </c>
      <c r="B864" s="9" t="s">
        <v>1140</v>
      </c>
      <c r="C864">
        <v>8</v>
      </c>
      <c r="D864">
        <v>90</v>
      </c>
      <c r="E864">
        <v>2013</v>
      </c>
      <c r="F864" s="9" t="s">
        <v>1663</v>
      </c>
      <c r="H864" s="20" t="str">
        <f t="shared" si="13"/>
        <v>(nextval('obj_part_id_seq'), (select id from obj_building_v where zip||'|'||street||'|'||name||'|'||volume = '9220|Obertor 4|Schulhaus, Velounterstand|7446.00'), 'P58', 8, 90, 2013,'B: Linol, Teppich, Keramikplatten und Parkett, Treppen aus Naturstein W: Glasfasertapeten D: Spritzputz (asbesthaltig?), Heraklitplatten und heruntergehängte Decken aus Gips'),</v>
      </c>
    </row>
    <row r="865" spans="1:8" x14ac:dyDescent="0.25">
      <c r="A865" s="9" t="s">
        <v>1653</v>
      </c>
      <c r="B865" s="9" t="s">
        <v>1142</v>
      </c>
      <c r="C865">
        <v>0</v>
      </c>
      <c r="D865" t="s">
        <v>4080</v>
      </c>
      <c r="E865">
        <v>2013</v>
      </c>
      <c r="F865" s="9"/>
      <c r="H865" s="20" t="str">
        <f t="shared" si="13"/>
        <v>(nextval('obj_part_id_seq'), (select id from obj_building_v where zip||'|'||street||'|'||name||'|'||volume = '9220|Obertor 4|Schulhaus, Velounterstand|7446.00'), 'P60', 0, null, 2013,null),</v>
      </c>
    </row>
    <row r="866" spans="1:8" x14ac:dyDescent="0.25">
      <c r="A866" s="9" t="s">
        <v>1653</v>
      </c>
      <c r="B866" s="9" t="s">
        <v>1143</v>
      </c>
      <c r="C866">
        <v>0</v>
      </c>
      <c r="D866" t="s">
        <v>4080</v>
      </c>
      <c r="E866">
        <v>2013</v>
      </c>
      <c r="F866" s="9"/>
      <c r="H866" s="20" t="str">
        <f t="shared" si="13"/>
        <v>(nextval('obj_part_id_seq'), (select id from obj_building_v where zip||'|'||street||'|'||name||'|'||volume = '9220|Obertor 4|Schulhaus, Velounterstand|7446.00'), 'P61', 0, null, 2013,null),</v>
      </c>
    </row>
    <row r="867" spans="1:8" x14ac:dyDescent="0.25">
      <c r="A867" s="9" t="s">
        <v>1653</v>
      </c>
      <c r="B867" s="9" t="s">
        <v>1144</v>
      </c>
      <c r="C867">
        <v>0</v>
      </c>
      <c r="D867" t="s">
        <v>4080</v>
      </c>
      <c r="E867">
        <v>2013</v>
      </c>
      <c r="F867" s="9"/>
      <c r="H867" s="20" t="str">
        <f t="shared" si="13"/>
        <v>(nextval('obj_part_id_seq'), (select id from obj_building_v where zip||'|'||street||'|'||name||'|'||volume = '9220|Obertor 4|Schulhaus, Velounterstand|7446.00'), 'P62', 0, null, 2013,null),</v>
      </c>
    </row>
    <row r="868" spans="1:8" x14ac:dyDescent="0.25">
      <c r="A868" s="9" t="s">
        <v>1664</v>
      </c>
      <c r="B868" s="9" t="s">
        <v>1127</v>
      </c>
      <c r="C868">
        <v>29</v>
      </c>
      <c r="D868">
        <v>90</v>
      </c>
      <c r="E868">
        <v>2013</v>
      </c>
      <c r="F868" s="9" t="s">
        <v>1665</v>
      </c>
      <c r="H868" s="20" t="str">
        <f t="shared" si="13"/>
        <v>(nextval('obj_part_id_seq'), (select id from obj_building_v where zip||'|'||street||'|'||name||'|'||volume = '9220|Turnerweg 4|Kindergarten Bitzi, Gerätehaus|2229.00'), 'P48', 29, 90, 2013,'Mauerwerk mit Holzbalkendecke über EG und Betondecke über UG'),</v>
      </c>
    </row>
    <row r="869" spans="1:8" x14ac:dyDescent="0.25">
      <c r="A869" s="9" t="s">
        <v>1664</v>
      </c>
      <c r="B869" s="9" t="s">
        <v>1129</v>
      </c>
      <c r="C869">
        <v>0</v>
      </c>
      <c r="D869" t="s">
        <v>4080</v>
      </c>
      <c r="E869">
        <v>2013</v>
      </c>
      <c r="F869" s="9"/>
      <c r="H869" s="20" t="str">
        <f t="shared" si="13"/>
        <v>(nextval('obj_part_id_seq'), (select id from obj_building_v where zip||'|'||street||'|'||name||'|'||volume = '9220|Turnerweg 4|Kindergarten Bitzi, Gerätehaus|2229.00'), 'P49', 0, null, 2013,null),</v>
      </c>
    </row>
    <row r="870" spans="1:8" x14ac:dyDescent="0.25">
      <c r="A870" s="9" t="s">
        <v>1664</v>
      </c>
      <c r="B870" s="9" t="s">
        <v>1097</v>
      </c>
      <c r="C870">
        <v>20</v>
      </c>
      <c r="D870">
        <v>90</v>
      </c>
      <c r="E870">
        <v>2013</v>
      </c>
      <c r="F870" s="9" t="s">
        <v>1666</v>
      </c>
      <c r="H870" s="20" t="str">
        <f t="shared" si="13"/>
        <v>(nextval('obj_part_id_seq'), (select id from obj_building_v where zip||'|'||street||'|'||name||'|'||volume = '9220|Turnerweg 4|Kindergarten Bitzi, Gerätehaus|2229.00'), 'P2', 20, 90, 2013,'Dachstuhl aus Holz, Dacheindeckung aus Biberschwanzziegeln, Ochsenauge'),</v>
      </c>
    </row>
    <row r="871" spans="1:8" x14ac:dyDescent="0.25">
      <c r="A871" s="9" t="s">
        <v>1664</v>
      </c>
      <c r="B871" s="9" t="s">
        <v>1099</v>
      </c>
      <c r="C871">
        <v>0</v>
      </c>
      <c r="D871" t="s">
        <v>4080</v>
      </c>
      <c r="E871">
        <v>2013</v>
      </c>
      <c r="F871" s="9"/>
      <c r="H871" s="20" t="str">
        <f t="shared" si="13"/>
        <v>(nextval('obj_part_id_seq'), (select id from obj_building_v where zip||'|'||street||'|'||name||'|'||volume = '9220|Turnerweg 4|Kindergarten Bitzi, Gerätehaus|2229.00'), 'P3', 0, null, 2013,null),</v>
      </c>
    </row>
    <row r="872" spans="1:8" x14ac:dyDescent="0.25">
      <c r="A872" s="9" t="s">
        <v>1664</v>
      </c>
      <c r="B872" s="9" t="s">
        <v>1100</v>
      </c>
      <c r="C872">
        <v>12</v>
      </c>
      <c r="D872">
        <v>90</v>
      </c>
      <c r="E872">
        <v>2013</v>
      </c>
      <c r="F872" s="9" t="s">
        <v>1656</v>
      </c>
      <c r="H872" s="20" t="str">
        <f t="shared" si="13"/>
        <v>(nextval('obj_part_id_seq'), (select id from obj_building_v where zip||'|'||street||'|'||name||'|'||volume = '9220|Turnerweg 4|Kindergarten Bitzi, Gerätehaus|2229.00'), 'P4', 12, 90, 2013,'Mauerwerk, verputzt, Kunststeingewände'),</v>
      </c>
    </row>
    <row r="873" spans="1:8" x14ac:dyDescent="0.25">
      <c r="A873" s="9" t="s">
        <v>1664</v>
      </c>
      <c r="B873" s="9" t="s">
        <v>1102</v>
      </c>
      <c r="C873">
        <v>8</v>
      </c>
      <c r="D873">
        <v>90</v>
      </c>
      <c r="E873">
        <v>2013</v>
      </c>
      <c r="F873" s="9" t="s">
        <v>1667</v>
      </c>
      <c r="H873" s="20" t="str">
        <f t="shared" si="13"/>
        <v>(nextval('obj_part_id_seq'), (select id from obj_building_v where zip||'|'||street||'|'||name||'|'||volume = '9220|Turnerweg 4|Kindergarten Bitzi, Gerätehaus|2229.00'), 'P5', 8, 90, 2013,'Holz IV ''91, tw. alte Holzfenster DV mit echten Sprossen, Sonnenstoren aus Stoff'),</v>
      </c>
    </row>
    <row r="874" spans="1:8" x14ac:dyDescent="0.25">
      <c r="A874" s="9" t="s">
        <v>1664</v>
      </c>
      <c r="B874" s="9" t="s">
        <v>1110</v>
      </c>
      <c r="C874">
        <v>4</v>
      </c>
      <c r="D874">
        <v>90</v>
      </c>
      <c r="E874">
        <v>2013</v>
      </c>
      <c r="F874" s="9" t="s">
        <v>1295</v>
      </c>
      <c r="H874" s="20" t="str">
        <f t="shared" si="13"/>
        <v>(nextval('obj_part_id_seq'), (select id from obj_building_v where zip||'|'||street||'|'||name||'|'||volume = '9220|Turnerweg 4|Kindergarten Bitzi, Gerätehaus|2229.00'), 'P9', 4, 90, 2013,'Beleuchtung'),</v>
      </c>
    </row>
    <row r="875" spans="1:8" x14ac:dyDescent="0.25">
      <c r="A875" s="9" t="s">
        <v>1664</v>
      </c>
      <c r="B875" s="9" t="s">
        <v>1104</v>
      </c>
      <c r="C875">
        <v>0</v>
      </c>
      <c r="D875" t="s">
        <v>4080</v>
      </c>
      <c r="E875">
        <v>2013</v>
      </c>
      <c r="F875" s="9" t="s">
        <v>1668</v>
      </c>
      <c r="H875" s="20" t="str">
        <f t="shared" si="13"/>
        <v>(nextval('obj_part_id_seq'), (select id from obj_building_v where zip||'|'||street||'|'||name||'|'||volume = '9220|Turnerweg 4|Kindergarten Bitzi, Gerätehaus|2229.00'), 'P6', 0, null, 2013,'Fernheizung'),</v>
      </c>
    </row>
    <row r="876" spans="1:8" x14ac:dyDescent="0.25">
      <c r="A876" s="9" t="s">
        <v>1664</v>
      </c>
      <c r="B876" s="9" t="s">
        <v>1106</v>
      </c>
      <c r="C876">
        <v>3</v>
      </c>
      <c r="D876">
        <v>90</v>
      </c>
      <c r="E876">
        <v>2013</v>
      </c>
      <c r="F876" s="9" t="s">
        <v>1669</v>
      </c>
      <c r="H876" s="20" t="str">
        <f t="shared" si="13"/>
        <v>(nextval('obj_part_id_seq'), (select id from obj_building_v where zip||'|'||street||'|'||name||'|'||volume = '9220|Turnerweg 4|Kindergarten Bitzi, Gerätehaus|2229.00'), 'P7', 3, 90, 2013,'Radiatoren mit Thermostat'),</v>
      </c>
    </row>
    <row r="877" spans="1:8" x14ac:dyDescent="0.25">
      <c r="A877" s="9" t="s">
        <v>1664</v>
      </c>
      <c r="B877" s="9" t="s">
        <v>1135</v>
      </c>
      <c r="C877">
        <v>1</v>
      </c>
      <c r="D877">
        <v>90</v>
      </c>
      <c r="E877">
        <v>2013</v>
      </c>
      <c r="F877" s="9" t="s">
        <v>1670</v>
      </c>
      <c r="H877" s="20" t="str">
        <f t="shared" si="13"/>
        <v>(nextval('obj_part_id_seq'), (select id from obj_building_v where zip||'|'||street||'|'||name||'|'||volume = '9220|Turnerweg 4|Kindergarten Bitzi, Gerätehaus|2229.00'), 'P54', 1, 90, 2013,'Zeitgemässe Armaturen und Apparate'),</v>
      </c>
    </row>
    <row r="878" spans="1:8" x14ac:dyDescent="0.25">
      <c r="A878" s="9" t="s">
        <v>1664</v>
      </c>
      <c r="B878" s="9" t="s">
        <v>1137</v>
      </c>
      <c r="C878">
        <v>3</v>
      </c>
      <c r="D878">
        <v>90</v>
      </c>
      <c r="E878">
        <v>2013</v>
      </c>
      <c r="F878" s="9" t="s">
        <v>1218</v>
      </c>
      <c r="H878" s="20" t="str">
        <f t="shared" si="13"/>
        <v>(nextval('obj_part_id_seq'), (select id from obj_building_v where zip||'|'||street||'|'||name||'|'||volume = '9220|Turnerweg 4|Kindergarten Bitzi, Gerätehaus|2229.00'), 'P55', 3, 90, 2013,'Keine Mängel bekannt'),</v>
      </c>
    </row>
    <row r="879" spans="1:8" x14ac:dyDescent="0.25">
      <c r="A879" s="9" t="s">
        <v>1664</v>
      </c>
      <c r="B879" s="9" t="s">
        <v>1138</v>
      </c>
      <c r="C879">
        <v>17</v>
      </c>
      <c r="D879">
        <v>90</v>
      </c>
      <c r="E879">
        <v>2013</v>
      </c>
      <c r="F879" s="9" t="s">
        <v>1671</v>
      </c>
      <c r="H879" s="20" t="str">
        <f t="shared" si="13"/>
        <v>(nextval('obj_part_id_seq'), (select id from obj_building_v where zip||'|'||street||'|'||name||'|'||volume = '9220|Turnerweg 4|Kindergarten Bitzi, Gerätehaus|2229.00'), 'P57', 17, 90, 2013,'innere Verglasungen, Küche'),</v>
      </c>
    </row>
    <row r="880" spans="1:8" x14ac:dyDescent="0.25">
      <c r="A880" s="9" t="s">
        <v>1664</v>
      </c>
      <c r="B880" s="9" t="s">
        <v>1140</v>
      </c>
      <c r="C880">
        <v>3</v>
      </c>
      <c r="D880">
        <v>90</v>
      </c>
      <c r="E880">
        <v>2013</v>
      </c>
      <c r="F880" s="9" t="s">
        <v>1672</v>
      </c>
      <c r="H880" s="20" t="str">
        <f t="shared" si="13"/>
        <v>(nextval('obj_part_id_seq'), (select id from obj_building_v where zip||'|'||street||'|'||name||'|'||volume = '9220|Turnerweg 4|Kindergarten Bitzi, Gerätehaus|2229.00'), 'P58', 3, 90, 2013,'B: Linol, Keramikplatten, Treppen aus Naturstein W: Glasfasertapeten D: heruntergehängte Decke aus Gibs'),</v>
      </c>
    </row>
    <row r="881" spans="1:8" x14ac:dyDescent="0.25">
      <c r="A881" s="9" t="s">
        <v>1664</v>
      </c>
      <c r="B881" s="9" t="s">
        <v>1142</v>
      </c>
      <c r="C881">
        <v>0</v>
      </c>
      <c r="D881" t="s">
        <v>4080</v>
      </c>
      <c r="E881">
        <v>2013</v>
      </c>
      <c r="F881" s="9"/>
      <c r="H881" s="20" t="str">
        <f t="shared" si="13"/>
        <v>(nextval('obj_part_id_seq'), (select id from obj_building_v where zip||'|'||street||'|'||name||'|'||volume = '9220|Turnerweg 4|Kindergarten Bitzi, Gerätehaus|2229.00'), 'P60', 0, null, 2013,null),</v>
      </c>
    </row>
    <row r="882" spans="1:8" x14ac:dyDescent="0.25">
      <c r="A882" s="9" t="s">
        <v>1664</v>
      </c>
      <c r="B882" s="9" t="s">
        <v>1143</v>
      </c>
      <c r="C882">
        <v>0</v>
      </c>
      <c r="D882" t="s">
        <v>4080</v>
      </c>
      <c r="E882">
        <v>2013</v>
      </c>
      <c r="F882" s="9"/>
      <c r="H882" s="20" t="str">
        <f t="shared" si="13"/>
        <v>(nextval('obj_part_id_seq'), (select id from obj_building_v where zip||'|'||street||'|'||name||'|'||volume = '9220|Turnerweg 4|Kindergarten Bitzi, Gerätehaus|2229.00'), 'P61', 0, null, 2013,null),</v>
      </c>
    </row>
    <row r="883" spans="1:8" x14ac:dyDescent="0.25">
      <c r="A883" s="9" t="s">
        <v>1664</v>
      </c>
      <c r="B883" s="9" t="s">
        <v>1144</v>
      </c>
      <c r="C883">
        <v>0</v>
      </c>
      <c r="D883" t="s">
        <v>4080</v>
      </c>
      <c r="E883">
        <v>2013</v>
      </c>
      <c r="F883" s="9"/>
      <c r="H883" s="20" t="str">
        <f t="shared" si="13"/>
        <v>(nextval('obj_part_id_seq'), (select id from obj_building_v where zip||'|'||street||'|'||name||'|'||volume = '9220|Turnerweg 4|Kindergarten Bitzi, Gerätehaus|2229.00'), 'P62', 0, null, 2013,null),</v>
      </c>
    </row>
    <row r="884" spans="1:8" x14ac:dyDescent="0.25">
      <c r="A884" s="9" t="s">
        <v>1673</v>
      </c>
      <c r="B884" s="9" t="s">
        <v>1127</v>
      </c>
      <c r="C884">
        <v>41</v>
      </c>
      <c r="D884">
        <v>90</v>
      </c>
      <c r="E884">
        <v>2013</v>
      </c>
      <c r="F884" s="9" t="s">
        <v>1674</v>
      </c>
      <c r="H884" s="20" t="str">
        <f t="shared" si="13"/>
        <v>(nextval('obj_part_id_seq'), (select id from obj_building_v where zip||'|'||street||'|'||name||'|'||volume = '9220|Sandbänkli 4|Schulhaus Altbau|6488.00'), 'P48', 41, 90, 2013,'Mauerwerk und Holzbalkendecken'),</v>
      </c>
    </row>
    <row r="885" spans="1:8" x14ac:dyDescent="0.25">
      <c r="A885" s="9" t="s">
        <v>1673</v>
      </c>
      <c r="B885" s="9" t="s">
        <v>1129</v>
      </c>
      <c r="C885">
        <v>0</v>
      </c>
      <c r="D885" t="s">
        <v>4080</v>
      </c>
      <c r="E885">
        <v>2013</v>
      </c>
      <c r="F885" s="9"/>
      <c r="H885" s="20" t="str">
        <f t="shared" si="13"/>
        <v>(nextval('obj_part_id_seq'), (select id from obj_building_v where zip||'|'||street||'|'||name||'|'||volume = '9220|Sandbänkli 4|Schulhaus Altbau|6488.00'), 'P49', 0, null, 2013,null),</v>
      </c>
    </row>
    <row r="886" spans="1:8" x14ac:dyDescent="0.25">
      <c r="A886" s="9" t="s">
        <v>1673</v>
      </c>
      <c r="B886" s="9" t="s">
        <v>1097</v>
      </c>
      <c r="C886">
        <v>8</v>
      </c>
      <c r="D886">
        <v>90</v>
      </c>
      <c r="E886">
        <v>2013</v>
      </c>
      <c r="F886" s="9" t="s">
        <v>1675</v>
      </c>
      <c r="H886" s="20" t="str">
        <f t="shared" si="13"/>
        <v>(nextval('obj_part_id_seq'), (select id from obj_building_v where zip||'|'||street||'|'||name||'|'||volume = '9220|Sandbänkli 4|Schulhaus Altbau|6488.00'), 'P2', 8, 90, 2013,'2 Räume ausgebaut, ansonsten nicht isoliert, Biberschwanziegel'),</v>
      </c>
    </row>
    <row r="887" spans="1:8" x14ac:dyDescent="0.25">
      <c r="A887" s="9" t="s">
        <v>1673</v>
      </c>
      <c r="B887" s="9" t="s">
        <v>1099</v>
      </c>
      <c r="C887">
        <v>0</v>
      </c>
      <c r="D887" t="s">
        <v>4080</v>
      </c>
      <c r="E887">
        <v>2013</v>
      </c>
      <c r="F887" s="9"/>
      <c r="H887" s="20" t="str">
        <f t="shared" si="13"/>
        <v>(nextval('obj_part_id_seq'), (select id from obj_building_v where zip||'|'||street||'|'||name||'|'||volume = '9220|Sandbänkli 4|Schulhaus Altbau|6488.00'), 'P3', 0, null, 2013,null),</v>
      </c>
    </row>
    <row r="888" spans="1:8" x14ac:dyDescent="0.25">
      <c r="A888" s="9" t="s">
        <v>1673</v>
      </c>
      <c r="B888" s="9" t="s">
        <v>1100</v>
      </c>
      <c r="C888">
        <v>7</v>
      </c>
      <c r="D888">
        <v>90</v>
      </c>
      <c r="E888">
        <v>2013</v>
      </c>
      <c r="F888" s="9" t="s">
        <v>1676</v>
      </c>
      <c r="H888" s="20" t="str">
        <f t="shared" si="13"/>
        <v>(nextval('obj_part_id_seq'), (select id from obj_building_v where zip||'|'||street||'|'||name||'|'||volume = '9220|Sandbänkli 4|Schulhaus Altbau|6488.00'), 'P4', 7, 90, 2013,'Mauerwerk, verputzt mit Natursteingewänden und -sockel, Balkone mit Holzgeländer'),</v>
      </c>
    </row>
    <row r="889" spans="1:8" x14ac:dyDescent="0.25">
      <c r="A889" s="9" t="s">
        <v>1673</v>
      </c>
      <c r="B889" s="9" t="s">
        <v>1102</v>
      </c>
      <c r="C889">
        <v>10</v>
      </c>
      <c r="D889">
        <v>90</v>
      </c>
      <c r="E889">
        <v>2013</v>
      </c>
      <c r="F889" s="9" t="s">
        <v>1677</v>
      </c>
      <c r="H889" s="20" t="str">
        <f t="shared" si="13"/>
        <v>(nextval('obj_part_id_seq'), (select id from obj_building_v where zip||'|'||street||'|'||name||'|'||volume = '9220|Sandbänkli 4|Schulhaus Altbau|6488.00'), 'P5', 10, 90, 2013,'IV 3x 2012, IV 2002 Holzmetall'),</v>
      </c>
    </row>
    <row r="890" spans="1:8" x14ac:dyDescent="0.25">
      <c r="A890" s="9" t="s">
        <v>1673</v>
      </c>
      <c r="B890" s="9" t="s">
        <v>1164</v>
      </c>
      <c r="C890">
        <v>6</v>
      </c>
      <c r="D890">
        <v>90</v>
      </c>
      <c r="E890">
        <v>2013</v>
      </c>
      <c r="F890" s="9" t="s">
        <v>1678</v>
      </c>
      <c r="H890" s="20" t="str">
        <f t="shared" si="13"/>
        <v>(nextval('obj_part_id_seq'), (select id from obj_building_v where zip||'|'||street||'|'||name||'|'||volume = '9220|Sandbänkli 4|Schulhaus Altbau|6488.00'), 'P50', 6, 90, 2013,'Neue Sicherungen, Beleuchtung 2004, Bodendosen im EDV-Raum'),</v>
      </c>
    </row>
    <row r="891" spans="1:8" x14ac:dyDescent="0.25">
      <c r="A891" s="9" t="s">
        <v>1673</v>
      </c>
      <c r="B891" s="9" t="s">
        <v>1166</v>
      </c>
      <c r="C891">
        <v>1</v>
      </c>
      <c r="D891">
        <v>90</v>
      </c>
      <c r="E891">
        <v>2013</v>
      </c>
      <c r="F891" s="9" t="s">
        <v>1679</v>
      </c>
      <c r="H891" s="20" t="str">
        <f t="shared" si="13"/>
        <v>(nextval('obj_part_id_seq'), (select id from obj_building_v where zip||'|'||street||'|'||name||'|'||volume = '9220|Sandbänkli 4|Schulhaus Altbau|6488.00'), 'P51', 1, 90, 2013,'Sonnerie, BMA, EDV'),</v>
      </c>
    </row>
    <row r="892" spans="1:8" x14ac:dyDescent="0.25">
      <c r="A892" s="9" t="s">
        <v>1673</v>
      </c>
      <c r="B892" s="9" t="s">
        <v>1104</v>
      </c>
      <c r="C892">
        <v>1</v>
      </c>
      <c r="D892">
        <v>90</v>
      </c>
      <c r="E892">
        <v>2013</v>
      </c>
      <c r="F892" s="9" t="s">
        <v>1680</v>
      </c>
      <c r="H892" s="20" t="str">
        <f t="shared" si="13"/>
        <v>(nextval('obj_part_id_seq'), (select id from obj_building_v where zip||'|'||street||'|'||name||'|'||volume = '9220|Sandbänkli 4|Schulhaus Altbau|6488.00'), 'P6', 1, 90, 2013,'Gasheizung 2002, WW: El.-Boiler'),</v>
      </c>
    </row>
    <row r="893" spans="1:8" x14ac:dyDescent="0.25">
      <c r="A893" s="9" t="s">
        <v>1673</v>
      </c>
      <c r="B893" s="9" t="s">
        <v>1106</v>
      </c>
      <c r="C893">
        <v>3</v>
      </c>
      <c r="D893">
        <v>90</v>
      </c>
      <c r="E893">
        <v>2013</v>
      </c>
      <c r="F893" s="9" t="s">
        <v>1107</v>
      </c>
      <c r="H893" s="20" t="str">
        <f t="shared" si="13"/>
        <v>(nextval('obj_part_id_seq'), (select id from obj_building_v where zip||'|'||street||'|'||name||'|'||volume = '9220|Sandbänkli 4|Schulhaus Altbau|6488.00'), 'P7', 3, 90, 2013,'Radiatoren mit Thermostaten'),</v>
      </c>
    </row>
    <row r="894" spans="1:8" x14ac:dyDescent="0.25">
      <c r="A894" s="9" t="s">
        <v>1673</v>
      </c>
      <c r="B894" s="9" t="s">
        <v>1108</v>
      </c>
      <c r="C894">
        <v>4</v>
      </c>
      <c r="D894">
        <v>85</v>
      </c>
      <c r="E894">
        <v>2013</v>
      </c>
      <c r="F894" s="9" t="s">
        <v>1681</v>
      </c>
      <c r="H894" s="20" t="str">
        <f t="shared" si="13"/>
        <v>(nextval('obj_part_id_seq'), (select id from obj_building_v where zip||'|'||street||'|'||name||'|'||volume = '9220|Sandbänkli 4|Schulhaus Altbau|6488.00'), 'P8', 4, 85, 2013,'Armaturen älter, d.h. ohne Mischarmaturen, jedoch keine Mängel sichtbar, WM: AEG Öko-Lavamat, Feuerlöschposten'),</v>
      </c>
    </row>
    <row r="895" spans="1:8" x14ac:dyDescent="0.25">
      <c r="A895" s="9" t="s">
        <v>1673</v>
      </c>
      <c r="B895" s="9" t="s">
        <v>1138</v>
      </c>
      <c r="C895">
        <v>11</v>
      </c>
      <c r="D895">
        <v>90</v>
      </c>
      <c r="E895">
        <v>2013</v>
      </c>
      <c r="F895" s="9" t="s">
        <v>1682</v>
      </c>
      <c r="H895" s="20" t="str">
        <f t="shared" si="13"/>
        <v>(nextval('obj_part_id_seq'), (select id from obj_building_v where zip||'|'||street||'|'||name||'|'||volume = '9220|Sandbänkli 4|Schulhaus Altbau|6488.00'), 'P57', 11, 90, 2013,'Innere Verglasungen, Arbeitssimse mit Unterbauten und Einbauschränke, Geländer h=85cm, Küche'),</v>
      </c>
    </row>
    <row r="896" spans="1:8" x14ac:dyDescent="0.25">
      <c r="A896" s="9" t="s">
        <v>1673</v>
      </c>
      <c r="B896" s="9" t="s">
        <v>1140</v>
      </c>
      <c r="C896">
        <v>8</v>
      </c>
      <c r="D896">
        <v>90</v>
      </c>
      <c r="E896">
        <v>2013</v>
      </c>
      <c r="F896" s="9" t="s">
        <v>1683</v>
      </c>
      <c r="H896" s="20" t="str">
        <f t="shared" si="13"/>
        <v>(nextval('obj_part_id_seq'), (select id from obj_building_v where zip||'|'||street||'|'||name||'|'||volume = '9220|Sandbänkli 4|Schulhaus Altbau|6488.00'), 'P58', 8, 90, 2013,'B: Linol, Parkett, Zement und Keramikplatten W: Glasfaser- und Rauhfasertapete, Weissputz, tw. Holz, D: Gips und Heraklitplatten'),</v>
      </c>
    </row>
    <row r="897" spans="1:8" x14ac:dyDescent="0.25">
      <c r="A897" s="9" t="s">
        <v>1673</v>
      </c>
      <c r="B897" s="9" t="s">
        <v>1142</v>
      </c>
      <c r="C897">
        <v>0</v>
      </c>
      <c r="D897" t="s">
        <v>4080</v>
      </c>
      <c r="E897">
        <v>2013</v>
      </c>
      <c r="F897" s="9"/>
      <c r="H897" s="20" t="str">
        <f t="shared" si="13"/>
        <v>(nextval('obj_part_id_seq'), (select id from obj_building_v where zip||'|'||street||'|'||name||'|'||volume = '9220|Sandbänkli 4|Schulhaus Altbau|6488.00'), 'P60', 0, null, 2013,null),</v>
      </c>
    </row>
    <row r="898" spans="1:8" x14ac:dyDescent="0.25">
      <c r="A898" s="9" t="s">
        <v>1673</v>
      </c>
      <c r="B898" s="9" t="s">
        <v>1143</v>
      </c>
      <c r="C898">
        <v>0</v>
      </c>
      <c r="D898" t="s">
        <v>4080</v>
      </c>
      <c r="E898">
        <v>2013</v>
      </c>
      <c r="F898" s="9"/>
      <c r="H898" s="20" t="str">
        <f t="shared" si="13"/>
        <v>(nextval('obj_part_id_seq'), (select id from obj_building_v where zip||'|'||street||'|'||name||'|'||volume = '9220|Sandbänkli 4|Schulhaus Altbau|6488.00'), 'P61', 0, null, 2013,null),</v>
      </c>
    </row>
    <row r="899" spans="1:8" x14ac:dyDescent="0.25">
      <c r="A899" s="9" t="s">
        <v>1673</v>
      </c>
      <c r="B899" s="9" t="s">
        <v>1144</v>
      </c>
      <c r="C899">
        <v>0</v>
      </c>
      <c r="D899" t="s">
        <v>4080</v>
      </c>
      <c r="E899">
        <v>2013</v>
      </c>
      <c r="F899" s="9"/>
      <c r="H899" s="20" t="str">
        <f t="shared" si="13"/>
        <v>(nextval('obj_part_id_seq'), (select id from obj_building_v where zip||'|'||street||'|'||name||'|'||volume = '9220|Sandbänkli 4|Schulhaus Altbau|6488.00'), 'P62', 0, null, 2013,null),</v>
      </c>
    </row>
    <row r="900" spans="1:8" x14ac:dyDescent="0.25">
      <c r="A900" s="9" t="s">
        <v>1684</v>
      </c>
      <c r="B900" s="9" t="s">
        <v>1127</v>
      </c>
      <c r="C900">
        <v>30</v>
      </c>
      <c r="D900">
        <v>90</v>
      </c>
      <c r="E900">
        <v>2013</v>
      </c>
      <c r="F900" s="9" t="s">
        <v>1685</v>
      </c>
      <c r="H900" s="20" t="str">
        <f t="shared" si="13"/>
        <v>(nextval('obj_part_id_seq'), (select id from obj_building_v where zip||'|'||street||'|'||name||'|'||volume = '9220|Sandbänkli 4|Aula|2242.00'), 'P48', 30, 90, 2013,'Mauerwerk, Bruchsteine, Stahlbeton, Dachstuhl und Galerie aus Holz mit Zugrahmen horizontal'),</v>
      </c>
    </row>
    <row r="901" spans="1:8" x14ac:dyDescent="0.25">
      <c r="A901" s="9" t="s">
        <v>1684</v>
      </c>
      <c r="B901" s="9" t="s">
        <v>1129</v>
      </c>
      <c r="C901">
        <v>0</v>
      </c>
      <c r="D901" t="s">
        <v>4080</v>
      </c>
      <c r="E901">
        <v>2013</v>
      </c>
      <c r="F901" s="9"/>
      <c r="H901" s="20" t="str">
        <f t="shared" ref="H901:H964" si="14">"(nextval('obj_part_id_seq'), (select id from obj_building_v where zip||'|'||street||'|'||name||'|'||volume = '"&amp;A901&amp;"'), '"&amp;B901&amp;"', "&amp;C901&amp;", "&amp;D901&amp;", "&amp;IF(ISBLANK(E901),"null",E901)&amp;","&amp;IF(ISBLANK(F901),"null","'"&amp;F901&amp;"'")&amp;"),"</f>
        <v>(nextval('obj_part_id_seq'), (select id from obj_building_v where zip||'|'||street||'|'||name||'|'||volume = '9220|Sandbänkli 4|Aula|2242.00'), 'P49', 0, null, 2013,null),</v>
      </c>
    </row>
    <row r="902" spans="1:8" x14ac:dyDescent="0.25">
      <c r="A902" s="9" t="s">
        <v>1684</v>
      </c>
      <c r="B902" s="9" t="s">
        <v>1097</v>
      </c>
      <c r="C902">
        <v>14</v>
      </c>
      <c r="D902">
        <v>90</v>
      </c>
      <c r="E902">
        <v>2013</v>
      </c>
      <c r="F902" s="9" t="s">
        <v>1686</v>
      </c>
      <c r="H902" s="20" t="str">
        <f t="shared" si="14"/>
        <v>(nextval('obj_part_id_seq'), (select id from obj_building_v where zip||'|'||street||'|'||name||'|'||volume = '9220|Sandbänkli 4|Aula|2242.00'), 'P2', 14, 90, 2013,'Biberschwanzziegel, Unterdach aus Holzschindeln, isoliert, Dachflächenfenster ''11, elektrisch'),</v>
      </c>
    </row>
    <row r="903" spans="1:8" x14ac:dyDescent="0.25">
      <c r="A903" s="9" t="s">
        <v>1684</v>
      </c>
      <c r="B903" s="9" t="s">
        <v>1099</v>
      </c>
      <c r="C903">
        <v>0</v>
      </c>
      <c r="D903" t="s">
        <v>4080</v>
      </c>
      <c r="E903">
        <v>2013</v>
      </c>
      <c r="F903" s="9"/>
      <c r="H903" s="20" t="str">
        <f t="shared" si="14"/>
        <v>(nextval('obj_part_id_seq'), (select id from obj_building_v where zip||'|'||street||'|'||name||'|'||volume = '9220|Sandbänkli 4|Aula|2242.00'), 'P3', 0, null, 2013,null),</v>
      </c>
    </row>
    <row r="904" spans="1:8" x14ac:dyDescent="0.25">
      <c r="A904" s="9" t="s">
        <v>1684</v>
      </c>
      <c r="B904" s="9" t="s">
        <v>1100</v>
      </c>
      <c r="C904">
        <v>10</v>
      </c>
      <c r="D904">
        <v>90</v>
      </c>
      <c r="E904">
        <v>2013</v>
      </c>
      <c r="F904" s="9" t="s">
        <v>1687</v>
      </c>
      <c r="H904" s="20" t="str">
        <f t="shared" si="14"/>
        <v>(nextval('obj_part_id_seq'), (select id from obj_building_v where zip||'|'||street||'|'||name||'|'||volume = '9220|Sandbänkli 4|Aula|2242.00'), 'P4', 10, 90, 2013,'Mauerwerk, verputzt mit Kunststeingewänden'),</v>
      </c>
    </row>
    <row r="905" spans="1:8" x14ac:dyDescent="0.25">
      <c r="A905" s="9" t="s">
        <v>1684</v>
      </c>
      <c r="B905" s="9" t="s">
        <v>1102</v>
      </c>
      <c r="C905">
        <v>12</v>
      </c>
      <c r="D905">
        <v>90</v>
      </c>
      <c r="E905">
        <v>2013</v>
      </c>
      <c r="F905" s="9" t="s">
        <v>1688</v>
      </c>
      <c r="H905" s="20" t="str">
        <f t="shared" si="14"/>
        <v>(nextval('obj_part_id_seq'), (select id from obj_building_v where zip||'|'||street||'|'||name||'|'||volume = '9220|Sandbänkli 4|Aula|2242.00'), 'P5', 12, 90, 2013,'Eingangstüre aus Metall/Glas, Holzfenster mit Metallläden, Holztor'),</v>
      </c>
    </row>
    <row r="906" spans="1:8" x14ac:dyDescent="0.25">
      <c r="A906" s="9" t="s">
        <v>1684</v>
      </c>
      <c r="B906" s="9" t="s">
        <v>1110</v>
      </c>
      <c r="C906">
        <v>4</v>
      </c>
      <c r="D906">
        <v>90</v>
      </c>
      <c r="E906">
        <v>2013</v>
      </c>
      <c r="F906" s="9" t="s">
        <v>1689</v>
      </c>
      <c r="H906" s="20" t="str">
        <f t="shared" si="14"/>
        <v>(nextval('obj_part_id_seq'), (select id from obj_building_v where zip||'|'||street||'|'||name||'|'||volume = '9220|Sandbänkli 4|Aula|2242.00'), 'P9', 4, 90, 2013,'Saal- und Bühnenbeleuchtung'),</v>
      </c>
    </row>
    <row r="907" spans="1:8" x14ac:dyDescent="0.25">
      <c r="A907" s="9" t="s">
        <v>1684</v>
      </c>
      <c r="B907" s="9" t="s">
        <v>1104</v>
      </c>
      <c r="C907">
        <v>0</v>
      </c>
      <c r="D907" t="s">
        <v>4080</v>
      </c>
      <c r="E907">
        <v>2013</v>
      </c>
      <c r="F907" s="9" t="s">
        <v>1690</v>
      </c>
      <c r="H907" s="20" t="str">
        <f t="shared" si="14"/>
        <v>(nextval('obj_part_id_seq'), (select id from obj_building_v where zip||'|'||street||'|'||name||'|'||volume = '9220|Sandbänkli 4|Aula|2242.00'), 'P6', 0, null, 2013,'Fernwärme vom alten Schulhaus (Gas)'),</v>
      </c>
    </row>
    <row r="908" spans="1:8" x14ac:dyDescent="0.25">
      <c r="A908" s="9" t="s">
        <v>1684</v>
      </c>
      <c r="B908" s="9" t="s">
        <v>1106</v>
      </c>
      <c r="C908">
        <v>4</v>
      </c>
      <c r="D908">
        <v>90</v>
      </c>
      <c r="E908">
        <v>2013</v>
      </c>
      <c r="F908" s="9" t="s">
        <v>1660</v>
      </c>
      <c r="H908" s="20" t="str">
        <f t="shared" si="14"/>
        <v>(nextval('obj_part_id_seq'), (select id from obj_building_v where zip||'|'||street||'|'||name||'|'||volume = '9220|Sandbänkli 4|Aula|2242.00'), 'P7', 4, 90, 2013,'Heizkörper mit Thermostat'),</v>
      </c>
    </row>
    <row r="909" spans="1:8" x14ac:dyDescent="0.25">
      <c r="A909" s="9" t="s">
        <v>1684</v>
      </c>
      <c r="B909" s="9" t="s">
        <v>1403</v>
      </c>
      <c r="C909">
        <v>0</v>
      </c>
      <c r="D909" t="s">
        <v>4080</v>
      </c>
      <c r="E909">
        <v>2013</v>
      </c>
      <c r="F909" s="9" t="s">
        <v>1691</v>
      </c>
      <c r="H909" s="20" t="str">
        <f t="shared" si="14"/>
        <v>(nextval('obj_part_id_seq'), (select id from obj_building_v where zip||'|'||street||'|'||name||'|'||volume = '9220|Sandbänkli 4|Aula|2242.00'), 'P52', 0, null, 2013,'Lüftungsvorbereitung'),</v>
      </c>
    </row>
    <row r="910" spans="1:8" x14ac:dyDescent="0.25">
      <c r="A910" s="9" t="s">
        <v>1684</v>
      </c>
      <c r="B910" s="9" t="s">
        <v>1404</v>
      </c>
      <c r="C910">
        <v>0</v>
      </c>
      <c r="D910" t="s">
        <v>4080</v>
      </c>
      <c r="E910">
        <v>2013</v>
      </c>
      <c r="F910" s="9" t="s">
        <v>1692</v>
      </c>
      <c r="H910" s="20" t="str">
        <f t="shared" si="14"/>
        <v>(nextval('obj_part_id_seq'), (select id from obj_building_v where zip||'|'||street||'|'||name||'|'||volume = '9220|Sandbänkli 4|Aula|2242.00'), 'P53', 0, null, 2013,'-'),</v>
      </c>
    </row>
    <row r="911" spans="1:8" x14ac:dyDescent="0.25">
      <c r="A911" s="9" t="s">
        <v>1684</v>
      </c>
      <c r="B911" s="9" t="s">
        <v>1108</v>
      </c>
      <c r="C911">
        <v>5</v>
      </c>
      <c r="D911">
        <v>90</v>
      </c>
      <c r="E911">
        <v>2013</v>
      </c>
      <c r="F911" s="9" t="s">
        <v>1693</v>
      </c>
      <c r="H911" s="20" t="str">
        <f t="shared" si="14"/>
        <v>(nextval('obj_part_id_seq'), (select id from obj_building_v where zip||'|'||street||'|'||name||'|'||volume = '9220|Sandbänkli 4|Aula|2242.00'), 'P8', 5, 90, 2013,'Moderne Armaturen und Apparate'),</v>
      </c>
    </row>
    <row r="912" spans="1:8" x14ac:dyDescent="0.25">
      <c r="A912" s="9" t="s">
        <v>1684</v>
      </c>
      <c r="B912" s="9" t="s">
        <v>1138</v>
      </c>
      <c r="C912">
        <v>11</v>
      </c>
      <c r="D912">
        <v>90</v>
      </c>
      <c r="E912">
        <v>2013</v>
      </c>
      <c r="F912" s="9" t="s">
        <v>1694</v>
      </c>
      <c r="H912" s="20" t="str">
        <f t="shared" si="14"/>
        <v>(nextval('obj_part_id_seq'), (select id from obj_building_v where zip||'|'||street||'|'||name||'|'||volume = '9220|Sandbänkli 4|Aula|2242.00'), 'P57', 11, 90, 2013,'Treppenlift, Metallgeländer, Bühnenbauten, Innentüren aus Holz/Glas'),</v>
      </c>
    </row>
    <row r="913" spans="1:8" x14ac:dyDescent="0.25">
      <c r="A913" s="9" t="s">
        <v>1684</v>
      </c>
      <c r="B913" s="9" t="s">
        <v>1140</v>
      </c>
      <c r="C913">
        <v>4</v>
      </c>
      <c r="D913">
        <v>90</v>
      </c>
      <c r="E913">
        <v>2013</v>
      </c>
      <c r="F913" s="9" t="s">
        <v>1695</v>
      </c>
      <c r="H913" s="20" t="str">
        <f t="shared" si="14"/>
        <v>(nextval('obj_part_id_seq'), (select id from obj_building_v where zip||'|'||street||'|'||name||'|'||volume = '9220|Sandbänkli 4|Aula|2242.00'), 'P58', 4, 90, 2013,'B: Dielenboden, Parkett, Zementüberzug und Teppich W: Klinker und Natursteine D: Akustikdecken, Holz'),</v>
      </c>
    </row>
    <row r="914" spans="1:8" x14ac:dyDescent="0.25">
      <c r="A914" s="9" t="s">
        <v>1684</v>
      </c>
      <c r="B914" s="9" t="s">
        <v>1157</v>
      </c>
      <c r="C914">
        <v>6</v>
      </c>
      <c r="D914">
        <v>90</v>
      </c>
      <c r="E914">
        <v>2013</v>
      </c>
      <c r="F914" s="9" t="s">
        <v>1696</v>
      </c>
      <c r="H914" s="20" t="str">
        <f t="shared" si="14"/>
        <v>(nextval('obj_part_id_seq'), (select id from obj_building_v where zip||'|'||street||'|'||name||'|'||volume = '9220|Sandbänkli 4|Aula|2242.00'), 'P59', 6, 90, 2013,'Küche neuwertig, mit Backofen und gewerblichem GSP'),</v>
      </c>
    </row>
    <row r="915" spans="1:8" x14ac:dyDescent="0.25">
      <c r="A915" s="9" t="s">
        <v>1684</v>
      </c>
      <c r="B915" s="9" t="s">
        <v>1142</v>
      </c>
      <c r="C915">
        <v>0</v>
      </c>
      <c r="D915" t="s">
        <v>4080</v>
      </c>
      <c r="E915">
        <v>2013</v>
      </c>
      <c r="F915" s="9"/>
      <c r="H915" s="20" t="str">
        <f t="shared" si="14"/>
        <v>(nextval('obj_part_id_seq'), (select id from obj_building_v where zip||'|'||street||'|'||name||'|'||volume = '9220|Sandbänkli 4|Aula|2242.00'), 'P60', 0, null, 2013,null),</v>
      </c>
    </row>
    <row r="916" spans="1:8" x14ac:dyDescent="0.25">
      <c r="A916" s="9" t="s">
        <v>1684</v>
      </c>
      <c r="B916" s="9" t="s">
        <v>1143</v>
      </c>
      <c r="C916">
        <v>0</v>
      </c>
      <c r="D916" t="s">
        <v>4080</v>
      </c>
      <c r="E916">
        <v>2013</v>
      </c>
      <c r="F916" s="9"/>
      <c r="H916" s="20" t="str">
        <f t="shared" si="14"/>
        <v>(nextval('obj_part_id_seq'), (select id from obj_building_v where zip||'|'||street||'|'||name||'|'||volume = '9220|Sandbänkli 4|Aula|2242.00'), 'P61', 0, null, 2013,null),</v>
      </c>
    </row>
    <row r="917" spans="1:8" x14ac:dyDescent="0.25">
      <c r="A917" s="9" t="s">
        <v>1684</v>
      </c>
      <c r="B917" s="9" t="s">
        <v>1144</v>
      </c>
      <c r="C917">
        <v>0</v>
      </c>
      <c r="D917" t="s">
        <v>4080</v>
      </c>
      <c r="E917">
        <v>2013</v>
      </c>
      <c r="F917" s="9"/>
      <c r="H917" s="20" t="str">
        <f t="shared" si="14"/>
        <v>(nextval('obj_part_id_seq'), (select id from obj_building_v where zip||'|'||street||'|'||name||'|'||volume = '9220|Sandbänkli 4|Aula|2242.00'), 'P62', 0, null, 2013,null),</v>
      </c>
    </row>
    <row r="918" spans="1:8" x14ac:dyDescent="0.25">
      <c r="A918" s="9" t="s">
        <v>1697</v>
      </c>
      <c r="B918" s="9" t="s">
        <v>1127</v>
      </c>
      <c r="C918">
        <v>90</v>
      </c>
      <c r="D918">
        <v>90</v>
      </c>
      <c r="E918">
        <v>2013</v>
      </c>
      <c r="F918" s="9" t="s">
        <v>1698</v>
      </c>
      <c r="H918" s="20" t="str">
        <f t="shared" si="14"/>
        <v>(nextval('obj_part_id_seq'), (select id from obj_building_v where zip||'|'||street||'|'||name||'|'||volume = '9220|Sandbänkli|Velounterstand|744.00'), 'P48', 90, 90, 2013,'Sichtbeton'),</v>
      </c>
    </row>
    <row r="919" spans="1:8" x14ac:dyDescent="0.25">
      <c r="A919" s="9" t="s">
        <v>1697</v>
      </c>
      <c r="B919" s="9" t="s">
        <v>1129</v>
      </c>
      <c r="C919">
        <v>0</v>
      </c>
      <c r="D919" t="s">
        <v>4080</v>
      </c>
      <c r="E919">
        <v>2013</v>
      </c>
      <c r="F919" s="9"/>
      <c r="H919" s="20" t="str">
        <f t="shared" si="14"/>
        <v>(nextval('obj_part_id_seq'), (select id from obj_building_v where zip||'|'||street||'|'||name||'|'||volume = '9220|Sandbänkli|Velounterstand|744.00'), 'P49', 0, null, 2013,null),</v>
      </c>
    </row>
    <row r="920" spans="1:8" x14ac:dyDescent="0.25">
      <c r="A920" s="9" t="s">
        <v>1697</v>
      </c>
      <c r="B920" s="9" t="s">
        <v>1097</v>
      </c>
      <c r="C920">
        <v>0</v>
      </c>
      <c r="D920" t="s">
        <v>4080</v>
      </c>
      <c r="E920">
        <v>2013</v>
      </c>
      <c r="F920" s="9"/>
      <c r="H920" s="20" t="str">
        <f t="shared" si="14"/>
        <v>(nextval('obj_part_id_seq'), (select id from obj_building_v where zip||'|'||street||'|'||name||'|'||volume = '9220|Sandbänkli|Velounterstand|744.00'), 'P2', 0, null, 2013,null),</v>
      </c>
    </row>
    <row r="921" spans="1:8" x14ac:dyDescent="0.25">
      <c r="A921" s="9" t="s">
        <v>1697</v>
      </c>
      <c r="B921" s="9" t="s">
        <v>1099</v>
      </c>
      <c r="C921">
        <v>2</v>
      </c>
      <c r="D921">
        <v>90</v>
      </c>
      <c r="E921">
        <v>2013</v>
      </c>
      <c r="F921" s="9" t="s">
        <v>1699</v>
      </c>
      <c r="H921" s="20" t="str">
        <f t="shared" si="14"/>
        <v>(nextval('obj_part_id_seq'), (select id from obj_building_v where zip||'|'||street||'|'||name||'|'||volume = '9220|Sandbänkli|Velounterstand|744.00'), 'P3', 2, 90, 2013,'Nacktdach, Beton roh'),</v>
      </c>
    </row>
    <row r="922" spans="1:8" x14ac:dyDescent="0.25">
      <c r="A922" s="9" t="s">
        <v>1697</v>
      </c>
      <c r="B922" s="9" t="s">
        <v>1100</v>
      </c>
      <c r="C922">
        <v>5</v>
      </c>
      <c r="D922">
        <v>90</v>
      </c>
      <c r="E922">
        <v>2013</v>
      </c>
      <c r="F922" s="9" t="s">
        <v>1698</v>
      </c>
      <c r="H922" s="20" t="str">
        <f t="shared" si="14"/>
        <v>(nextval('obj_part_id_seq'), (select id from obj_building_v where zip||'|'||street||'|'||name||'|'||volume = '9220|Sandbänkli|Velounterstand|744.00'), 'P4', 5, 90, 2013,'Sichtbeton'),</v>
      </c>
    </row>
    <row r="923" spans="1:8" x14ac:dyDescent="0.25">
      <c r="A923" s="9" t="s">
        <v>1697</v>
      </c>
      <c r="B923" s="9" t="s">
        <v>1102</v>
      </c>
      <c r="C923">
        <v>0</v>
      </c>
      <c r="D923" t="s">
        <v>4080</v>
      </c>
      <c r="E923">
        <v>2013</v>
      </c>
      <c r="F923" s="9"/>
      <c r="H923" s="20" t="str">
        <f t="shared" si="14"/>
        <v>(nextval('obj_part_id_seq'), (select id from obj_building_v where zip||'|'||street||'|'||name||'|'||volume = '9220|Sandbänkli|Velounterstand|744.00'), 'P5', 0, null, 2013,null),</v>
      </c>
    </row>
    <row r="924" spans="1:8" x14ac:dyDescent="0.25">
      <c r="A924" s="9" t="s">
        <v>1697</v>
      </c>
      <c r="B924" s="9" t="s">
        <v>1164</v>
      </c>
      <c r="C924">
        <v>3</v>
      </c>
      <c r="D924">
        <v>90</v>
      </c>
      <c r="E924">
        <v>2013</v>
      </c>
      <c r="F924" s="9" t="s">
        <v>1295</v>
      </c>
      <c r="H924" s="20" t="str">
        <f t="shared" si="14"/>
        <v>(nextval('obj_part_id_seq'), (select id from obj_building_v where zip||'|'||street||'|'||name||'|'||volume = '9220|Sandbänkli|Velounterstand|744.00'), 'P50', 3, 90, 2013,'Beleuchtung'),</v>
      </c>
    </row>
    <row r="925" spans="1:8" x14ac:dyDescent="0.25">
      <c r="A925" s="9" t="s">
        <v>1697</v>
      </c>
      <c r="B925" s="9" t="s">
        <v>1166</v>
      </c>
      <c r="C925">
        <v>0</v>
      </c>
      <c r="D925" t="s">
        <v>4080</v>
      </c>
      <c r="E925">
        <v>2013</v>
      </c>
      <c r="F925" s="9"/>
      <c r="H925" s="20" t="str">
        <f t="shared" si="14"/>
        <v>(nextval('obj_part_id_seq'), (select id from obj_building_v where zip||'|'||street||'|'||name||'|'||volume = '9220|Sandbänkli|Velounterstand|744.00'), 'P51', 0, null, 2013,null),</v>
      </c>
    </row>
    <row r="926" spans="1:8" x14ac:dyDescent="0.25">
      <c r="A926" s="9" t="s">
        <v>1697</v>
      </c>
      <c r="B926" s="9" t="s">
        <v>1104</v>
      </c>
      <c r="C926">
        <v>0</v>
      </c>
      <c r="D926" t="s">
        <v>4080</v>
      </c>
      <c r="E926">
        <v>2013</v>
      </c>
      <c r="F926" s="9"/>
      <c r="H926" s="20" t="str">
        <f t="shared" si="14"/>
        <v>(nextval('obj_part_id_seq'), (select id from obj_building_v where zip||'|'||street||'|'||name||'|'||volume = '9220|Sandbänkli|Velounterstand|744.00'), 'P6', 0, null, 2013,null),</v>
      </c>
    </row>
    <row r="927" spans="1:8" x14ac:dyDescent="0.25">
      <c r="A927" s="9" t="s">
        <v>1697</v>
      </c>
      <c r="B927" s="9" t="s">
        <v>1106</v>
      </c>
      <c r="C927">
        <v>0</v>
      </c>
      <c r="D927" t="s">
        <v>4080</v>
      </c>
      <c r="E927">
        <v>2013</v>
      </c>
      <c r="F927" s="9"/>
      <c r="H927" s="20" t="str">
        <f t="shared" si="14"/>
        <v>(nextval('obj_part_id_seq'), (select id from obj_building_v where zip||'|'||street||'|'||name||'|'||volume = '9220|Sandbänkli|Velounterstand|744.00'), 'P7', 0, null, 2013,null),</v>
      </c>
    </row>
    <row r="928" spans="1:8" x14ac:dyDescent="0.25">
      <c r="A928" s="9" t="s">
        <v>1697</v>
      </c>
      <c r="B928" s="9" t="s">
        <v>1108</v>
      </c>
      <c r="C928">
        <v>0</v>
      </c>
      <c r="D928" t="s">
        <v>4080</v>
      </c>
      <c r="E928">
        <v>2013</v>
      </c>
      <c r="F928" s="9"/>
      <c r="H928" s="20" t="str">
        <f t="shared" si="14"/>
        <v>(nextval('obj_part_id_seq'), (select id from obj_building_v where zip||'|'||street||'|'||name||'|'||volume = '9220|Sandbänkli|Velounterstand|744.00'), 'P8', 0, null, 2013,null),</v>
      </c>
    </row>
    <row r="929" spans="1:8" x14ac:dyDescent="0.25">
      <c r="A929" s="9" t="s">
        <v>1697</v>
      </c>
      <c r="B929" s="9" t="s">
        <v>1138</v>
      </c>
      <c r="C929">
        <v>0</v>
      </c>
      <c r="D929" t="s">
        <v>4080</v>
      </c>
      <c r="E929">
        <v>2013</v>
      </c>
      <c r="F929" s="9"/>
      <c r="H929" s="20" t="str">
        <f t="shared" si="14"/>
        <v>(nextval('obj_part_id_seq'), (select id from obj_building_v where zip||'|'||street||'|'||name||'|'||volume = '9220|Sandbänkli|Velounterstand|744.00'), 'P57', 0, null, 2013,null),</v>
      </c>
    </row>
    <row r="930" spans="1:8" x14ac:dyDescent="0.25">
      <c r="A930" s="9" t="s">
        <v>1697</v>
      </c>
      <c r="B930" s="9" t="s">
        <v>1140</v>
      </c>
      <c r="C930">
        <v>0</v>
      </c>
      <c r="D930" t="s">
        <v>4080</v>
      </c>
      <c r="E930">
        <v>2013</v>
      </c>
      <c r="F930" s="9"/>
      <c r="H930" s="20" t="str">
        <f t="shared" si="14"/>
        <v>(nextval('obj_part_id_seq'), (select id from obj_building_v where zip||'|'||street||'|'||name||'|'||volume = '9220|Sandbänkli|Velounterstand|744.00'), 'P58', 0, null, 2013,null),</v>
      </c>
    </row>
    <row r="931" spans="1:8" x14ac:dyDescent="0.25">
      <c r="A931" s="9" t="s">
        <v>1697</v>
      </c>
      <c r="B931" s="9" t="s">
        <v>1142</v>
      </c>
      <c r="C931">
        <v>0</v>
      </c>
      <c r="D931" t="s">
        <v>4080</v>
      </c>
      <c r="E931">
        <v>2013</v>
      </c>
      <c r="F931" s="9"/>
      <c r="H931" s="20" t="str">
        <f t="shared" si="14"/>
        <v>(nextval('obj_part_id_seq'), (select id from obj_building_v where zip||'|'||street||'|'||name||'|'||volume = '9220|Sandbänkli|Velounterstand|744.00'), 'P60', 0, null, 2013,null),</v>
      </c>
    </row>
    <row r="932" spans="1:8" x14ac:dyDescent="0.25">
      <c r="A932" s="9" t="s">
        <v>1697</v>
      </c>
      <c r="B932" s="9" t="s">
        <v>1143</v>
      </c>
      <c r="C932">
        <v>0</v>
      </c>
      <c r="D932" t="s">
        <v>4080</v>
      </c>
      <c r="E932">
        <v>2013</v>
      </c>
      <c r="F932" s="9"/>
      <c r="H932" s="20" t="str">
        <f t="shared" si="14"/>
        <v>(nextval('obj_part_id_seq'), (select id from obj_building_v where zip||'|'||street||'|'||name||'|'||volume = '9220|Sandbänkli|Velounterstand|744.00'), 'P61', 0, null, 2013,null),</v>
      </c>
    </row>
    <row r="933" spans="1:8" x14ac:dyDescent="0.25">
      <c r="A933" s="9" t="s">
        <v>1697</v>
      </c>
      <c r="B933" s="9" t="s">
        <v>1144</v>
      </c>
      <c r="C933">
        <v>0</v>
      </c>
      <c r="D933" t="s">
        <v>4080</v>
      </c>
      <c r="E933">
        <v>2013</v>
      </c>
      <c r="F933" s="9"/>
      <c r="H933" s="20" t="str">
        <f t="shared" si="14"/>
        <v>(nextval('obj_part_id_seq'), (select id from obj_building_v where zip||'|'||street||'|'||name||'|'||volume = '9220|Sandbänkli|Velounterstand|744.00'), 'P62', 0, null, 2013,null),</v>
      </c>
    </row>
    <row r="934" spans="1:8" x14ac:dyDescent="0.25">
      <c r="A934" s="9" t="s">
        <v>1700</v>
      </c>
      <c r="B934" s="9" t="s">
        <v>1127</v>
      </c>
      <c r="C934">
        <v>41</v>
      </c>
      <c r="D934">
        <v>85</v>
      </c>
      <c r="E934">
        <v>2013</v>
      </c>
      <c r="F934" s="9" t="s">
        <v>1701</v>
      </c>
      <c r="H934" s="20" t="str">
        <f t="shared" si="14"/>
        <v>(nextval('obj_part_id_seq'), (select id from obj_building_v where zip||'|'||street||'|'||name||'|'||volume = '8589|Bruggfeld/Rofenstrasse 20|Schulhaus, Garage, Gerätehaus, Containerhaus, Gargengerättehaus|20263.00'), 'P48', 41, 85, 2013,'Stahlbeton, Mauerwerk (Beton- und Kalksandsteine im UG) und Stahl.'),</v>
      </c>
    </row>
    <row r="935" spans="1:8" x14ac:dyDescent="0.25">
      <c r="A935" s="9" t="s">
        <v>1700</v>
      </c>
      <c r="B935" s="9" t="s">
        <v>1129</v>
      </c>
      <c r="C935">
        <v>0</v>
      </c>
      <c r="D935" t="s">
        <v>4080</v>
      </c>
      <c r="E935">
        <v>2013</v>
      </c>
      <c r="F935" s="9"/>
      <c r="H935" s="20" t="str">
        <f t="shared" si="14"/>
        <v>(nextval('obj_part_id_seq'), (select id from obj_building_v where zip||'|'||street||'|'||name||'|'||volume = '8589|Bruggfeld/Rofenstrasse 20|Schulhaus, Garage, Gerätehaus, Containerhaus, Gargengerättehaus|20263.00'), 'P49', 0, null, 2013,null),</v>
      </c>
    </row>
    <row r="936" spans="1:8" x14ac:dyDescent="0.25">
      <c r="A936" s="9" t="s">
        <v>1700</v>
      </c>
      <c r="B936" s="9" t="s">
        <v>1097</v>
      </c>
      <c r="C936">
        <v>2</v>
      </c>
      <c r="D936">
        <v>85</v>
      </c>
      <c r="E936">
        <v>2013</v>
      </c>
      <c r="F936" s="9" t="s">
        <v>1702</v>
      </c>
      <c r="H936" s="20" t="str">
        <f t="shared" si="14"/>
        <v>(nextval('obj_part_id_seq'), (select id from obj_building_v where zip||'|'||street||'|'||name||'|'||volume = '8589|Bruggfeld/Rofenstrasse 20|Schulhaus, Garage, Gerätehaus, Containerhaus, Gargengerättehaus|20263.00'), 'P2', 2, 85, 2013,'Pultdach mit Trapezwelleblechen; Insektengitter defekt'),</v>
      </c>
    </row>
    <row r="937" spans="1:8" x14ac:dyDescent="0.25">
      <c r="A937" s="9" t="s">
        <v>1700</v>
      </c>
      <c r="B937" s="9" t="s">
        <v>1099</v>
      </c>
      <c r="C937">
        <v>6</v>
      </c>
      <c r="D937">
        <v>80</v>
      </c>
      <c r="E937">
        <v>2013</v>
      </c>
      <c r="F937" s="9" t="s">
        <v>1703</v>
      </c>
      <c r="H937" s="20" t="str">
        <f t="shared" si="14"/>
        <v>(nextval('obj_part_id_seq'), (select id from obj_building_v where zip||'|'||street||'|'||name||'|'||volume = '8589|Bruggfeld/Rofenstrasse 20|Schulhaus, Garage, Gerätehaus, Containerhaus, Gargengerättehaus|20263.00'), 'P3', 6, 80, 2013,'Kiesdach, vermoost, stark verschmutzt (Russ?). Dachoblichter tw. undicht. Wurde provisorisch mit Silikon abgedichtet.'),</v>
      </c>
    </row>
    <row r="938" spans="1:8" x14ac:dyDescent="0.25">
      <c r="A938" s="9" t="s">
        <v>1700</v>
      </c>
      <c r="B938" s="9" t="s">
        <v>1100</v>
      </c>
      <c r="C938">
        <v>7</v>
      </c>
      <c r="D938">
        <v>90</v>
      </c>
      <c r="E938">
        <v>2013</v>
      </c>
      <c r="F938" s="9" t="s">
        <v>1704</v>
      </c>
      <c r="H938" s="20" t="str">
        <f t="shared" si="14"/>
        <v>(nextval('obj_part_id_seq'), (select id from obj_building_v where zip||'|'||street||'|'||name||'|'||volume = '8589|Bruggfeld/Rofenstrasse 20|Schulhaus, Garage, Gerätehaus, Containerhaus, Gargengerättehaus|20263.00'), 'P4', 7, 90, 2013,'Eternitplatten und Sichtmauerwerk (Betonsteine)'),</v>
      </c>
    </row>
    <row r="939" spans="1:8" x14ac:dyDescent="0.25">
      <c r="A939" s="9" t="s">
        <v>1700</v>
      </c>
      <c r="B939" s="9" t="s">
        <v>1102</v>
      </c>
      <c r="C939">
        <v>10</v>
      </c>
      <c r="D939">
        <v>90</v>
      </c>
      <c r="E939">
        <v>2013</v>
      </c>
      <c r="F939" s="9" t="s">
        <v>1705</v>
      </c>
      <c r="H939" s="20" t="str">
        <f t="shared" si="14"/>
        <v>(nextval('obj_part_id_seq'), (select id from obj_building_v where zip||'|'||street||'|'||name||'|'||volume = '8589|Bruggfeld/Rofenstrasse 20|Schulhaus, Garage, Gerätehaus, Containerhaus, Gargengerättehaus|20263.00'), 'P5', 10, 90, 2013,'Metall ''95, innere Verdunklung, Rafflamellen mangeln'),</v>
      </c>
    </row>
    <row r="940" spans="1:8" x14ac:dyDescent="0.25">
      <c r="A940" s="9" t="s">
        <v>1700</v>
      </c>
      <c r="B940" s="9" t="s">
        <v>1164</v>
      </c>
      <c r="C940">
        <v>6</v>
      </c>
      <c r="D940">
        <v>90</v>
      </c>
      <c r="E940">
        <v>2013</v>
      </c>
      <c r="F940" s="9" t="s">
        <v>1706</v>
      </c>
      <c r="H940" s="20" t="str">
        <f t="shared" si="14"/>
        <v>(nextval('obj_part_id_seq'), (select id from obj_building_v where zip||'|'||street||'|'||name||'|'||volume = '8589|Bruggfeld/Rofenstrasse 20|Schulhaus, Garage, Gerätehaus, Containerhaus, Gargengerättehaus|20263.00'), 'P50', 6, 90, 2013,'Beleuchtung/ Lampen immer wieder defekt'),</v>
      </c>
    </row>
    <row r="941" spans="1:8" x14ac:dyDescent="0.25">
      <c r="A941" s="9" t="s">
        <v>1700</v>
      </c>
      <c r="B941" s="9" t="s">
        <v>1166</v>
      </c>
      <c r="C941">
        <v>1</v>
      </c>
      <c r="D941">
        <v>90</v>
      </c>
      <c r="E941">
        <v>2013</v>
      </c>
      <c r="F941" s="9" t="s">
        <v>1707</v>
      </c>
      <c r="H941" s="20" t="str">
        <f t="shared" si="14"/>
        <v>(nextval('obj_part_id_seq'), (select id from obj_building_v where zip||'|'||street||'|'||name||'|'||volume = '8589|Bruggfeld/Rofenstrasse 20|Schulhaus, Garage, Gerätehaus, Containerhaus, Gargengerättehaus|20263.00'), 'P51', 1, 90, 2013,'Elektronik der Aula'),</v>
      </c>
    </row>
    <row r="942" spans="1:8" x14ac:dyDescent="0.25">
      <c r="A942" s="9" t="s">
        <v>1700</v>
      </c>
      <c r="B942" s="9" t="s">
        <v>1104</v>
      </c>
      <c r="C942">
        <v>1</v>
      </c>
      <c r="D942">
        <v>90</v>
      </c>
      <c r="E942">
        <v>2013</v>
      </c>
      <c r="F942" s="9" t="s">
        <v>1708</v>
      </c>
      <c r="H942" s="20" t="str">
        <f t="shared" si="14"/>
        <v>(nextval('obj_part_id_seq'), (select id from obj_building_v where zip||'|'||street||'|'||name||'|'||volume = '8589|Bruggfeld/Rofenstrasse 20|Schulhaus, Garage, Gerätehaus, Containerhaus, Gargengerättehaus|20263.00'), 'P6', 1, 90, 2013,'Holzheizung + Ölheizung wenn Holzheizung nicht genügend ist'),</v>
      </c>
    </row>
    <row r="943" spans="1:8" x14ac:dyDescent="0.25">
      <c r="A943" s="9" t="s">
        <v>1700</v>
      </c>
      <c r="B943" s="9" t="s">
        <v>1106</v>
      </c>
      <c r="C943">
        <v>3</v>
      </c>
      <c r="D943">
        <v>90</v>
      </c>
      <c r="E943">
        <v>2013</v>
      </c>
      <c r="F943" s="9" t="s">
        <v>1709</v>
      </c>
      <c r="H943" s="20" t="str">
        <f t="shared" si="14"/>
        <v>(nextval('obj_part_id_seq'), (select id from obj_building_v where zip||'|'||street||'|'||name||'|'||volume = '8589|Bruggfeld/Rofenstrasse 20|Schulhaus, Garage, Gerätehaus, Containerhaus, Gargengerättehaus|20263.00'), 'P7', 3, 90, 2013,'Radiatoren und Konvektoren mit Thermostaten, tw. Bodenheizung mit zentraler Steuerung (nicht in der HW- Wohnung)'),</v>
      </c>
    </row>
    <row r="944" spans="1:8" x14ac:dyDescent="0.25">
      <c r="A944" s="9" t="s">
        <v>1700</v>
      </c>
      <c r="B944" s="9" t="s">
        <v>1108</v>
      </c>
      <c r="C944">
        <v>4</v>
      </c>
      <c r="D944">
        <v>90</v>
      </c>
      <c r="E944">
        <v>2013</v>
      </c>
      <c r="F944" s="9" t="s">
        <v>1710</v>
      </c>
      <c r="H944" s="20" t="str">
        <f t="shared" si="14"/>
        <v>(nextval('obj_part_id_seq'), (select id from obj_building_v where zip||'|'||street||'|'||name||'|'||volume = '8589|Bruggfeld/Rofenstrasse 20|Schulhaus, Garage, Gerätehaus, Containerhaus, Gargengerättehaus|20263.00'), 'P8', 4, 90, 2013,'Regenwassernutzung für Toilettenspülung'),</v>
      </c>
    </row>
    <row r="945" spans="1:8" x14ac:dyDescent="0.25">
      <c r="A945" s="9" t="s">
        <v>1700</v>
      </c>
      <c r="B945" s="9" t="s">
        <v>1138</v>
      </c>
      <c r="C945">
        <v>11</v>
      </c>
      <c r="D945">
        <v>85</v>
      </c>
      <c r="E945">
        <v>2013</v>
      </c>
      <c r="F945" s="9" t="s">
        <v>1711</v>
      </c>
      <c r="H945" s="20" t="str">
        <f t="shared" si="14"/>
        <v>(nextval('obj_part_id_seq'), (select id from obj_building_v where zip||'|'||street||'|'||name||'|'||volume = '8589|Bruggfeld/Rofenstrasse 20|Schulhaus, Garage, Gerätehaus, Containerhaus, Gargengerättehaus|20263.00'), 'P57', 11, 85, 2013,'Fensterbretter, Garderoben, Einbauschränke, Arbeitssimse, Küchen, Aufzug, innere Verglasung und Rahmentüren.'),</v>
      </c>
    </row>
    <row r="946" spans="1:8" x14ac:dyDescent="0.25">
      <c r="A946" s="9" t="s">
        <v>1700</v>
      </c>
      <c r="B946" s="9" t="s">
        <v>1140</v>
      </c>
      <c r="C946">
        <v>8</v>
      </c>
      <c r="D946">
        <v>85</v>
      </c>
      <c r="E946">
        <v>2013</v>
      </c>
      <c r="F946" s="9" t="s">
        <v>1712</v>
      </c>
      <c r="H946" s="20" t="str">
        <f t="shared" si="14"/>
        <v>(nextval('obj_part_id_seq'), (select id from obj_building_v where zip||'|'||street||'|'||name||'|'||volume = '8589|Bruggfeld/Rofenstrasse 20|Schulhaus, Garage, Gerätehaus, Containerhaus, Gargengerättehaus|20263.00'), 'P58', 8, 85, 2013,'B: Linol, Teppich und Parkett W: Keramik, Tapeten und Sichtbeton D: Holz, Akustikdecken, Sichtbeton und Heraklitdecken.'),</v>
      </c>
    </row>
    <row r="947" spans="1:8" x14ac:dyDescent="0.25">
      <c r="A947" s="9" t="s">
        <v>1700</v>
      </c>
      <c r="B947" s="9" t="s">
        <v>1142</v>
      </c>
      <c r="C947">
        <v>0</v>
      </c>
      <c r="D947" t="s">
        <v>4080</v>
      </c>
      <c r="E947">
        <v>2013</v>
      </c>
      <c r="F947" s="9"/>
      <c r="H947" s="20" t="str">
        <f t="shared" si="14"/>
        <v>(nextval('obj_part_id_seq'), (select id from obj_building_v where zip||'|'||street||'|'||name||'|'||volume = '8589|Bruggfeld/Rofenstrasse 20|Schulhaus, Garage, Gerätehaus, Containerhaus, Gargengerättehaus|20263.00'), 'P60', 0, null, 2013,null),</v>
      </c>
    </row>
    <row r="948" spans="1:8" x14ac:dyDescent="0.25">
      <c r="A948" s="9" t="s">
        <v>1700</v>
      </c>
      <c r="B948" s="9" t="s">
        <v>1143</v>
      </c>
      <c r="C948">
        <v>0</v>
      </c>
      <c r="D948" t="s">
        <v>4080</v>
      </c>
      <c r="E948">
        <v>2013</v>
      </c>
      <c r="F948" s="9"/>
      <c r="H948" s="20" t="str">
        <f t="shared" si="14"/>
        <v>(nextval('obj_part_id_seq'), (select id from obj_building_v where zip||'|'||street||'|'||name||'|'||volume = '8589|Bruggfeld/Rofenstrasse 20|Schulhaus, Garage, Gerätehaus, Containerhaus, Gargengerättehaus|20263.00'), 'P61', 0, null, 2013,null),</v>
      </c>
    </row>
    <row r="949" spans="1:8" x14ac:dyDescent="0.25">
      <c r="A949" s="9" t="s">
        <v>1700</v>
      </c>
      <c r="B949" s="9" t="s">
        <v>1144</v>
      </c>
      <c r="C949">
        <v>0</v>
      </c>
      <c r="D949" t="s">
        <v>4080</v>
      </c>
      <c r="E949">
        <v>2013</v>
      </c>
      <c r="F949" s="9"/>
      <c r="H949" s="20" t="str">
        <f t="shared" si="14"/>
        <v>(nextval('obj_part_id_seq'), (select id from obj_building_v where zip||'|'||street||'|'||name||'|'||volume = '8589|Bruggfeld/Rofenstrasse 20|Schulhaus, Garage, Gerätehaus, Containerhaus, Gargengerättehaus|20263.00'), 'P62', 0, null, 2013,null),</v>
      </c>
    </row>
    <row r="950" spans="1:8" x14ac:dyDescent="0.25">
      <c r="A950" s="9" t="s">
        <v>1713</v>
      </c>
      <c r="B950" s="9" t="s">
        <v>1095</v>
      </c>
      <c r="C950">
        <v>58</v>
      </c>
      <c r="D950">
        <v>70</v>
      </c>
      <c r="E950">
        <v>2013</v>
      </c>
      <c r="F950" s="9" t="s">
        <v>1714</v>
      </c>
      <c r="H950" s="20" t="str">
        <f t="shared" si="14"/>
        <v>(nextval('obj_part_id_seq'), (select id from obj_building_v where zip||'|'||street||'|'||name||'|'||volume = '9220|Sandbänkli|Garage|341.00'), 'P1', 58, 70, 2013,'Mauerwerk, markanter Riss durch Fassade und Boden (Hangsicherung erforderlich!)'),</v>
      </c>
    </row>
    <row r="951" spans="1:8" x14ac:dyDescent="0.25">
      <c r="A951" s="9" t="s">
        <v>1713</v>
      </c>
      <c r="B951" s="9" t="s">
        <v>1097</v>
      </c>
      <c r="C951">
        <v>12</v>
      </c>
      <c r="D951">
        <v>85</v>
      </c>
      <c r="E951">
        <v>2013</v>
      </c>
      <c r="F951" s="9" t="s">
        <v>1715</v>
      </c>
      <c r="H951" s="20" t="str">
        <f t="shared" si="14"/>
        <v>(nextval('obj_part_id_seq'), (select id from obj_building_v where zip||'|'||street||'|'||name||'|'||volume = '9220|Sandbänkli|Garage|341.00'), 'P2', 12, 85, 2013,'Walmdach, nicht isoliert mit Biberschwanzziegel und Ochsenauge, Dachuntersichten verwittert'),</v>
      </c>
    </row>
    <row r="952" spans="1:8" x14ac:dyDescent="0.25">
      <c r="A952" s="9" t="s">
        <v>1713</v>
      </c>
      <c r="B952" s="9" t="s">
        <v>1099</v>
      </c>
      <c r="C952">
        <v>0</v>
      </c>
      <c r="D952" t="s">
        <v>4080</v>
      </c>
      <c r="E952">
        <v>2013</v>
      </c>
      <c r="F952" s="9"/>
      <c r="H952" s="20" t="str">
        <f t="shared" si="14"/>
        <v>(nextval('obj_part_id_seq'), (select id from obj_building_v where zip||'|'||street||'|'||name||'|'||volume = '9220|Sandbänkli|Garage|341.00'), 'P3', 0, null, 2013,null),</v>
      </c>
    </row>
    <row r="953" spans="1:8" x14ac:dyDescent="0.25">
      <c r="A953" s="9" t="s">
        <v>1713</v>
      </c>
      <c r="B953" s="9" t="s">
        <v>1100</v>
      </c>
      <c r="C953">
        <v>12</v>
      </c>
      <c r="D953">
        <v>70</v>
      </c>
      <c r="E953">
        <v>2013</v>
      </c>
      <c r="F953" s="9" t="s">
        <v>1716</v>
      </c>
      <c r="H953" s="20" t="str">
        <f t="shared" si="14"/>
        <v>(nextval('obj_part_id_seq'), (select id from obj_building_v where zip||'|'||street||'|'||name||'|'||volume = '9220|Sandbänkli|Garage|341.00'), 'P4', 12, 70, 2013,'Mauerwerk, verputzt'),</v>
      </c>
    </row>
    <row r="954" spans="1:8" x14ac:dyDescent="0.25">
      <c r="A954" s="9" t="s">
        <v>1713</v>
      </c>
      <c r="B954" s="9" t="s">
        <v>1102</v>
      </c>
      <c r="C954">
        <v>8</v>
      </c>
      <c r="D954">
        <v>70</v>
      </c>
      <c r="E954">
        <v>2013</v>
      </c>
      <c r="F954" s="9" t="s">
        <v>1717</v>
      </c>
      <c r="H954" s="20" t="str">
        <f t="shared" si="14"/>
        <v>(nextval('obj_part_id_seq'), (select id from obj_building_v where zip||'|'||street||'|'||name||'|'||volume = '9220|Sandbänkli|Garage|341.00'), 'P5', 8, 70, 2013,'Garagentore, alte Holzfenster'),</v>
      </c>
    </row>
    <row r="955" spans="1:8" x14ac:dyDescent="0.25">
      <c r="A955" s="9" t="s">
        <v>1713</v>
      </c>
      <c r="B955" s="9" t="s">
        <v>1104</v>
      </c>
      <c r="C955">
        <v>2</v>
      </c>
      <c r="D955">
        <v>80</v>
      </c>
      <c r="E955">
        <v>2013</v>
      </c>
      <c r="F955" s="9" t="s">
        <v>1718</v>
      </c>
      <c r="H955" s="20" t="str">
        <f t="shared" si="14"/>
        <v>(nextval('obj_part_id_seq'), (select id from obj_building_v where zip||'|'||street||'|'||name||'|'||volume = '9220|Sandbänkli|Garage|341.00'), 'P6', 2, 80, 2013,'Elektrospeicherheizung, Durchlauferhitzer WW'),</v>
      </c>
    </row>
    <row r="956" spans="1:8" x14ac:dyDescent="0.25">
      <c r="A956" s="9" t="s">
        <v>1713</v>
      </c>
      <c r="B956" s="9" t="s">
        <v>1106</v>
      </c>
      <c r="C956">
        <v>0</v>
      </c>
      <c r="D956" t="s">
        <v>4080</v>
      </c>
      <c r="E956">
        <v>2013</v>
      </c>
      <c r="F956" s="9"/>
      <c r="H956" s="20" t="str">
        <f t="shared" si="14"/>
        <v>(nextval('obj_part_id_seq'), (select id from obj_building_v where zip||'|'||street||'|'||name||'|'||volume = '9220|Sandbänkli|Garage|341.00'), 'P7', 0, null, 2013,null),</v>
      </c>
    </row>
    <row r="957" spans="1:8" x14ac:dyDescent="0.25">
      <c r="A957" s="9" t="s">
        <v>1713</v>
      </c>
      <c r="B957" s="9" t="s">
        <v>1108</v>
      </c>
      <c r="C957">
        <v>2</v>
      </c>
      <c r="D957">
        <v>80</v>
      </c>
      <c r="E957">
        <v>2013</v>
      </c>
      <c r="F957" s="9" t="s">
        <v>1719</v>
      </c>
      <c r="H957" s="20" t="str">
        <f t="shared" si="14"/>
        <v>(nextval('obj_part_id_seq'), (select id from obj_building_v where zip||'|'||street||'|'||name||'|'||volume = '9220|Sandbänkli|Garage|341.00'), 'P8', 2, 80, 2013,'Ausguss mit KW/WW-Anschluss, Hydrant'),</v>
      </c>
    </row>
    <row r="958" spans="1:8" x14ac:dyDescent="0.25">
      <c r="A958" s="9" t="s">
        <v>1713</v>
      </c>
      <c r="B958" s="9" t="s">
        <v>1110</v>
      </c>
      <c r="C958">
        <v>2</v>
      </c>
      <c r="D958">
        <v>80</v>
      </c>
      <c r="E958">
        <v>2013</v>
      </c>
      <c r="F958" s="9" t="s">
        <v>1720</v>
      </c>
      <c r="H958" s="20" t="str">
        <f t="shared" si="14"/>
        <v>(nextval('obj_part_id_seq'), (select id from obj_building_v where zip||'|'||street||'|'||name||'|'||volume = '9220|Sandbänkli|Garage|341.00'), 'P9', 2, 80, 2013,'Aufputztableau (Asbestverdacht), alte Keramiksicherungen'),</v>
      </c>
    </row>
    <row r="959" spans="1:8" x14ac:dyDescent="0.25">
      <c r="A959" s="9" t="s">
        <v>1713</v>
      </c>
      <c r="B959" s="9" t="s">
        <v>1112</v>
      </c>
      <c r="C959">
        <v>0</v>
      </c>
      <c r="D959" t="s">
        <v>4080</v>
      </c>
      <c r="E959">
        <v>2013</v>
      </c>
      <c r="F959" s="9"/>
      <c r="H959" s="20" t="str">
        <f t="shared" si="14"/>
        <v>(nextval('obj_part_id_seq'), (select id from obj_building_v where zip||'|'||street||'|'||name||'|'||volume = '9220|Sandbänkli|Garage|341.00'), 'P10', 0, null, 2013,null),</v>
      </c>
    </row>
    <row r="960" spans="1:8" x14ac:dyDescent="0.25">
      <c r="A960" s="9" t="s">
        <v>1713</v>
      </c>
      <c r="B960" s="9" t="s">
        <v>1114</v>
      </c>
      <c r="C960">
        <v>4</v>
      </c>
      <c r="D960">
        <v>90</v>
      </c>
      <c r="E960">
        <v>2013</v>
      </c>
      <c r="F960" s="9" t="s">
        <v>1721</v>
      </c>
      <c r="H960" s="20" t="str">
        <f t="shared" si="14"/>
        <v>(nextval('obj_part_id_seq'), (select id from obj_building_v where zip||'|'||street||'|'||name||'|'||volume = '9220|Sandbänkli|Garage|341.00'), 'P11', 4, 90, 2013,'B: Zementboden, W: Heraklit'),</v>
      </c>
    </row>
    <row r="961" spans="1:8" x14ac:dyDescent="0.25">
      <c r="A961" s="9" t="s">
        <v>1713</v>
      </c>
      <c r="B961" s="9" t="s">
        <v>1114</v>
      </c>
      <c r="C961">
        <v>0</v>
      </c>
      <c r="D961" t="s">
        <v>4080</v>
      </c>
      <c r="E961">
        <v>2013</v>
      </c>
      <c r="F961" s="9"/>
      <c r="H961" s="20" t="str">
        <f t="shared" si="14"/>
        <v>(nextval('obj_part_id_seq'), (select id from obj_building_v where zip||'|'||street||'|'||name||'|'||volume = '9220|Sandbänkli|Garage|341.00'), 'P11', 0, null, 2013,null),</v>
      </c>
    </row>
    <row r="962" spans="1:8" x14ac:dyDescent="0.25">
      <c r="A962" s="9" t="s">
        <v>1713</v>
      </c>
      <c r="B962" s="9" t="s">
        <v>1116</v>
      </c>
      <c r="C962">
        <v>0</v>
      </c>
      <c r="D962" t="s">
        <v>4080</v>
      </c>
      <c r="E962">
        <v>2013</v>
      </c>
      <c r="F962" s="9"/>
      <c r="H962" s="20" t="str">
        <f t="shared" si="14"/>
        <v>(nextval('obj_part_id_seq'), (select id from obj_building_v where zip||'|'||street||'|'||name||'|'||volume = '9220|Sandbänkli|Garage|341.00'), 'P12', 0, null, 2013,null),</v>
      </c>
    </row>
    <row r="963" spans="1:8" x14ac:dyDescent="0.25">
      <c r="A963" s="9" t="s">
        <v>1722</v>
      </c>
      <c r="B963" s="9" t="s">
        <v>1127</v>
      </c>
      <c r="C963">
        <v>37</v>
      </c>
      <c r="D963">
        <v>90</v>
      </c>
      <c r="E963">
        <v>2013</v>
      </c>
      <c r="F963" s="9" t="s">
        <v>1192</v>
      </c>
      <c r="H963" s="20" t="str">
        <f t="shared" si="14"/>
        <v>(nextval('obj_part_id_seq'), (select id from obj_building_v where zip||'|'||street||'|'||name||'|'||volume = '9220|Sandbäkli 4|Schulhaus Neubau, Pausenunterstand|11476.00'), 'P48', 37, 90, 2013,'Stahlbeton'),</v>
      </c>
    </row>
    <row r="964" spans="1:8" x14ac:dyDescent="0.25">
      <c r="A964" s="9" t="s">
        <v>1722</v>
      </c>
      <c r="B964" s="9" t="s">
        <v>1129</v>
      </c>
      <c r="C964">
        <v>0</v>
      </c>
      <c r="D964" t="s">
        <v>4080</v>
      </c>
      <c r="E964">
        <v>2013</v>
      </c>
      <c r="F964" s="9"/>
      <c r="H964" s="20" t="str">
        <f t="shared" si="14"/>
        <v>(nextval('obj_part_id_seq'), (select id from obj_building_v where zip||'|'||street||'|'||name||'|'||volume = '9220|Sandbäkli 4|Schulhaus Neubau, Pausenunterstand|11476.00'), 'P49', 0, null, 2013,null),</v>
      </c>
    </row>
    <row r="965" spans="1:8" x14ac:dyDescent="0.25">
      <c r="A965" s="9" t="s">
        <v>1722</v>
      </c>
      <c r="B965" s="9" t="s">
        <v>1097</v>
      </c>
      <c r="C965">
        <v>0</v>
      </c>
      <c r="D965" t="s">
        <v>4080</v>
      </c>
      <c r="E965">
        <v>2013</v>
      </c>
      <c r="F965" s="9"/>
      <c r="H965" s="20" t="str">
        <f t="shared" ref="H965:H1028" si="15">"(nextval('obj_part_id_seq'), (select id from obj_building_v where zip||'|'||street||'|'||name||'|'||volume = '"&amp;A965&amp;"'), '"&amp;B965&amp;"', "&amp;C965&amp;", "&amp;D965&amp;", "&amp;IF(ISBLANK(E965),"null",E965)&amp;","&amp;IF(ISBLANK(F965),"null","'"&amp;F965&amp;"'")&amp;"),"</f>
        <v>(nextval('obj_part_id_seq'), (select id from obj_building_v where zip||'|'||street||'|'||name||'|'||volume = '9220|Sandbäkli 4|Schulhaus Neubau, Pausenunterstand|11476.00'), 'P2', 0, null, 2013,null),</v>
      </c>
    </row>
    <row r="966" spans="1:8" x14ac:dyDescent="0.25">
      <c r="A966" s="9" t="s">
        <v>1722</v>
      </c>
      <c r="B966" s="9" t="s">
        <v>1099</v>
      </c>
      <c r="C966">
        <v>8</v>
      </c>
      <c r="D966">
        <v>90</v>
      </c>
      <c r="E966">
        <v>2013</v>
      </c>
      <c r="F966" s="9" t="s">
        <v>1723</v>
      </c>
      <c r="H966" s="20" t="str">
        <f t="shared" si="15"/>
        <v>(nextval('obj_part_id_seq'), (select id from obj_building_v where zip||'|'||street||'|'||name||'|'||volume = '9220|Sandbäkli 4|Schulhaus Neubau, Pausenunterstand|11476.00'), 'P3', 8, 90, 2013,'extensive Dachbegrünung (vermoost), Zeichnungszimmer mit Dachoblichtern'),</v>
      </c>
    </row>
    <row r="967" spans="1:8" x14ac:dyDescent="0.25">
      <c r="A967" s="9" t="s">
        <v>1722</v>
      </c>
      <c r="B967" s="9" t="s">
        <v>1100</v>
      </c>
      <c r="C967">
        <v>5</v>
      </c>
      <c r="D967">
        <v>90</v>
      </c>
      <c r="E967">
        <v>2013</v>
      </c>
      <c r="F967" s="9" t="s">
        <v>1724</v>
      </c>
      <c r="H967" s="20" t="str">
        <f t="shared" si="15"/>
        <v>(nextval('obj_part_id_seq'), (select id from obj_building_v where zip||'|'||street||'|'||name||'|'||volume = '9220|Sandbäkli 4|Schulhaus Neubau, Pausenunterstand|11476.00'), 'P4', 5, 90, 2013,'Pfosten-Riegel-System und Sichtbeton'),</v>
      </c>
    </row>
    <row r="968" spans="1:8" x14ac:dyDescent="0.25">
      <c r="A968" s="9" t="s">
        <v>1722</v>
      </c>
      <c r="B968" s="9" t="s">
        <v>1102</v>
      </c>
      <c r="C968">
        <v>12</v>
      </c>
      <c r="D968">
        <v>90</v>
      </c>
      <c r="E968">
        <v>2013</v>
      </c>
      <c r="F968" s="9" t="s">
        <v>1725</v>
      </c>
      <c r="H968" s="20" t="str">
        <f t="shared" si="15"/>
        <v>(nextval('obj_part_id_seq'), (select id from obj_building_v where zip||'|'||street||'|'||name||'|'||volume = '9220|Sandbäkli 4|Schulhaus Neubau, Pausenunterstand|11476.00'), 'P5', 12, 90, 2013,'Fenster werden tw. ersetzt da sie blind sind, innere Verdunklung'),</v>
      </c>
    </row>
    <row r="969" spans="1:8" x14ac:dyDescent="0.25">
      <c r="A969" s="9" t="s">
        <v>1722</v>
      </c>
      <c r="B969" s="9" t="s">
        <v>1164</v>
      </c>
      <c r="C969">
        <v>6</v>
      </c>
      <c r="D969">
        <v>90</v>
      </c>
      <c r="E969">
        <v>2013</v>
      </c>
      <c r="F969" s="9" t="s">
        <v>1726</v>
      </c>
      <c r="H969" s="20" t="str">
        <f t="shared" si="15"/>
        <v>(nextval('obj_part_id_seq'), (select id from obj_building_v where zip||'|'||street||'|'||name||'|'||volume = '9220|Sandbäkli 4|Schulhaus Neubau, Pausenunterstand|11476.00'), 'P50', 6, 90, 2013,'Zeitgemässe Installationen und Beleuchtungen'),</v>
      </c>
    </row>
    <row r="970" spans="1:8" x14ac:dyDescent="0.25">
      <c r="A970" s="9" t="s">
        <v>1722</v>
      </c>
      <c r="B970" s="9" t="s">
        <v>1166</v>
      </c>
      <c r="C970">
        <v>1</v>
      </c>
      <c r="D970">
        <v>90</v>
      </c>
      <c r="E970">
        <v>2013</v>
      </c>
      <c r="F970" s="9" t="s">
        <v>1727</v>
      </c>
      <c r="H970" s="20" t="str">
        <f t="shared" si="15"/>
        <v>(nextval('obj_part_id_seq'), (select id from obj_building_v where zip||'|'||street||'|'||name||'|'||volume = '9220|Sandbäkli 4|Schulhaus Neubau, Pausenunterstand|11476.00'), 'P51', 1, 90, 2013,'Gong, Telefon, EDV'),</v>
      </c>
    </row>
    <row r="971" spans="1:8" x14ac:dyDescent="0.25">
      <c r="A971" s="9" t="s">
        <v>1722</v>
      </c>
      <c r="B971" s="9" t="s">
        <v>1104</v>
      </c>
      <c r="C971">
        <v>0</v>
      </c>
      <c r="D971" t="s">
        <v>4080</v>
      </c>
      <c r="E971">
        <v>2013</v>
      </c>
      <c r="F971" s="9" t="s">
        <v>1728</v>
      </c>
      <c r="H971" s="20" t="str">
        <f t="shared" si="15"/>
        <v>(nextval('obj_part_id_seq'), (select id from obj_building_v where zip||'|'||street||'|'||name||'|'||volume = '9220|Sandbäkli 4|Schulhaus Neubau, Pausenunterstand|11476.00'), 'P6', 0, null, 2013,'Fernwärme vom alten Schulhaus'),</v>
      </c>
    </row>
    <row r="972" spans="1:8" x14ac:dyDescent="0.25">
      <c r="A972" s="9" t="s">
        <v>1722</v>
      </c>
      <c r="B972" s="9" t="s">
        <v>1106</v>
      </c>
      <c r="C972">
        <v>3</v>
      </c>
      <c r="D972">
        <v>90</v>
      </c>
      <c r="E972">
        <v>2013</v>
      </c>
      <c r="F972" s="9" t="s">
        <v>1729</v>
      </c>
      <c r="H972" s="20" t="str">
        <f t="shared" si="15"/>
        <v>(nextval('obj_part_id_seq'), (select id from obj_building_v where zip||'|'||street||'|'||name||'|'||volume = '9220|Sandbäkli 4|Schulhaus Neubau, Pausenunterstand|11476.00'), 'P7', 3, 90, 2013,'Konvektoren und Radiatoren mit Thermostaten'),</v>
      </c>
    </row>
    <row r="973" spans="1:8" x14ac:dyDescent="0.25">
      <c r="A973" s="9" t="s">
        <v>1722</v>
      </c>
      <c r="B973" s="9" t="s">
        <v>1108</v>
      </c>
      <c r="C973">
        <v>5</v>
      </c>
      <c r="D973">
        <v>90</v>
      </c>
      <c r="E973">
        <v>2013</v>
      </c>
      <c r="F973" s="9" t="s">
        <v>1730</v>
      </c>
      <c r="H973" s="20" t="str">
        <f t="shared" si="15"/>
        <v>(nextval('obj_part_id_seq'), (select id from obj_building_v where zip||'|'||street||'|'||name||'|'||volume = '9220|Sandbäkli 4|Schulhaus Neubau, Pausenunterstand|11476.00'), 'P8', 5, 90, 2013,'Regenwassernutzung für Toiletten, WM/WT'),</v>
      </c>
    </row>
    <row r="974" spans="1:8" x14ac:dyDescent="0.25">
      <c r="A974" s="9" t="s">
        <v>1722</v>
      </c>
      <c r="B974" s="9" t="s">
        <v>1138</v>
      </c>
      <c r="C974">
        <v>11</v>
      </c>
      <c r="D974">
        <v>90</v>
      </c>
      <c r="E974">
        <v>2013</v>
      </c>
      <c r="F974" s="9" t="s">
        <v>1731</v>
      </c>
      <c r="H974" s="20" t="str">
        <f t="shared" si="15"/>
        <v>(nextval('obj_part_id_seq'), (select id from obj_building_v where zip||'|'||street||'|'||name||'|'||volume = '9220|Sandbäkli 4|Schulhaus Neubau, Pausenunterstand|11476.00'), 'P57', 11, 90, 2013,'Küche, Wandschränke und Arbeitssimse'),</v>
      </c>
    </row>
    <row r="975" spans="1:8" x14ac:dyDescent="0.25">
      <c r="A975" s="9" t="s">
        <v>1722</v>
      </c>
      <c r="B975" s="9" t="s">
        <v>1140</v>
      </c>
      <c r="C975">
        <v>8</v>
      </c>
      <c r="D975">
        <v>90</v>
      </c>
      <c r="E975">
        <v>2013</v>
      </c>
      <c r="F975" s="9" t="s">
        <v>1732</v>
      </c>
      <c r="H975" s="20" t="str">
        <f t="shared" si="15"/>
        <v>(nextval('obj_part_id_seq'), (select id from obj_building_v where zip||'|'||street||'|'||name||'|'||volume = '9220|Sandbäkli 4|Schulhaus Neubau, Pausenunterstand|11476.00'), 'P58', 8, 90, 2013,'B: Parkett, Zement abgeschliffen und eingefärbt (blättert ab ) W: Sichtbeton D: Heraklit- und Akustikdecken'),</v>
      </c>
    </row>
    <row r="976" spans="1:8" x14ac:dyDescent="0.25">
      <c r="A976" s="9" t="s">
        <v>1722</v>
      </c>
      <c r="B976" s="9" t="s">
        <v>1142</v>
      </c>
      <c r="C976">
        <v>0</v>
      </c>
      <c r="D976" t="s">
        <v>4080</v>
      </c>
      <c r="E976">
        <v>2013</v>
      </c>
      <c r="F976" s="9"/>
      <c r="H976" s="20" t="str">
        <f t="shared" si="15"/>
        <v>(nextval('obj_part_id_seq'), (select id from obj_building_v where zip||'|'||street||'|'||name||'|'||volume = '9220|Sandbäkli 4|Schulhaus Neubau, Pausenunterstand|11476.00'), 'P60', 0, null, 2013,null),</v>
      </c>
    </row>
    <row r="977" spans="1:8" x14ac:dyDescent="0.25">
      <c r="A977" s="9" t="s">
        <v>1722</v>
      </c>
      <c r="B977" s="9" t="s">
        <v>1143</v>
      </c>
      <c r="C977">
        <v>4</v>
      </c>
      <c r="D977">
        <v>90</v>
      </c>
      <c r="E977">
        <v>2013</v>
      </c>
      <c r="F977" s="9" t="s">
        <v>1733</v>
      </c>
      <c r="H977" s="20" t="str">
        <f t="shared" si="15"/>
        <v>(nextval('obj_part_id_seq'), (select id from obj_building_v where zip||'|'||street||'|'||name||'|'||volume = '9220|Sandbäkli 4|Schulhaus Neubau, Pausenunterstand|11476.00'), 'P61', 4, 90, 2013,'Lüftungsanlage zentral für Schulküche und dezentral für Klassenzimmer mit Wärmerückgewinnung, Aufzug'),</v>
      </c>
    </row>
    <row r="978" spans="1:8" x14ac:dyDescent="0.25">
      <c r="A978" s="9" t="s">
        <v>1722</v>
      </c>
      <c r="B978" s="9" t="s">
        <v>1144</v>
      </c>
      <c r="C978">
        <v>0</v>
      </c>
      <c r="D978" t="s">
        <v>4080</v>
      </c>
      <c r="E978">
        <v>2013</v>
      </c>
      <c r="F978" s="9"/>
      <c r="H978" s="20" t="str">
        <f t="shared" si="15"/>
        <v>(nextval('obj_part_id_seq'), (select id from obj_building_v where zip||'|'||street||'|'||name||'|'||volume = '9220|Sandbäkli 4|Schulhaus Neubau, Pausenunterstand|11476.00'), 'P62', 0, null, 2013,null),</v>
      </c>
    </row>
    <row r="979" spans="1:8" x14ac:dyDescent="0.25">
      <c r="A979" s="9" t="s">
        <v>1734</v>
      </c>
      <c r="B979" s="9" t="s">
        <v>1127</v>
      </c>
      <c r="C979">
        <v>41</v>
      </c>
      <c r="D979">
        <v>90</v>
      </c>
      <c r="E979">
        <v>2013</v>
      </c>
      <c r="F979" s="9" t="s">
        <v>1735</v>
      </c>
      <c r="H979" s="20" t="str">
        <f t="shared" si="15"/>
        <v>(nextval('obj_part_id_seq'), (select id from obj_building_v where zip||'|'||street||'|'||name||'|'||volume = '8588|Kirchstrasse|Primarschulanlage Schulhaus alt|3609.00'), 'P48', 41, 90, 2013,'Mauerwerk, Holzbalkendecken, tw. Metallstützen, KS im UG'),</v>
      </c>
    </row>
    <row r="980" spans="1:8" x14ac:dyDescent="0.25">
      <c r="A980" s="9" t="s">
        <v>1734</v>
      </c>
      <c r="B980" s="9" t="s">
        <v>1129</v>
      </c>
      <c r="C980">
        <v>0</v>
      </c>
      <c r="D980" t="s">
        <v>4080</v>
      </c>
      <c r="E980">
        <v>2013</v>
      </c>
      <c r="F980" s="9"/>
      <c r="H980" s="20" t="str">
        <f t="shared" si="15"/>
        <v>(nextval('obj_part_id_seq'), (select id from obj_building_v where zip||'|'||street||'|'||name||'|'||volume = '8588|Kirchstrasse|Primarschulanlage Schulhaus alt|3609.00'), 'P49', 0, null, 2013,null),</v>
      </c>
    </row>
    <row r="981" spans="1:8" x14ac:dyDescent="0.25">
      <c r="A981" s="9" t="s">
        <v>1734</v>
      </c>
      <c r="B981" s="9" t="s">
        <v>1097</v>
      </c>
      <c r="C981">
        <v>8</v>
      </c>
      <c r="D981">
        <v>90</v>
      </c>
      <c r="E981">
        <v>2013</v>
      </c>
      <c r="F981" s="9" t="s">
        <v>1736</v>
      </c>
      <c r="H981" s="20" t="str">
        <f t="shared" si="15"/>
        <v>(nextval('obj_part_id_seq'), (select id from obj_building_v where zip||'|'||street||'|'||name||'|'||volume = '8588|Kirchstrasse|Primarschulanlage Schulhaus alt|3609.00'), 'P2', 8, 90, 2013,'Falzziegel, Dachunterseite nicht isoliert'),</v>
      </c>
    </row>
    <row r="982" spans="1:8" x14ac:dyDescent="0.25">
      <c r="A982" s="9" t="s">
        <v>1734</v>
      </c>
      <c r="B982" s="9" t="s">
        <v>1099</v>
      </c>
      <c r="C982">
        <v>0</v>
      </c>
      <c r="D982" t="s">
        <v>4080</v>
      </c>
      <c r="E982">
        <v>2013</v>
      </c>
      <c r="F982" s="9"/>
      <c r="H982" s="20" t="str">
        <f t="shared" si="15"/>
        <v>(nextval('obj_part_id_seq'), (select id from obj_building_v where zip||'|'||street||'|'||name||'|'||volume = '8588|Kirchstrasse|Primarschulanlage Schulhaus alt|3609.00'), 'P3', 0, null, 2013,null),</v>
      </c>
    </row>
    <row r="983" spans="1:8" x14ac:dyDescent="0.25">
      <c r="A983" s="9" t="s">
        <v>1734</v>
      </c>
      <c r="B983" s="9" t="s">
        <v>1100</v>
      </c>
      <c r="C983">
        <v>7</v>
      </c>
      <c r="D983">
        <v>85</v>
      </c>
      <c r="E983">
        <v>2013</v>
      </c>
      <c r="F983" s="9" t="s">
        <v>1737</v>
      </c>
      <c r="H983" s="20" t="str">
        <f t="shared" si="15"/>
        <v>(nextval('obj_part_id_seq'), (select id from obj_building_v where zip||'|'||street||'|'||name||'|'||volume = '8588|Kirchstrasse|Primarschulanlage Schulhaus alt|3609.00'), 'P4', 7, 85, 2013,'Putz, gestrichen mit Kunststeingewänden (tw. Risse und Abplatzungen vorh.)'),</v>
      </c>
    </row>
    <row r="984" spans="1:8" x14ac:dyDescent="0.25">
      <c r="A984" s="9" t="s">
        <v>1734</v>
      </c>
      <c r="B984" s="9" t="s">
        <v>1102</v>
      </c>
      <c r="C984">
        <v>10</v>
      </c>
      <c r="D984">
        <v>80</v>
      </c>
      <c r="E984">
        <v>2013</v>
      </c>
      <c r="F984" s="9" t="s">
        <v>1738</v>
      </c>
      <c r="H984" s="20" t="str">
        <f t="shared" si="15"/>
        <v>(nextval('obj_part_id_seq'), (select id from obj_building_v where zip||'|'||street||'|'||name||'|'||volume = '8588|Kirchstrasse|Primarschulanlage Schulhaus alt|3609.00'), 'P5', 10, 80, 2013,'Holz IV 1992, Holtläden, innere Beschattung, Brüstung niedrig, Aussentüre aus Holz mit Glasfenstern'),</v>
      </c>
    </row>
    <row r="985" spans="1:8" x14ac:dyDescent="0.25">
      <c r="A985" s="9" t="s">
        <v>1734</v>
      </c>
      <c r="B985" s="9" t="s">
        <v>1164</v>
      </c>
      <c r="C985">
        <v>6</v>
      </c>
      <c r="D985">
        <v>90</v>
      </c>
      <c r="E985">
        <v>2013</v>
      </c>
      <c r="F985" s="9" t="s">
        <v>1739</v>
      </c>
      <c r="H985" s="20" t="str">
        <f t="shared" si="15"/>
        <v>(nextval('obj_part_id_seq'), (select id from obj_building_v where zip||'|'||street||'|'||name||'|'||volume = '8588|Kirchstrasse|Primarschulanlage Schulhaus alt|3609.00'), 'P50', 6, 90, 2013,'Aufputztableau (Asbestverdacht), alte Keramiksicherungen, Beleuchtung KZ'),</v>
      </c>
    </row>
    <row r="986" spans="1:8" x14ac:dyDescent="0.25">
      <c r="A986" s="9" t="s">
        <v>1734</v>
      </c>
      <c r="B986" s="9" t="s">
        <v>1166</v>
      </c>
      <c r="C986">
        <v>1</v>
      </c>
      <c r="D986">
        <v>90</v>
      </c>
      <c r="E986">
        <v>2013</v>
      </c>
      <c r="F986" s="9" t="s">
        <v>1740</v>
      </c>
      <c r="H986" s="20" t="str">
        <f t="shared" si="15"/>
        <v>(nextval('obj_part_id_seq'), (select id from obj_building_v where zip||'|'||street||'|'||name||'|'||volume = '8588|Kirchstrasse|Primarschulanlage Schulhaus alt|3609.00'), 'P51', 1, 90, 2013,'Telefon, EDV-Anlage'),</v>
      </c>
    </row>
    <row r="987" spans="1:8" x14ac:dyDescent="0.25">
      <c r="A987" s="9" t="s">
        <v>1734</v>
      </c>
      <c r="B987" s="9" t="s">
        <v>1104</v>
      </c>
      <c r="C987">
        <v>1</v>
      </c>
      <c r="D987">
        <v>90</v>
      </c>
      <c r="E987">
        <v>2013</v>
      </c>
      <c r="F987" s="9" t="s">
        <v>1741</v>
      </c>
      <c r="H987" s="20" t="str">
        <f t="shared" si="15"/>
        <v>(nextval('obj_part_id_seq'), (select id from obj_building_v where zip||'|'||street||'|'||name||'|'||volume = '8588|Kirchstrasse|Primarschulanlage Schulhaus alt|3609.00'), 'P6', 1, 90, 2013,'Gasheizung 2004'),</v>
      </c>
    </row>
    <row r="988" spans="1:8" x14ac:dyDescent="0.25">
      <c r="A988" s="9" t="s">
        <v>1734</v>
      </c>
      <c r="B988" s="9" t="s">
        <v>1106</v>
      </c>
      <c r="C988">
        <v>3</v>
      </c>
      <c r="D988">
        <v>90</v>
      </c>
      <c r="E988">
        <v>2013</v>
      </c>
      <c r="F988" s="9" t="s">
        <v>1107</v>
      </c>
      <c r="H988" s="20" t="str">
        <f t="shared" si="15"/>
        <v>(nextval('obj_part_id_seq'), (select id from obj_building_v where zip||'|'||street||'|'||name||'|'||volume = '8588|Kirchstrasse|Primarschulanlage Schulhaus alt|3609.00'), 'P7', 3, 90, 2013,'Radiatoren mit Thermostaten'),</v>
      </c>
    </row>
    <row r="989" spans="1:8" x14ac:dyDescent="0.25">
      <c r="A989" s="9" t="s">
        <v>1734</v>
      </c>
      <c r="B989" s="9" t="s">
        <v>1108</v>
      </c>
      <c r="C989">
        <v>4</v>
      </c>
      <c r="D989">
        <v>90</v>
      </c>
      <c r="E989">
        <v>2013</v>
      </c>
      <c r="F989" s="9" t="s">
        <v>1742</v>
      </c>
      <c r="H989" s="20" t="str">
        <f t="shared" si="15"/>
        <v>(nextval('obj_part_id_seq'), (select id from obj_building_v where zip||'|'||street||'|'||name||'|'||volume = '8588|Kirchstrasse|Primarschulanlage Schulhaus alt|3609.00'), 'P8', 4, 90, 2013,'Moderne Armaturen mit Mischventilen, Druck Leitungen genügend'),</v>
      </c>
    </row>
    <row r="990" spans="1:8" x14ac:dyDescent="0.25">
      <c r="A990" s="9" t="s">
        <v>1734</v>
      </c>
      <c r="B990" s="9" t="s">
        <v>1138</v>
      </c>
      <c r="C990">
        <v>11</v>
      </c>
      <c r="D990">
        <v>90</v>
      </c>
      <c r="E990">
        <v>2013</v>
      </c>
      <c r="F990" s="9" t="s">
        <v>1743</v>
      </c>
      <c r="H990" s="20" t="str">
        <f t="shared" si="15"/>
        <v>(nextval('obj_part_id_seq'), (select id from obj_building_v where zip||'|'||street||'|'||name||'|'||volume = '8588|Kirchstrasse|Primarschulanlage Schulhaus alt|3609.00'), 'P57', 11, 90, 2013,'Wandschränke, Simse und innere Verglasung, Innentüren aus Holz tw. mit Glaseinsatz'),</v>
      </c>
    </row>
    <row r="991" spans="1:8" x14ac:dyDescent="0.25">
      <c r="A991" s="9" t="s">
        <v>1734</v>
      </c>
      <c r="B991" s="9" t="s">
        <v>1140</v>
      </c>
      <c r="C991">
        <v>8</v>
      </c>
      <c r="D991">
        <v>90</v>
      </c>
      <c r="E991">
        <v>2013</v>
      </c>
      <c r="F991" s="9" t="s">
        <v>1744</v>
      </c>
      <c r="H991" s="20" t="str">
        <f t="shared" si="15"/>
        <v>(nextval('obj_part_id_seq'), (select id from obj_building_v where zip||'|'||street||'|'||name||'|'||volume = '8588|Kirchstrasse|Primarschulanlage Schulhaus alt|3609.00'), 'P58', 8, 90, 2013,'B: Linol, Parkett, Kugelgarnteppich, Keramikplatten und Beton W: Putz, Glasfasertapete D: Akustikdecken'),</v>
      </c>
    </row>
    <row r="992" spans="1:8" x14ac:dyDescent="0.25">
      <c r="A992" s="9" t="s">
        <v>1734</v>
      </c>
      <c r="B992" s="9" t="s">
        <v>1142</v>
      </c>
      <c r="C992">
        <v>0</v>
      </c>
      <c r="D992" t="s">
        <v>4080</v>
      </c>
      <c r="E992">
        <v>2013</v>
      </c>
      <c r="F992" s="9"/>
      <c r="H992" s="20" t="str">
        <f t="shared" si="15"/>
        <v>(nextval('obj_part_id_seq'), (select id from obj_building_v where zip||'|'||street||'|'||name||'|'||volume = '8588|Kirchstrasse|Primarschulanlage Schulhaus alt|3609.00'), 'P60', 0, null, 2013,null),</v>
      </c>
    </row>
    <row r="993" spans="1:8" x14ac:dyDescent="0.25">
      <c r="A993" s="9" t="s">
        <v>1734</v>
      </c>
      <c r="B993" s="9" t="s">
        <v>1143</v>
      </c>
      <c r="C993">
        <v>0</v>
      </c>
      <c r="D993" t="s">
        <v>4080</v>
      </c>
      <c r="E993">
        <v>2013</v>
      </c>
      <c r="F993" s="9"/>
      <c r="H993" s="20" t="str">
        <f t="shared" si="15"/>
        <v>(nextval('obj_part_id_seq'), (select id from obj_building_v where zip||'|'||street||'|'||name||'|'||volume = '8588|Kirchstrasse|Primarschulanlage Schulhaus alt|3609.00'), 'P61', 0, null, 2013,null),</v>
      </c>
    </row>
    <row r="994" spans="1:8" x14ac:dyDescent="0.25">
      <c r="A994" s="9" t="s">
        <v>1734</v>
      </c>
      <c r="B994" s="9" t="s">
        <v>1144</v>
      </c>
      <c r="C994">
        <v>0</v>
      </c>
      <c r="D994" t="s">
        <v>4080</v>
      </c>
      <c r="E994">
        <v>2013</v>
      </c>
      <c r="F994" s="9"/>
      <c r="H994" s="20" t="str">
        <f t="shared" si="15"/>
        <v>(nextval('obj_part_id_seq'), (select id from obj_building_v where zip||'|'||street||'|'||name||'|'||volume = '8588|Kirchstrasse|Primarschulanlage Schulhaus alt|3609.00'), 'P62', 0, null, 2013,null),</v>
      </c>
    </row>
    <row r="995" spans="1:8" x14ac:dyDescent="0.25">
      <c r="A995" s="9" t="s">
        <v>1745</v>
      </c>
      <c r="B995" s="9" t="s">
        <v>1127</v>
      </c>
      <c r="C995">
        <v>41</v>
      </c>
      <c r="D995">
        <v>90</v>
      </c>
      <c r="E995">
        <v>2013</v>
      </c>
      <c r="F995" s="9" t="s">
        <v>1674</v>
      </c>
      <c r="H995" s="20" t="str">
        <f t="shared" si="15"/>
        <v>(nextval('obj_part_id_seq'), (select id from obj_building_v where zip||'|'||street||'|'||name||'|'||volume = '8589|St. Gallerstrasse 4|Primarschulanlage Schulhaus|3742.00'), 'P48', 41, 90, 2013,'Mauerwerk und Holzbalkendecken'),</v>
      </c>
    </row>
    <row r="996" spans="1:8" x14ac:dyDescent="0.25">
      <c r="A996" s="9" t="s">
        <v>1745</v>
      </c>
      <c r="B996" s="9" t="s">
        <v>1129</v>
      </c>
      <c r="C996">
        <v>0</v>
      </c>
      <c r="D996" t="s">
        <v>4080</v>
      </c>
      <c r="E996">
        <v>2013</v>
      </c>
      <c r="F996" s="9"/>
      <c r="H996" s="20" t="str">
        <f t="shared" si="15"/>
        <v>(nextval('obj_part_id_seq'), (select id from obj_building_v where zip||'|'||street||'|'||name||'|'||volume = '8589|St. Gallerstrasse 4|Primarschulanlage Schulhaus|3742.00'), 'P49', 0, null, 2013,null),</v>
      </c>
    </row>
    <row r="997" spans="1:8" x14ac:dyDescent="0.25">
      <c r="A997" s="9" t="s">
        <v>1745</v>
      </c>
      <c r="B997" s="9" t="s">
        <v>1097</v>
      </c>
      <c r="C997">
        <v>8</v>
      </c>
      <c r="D997">
        <v>90</v>
      </c>
      <c r="E997">
        <v>2013</v>
      </c>
      <c r="F997" s="9" t="s">
        <v>1746</v>
      </c>
      <c r="H997" s="20" t="str">
        <f t="shared" si="15"/>
        <v>(nextval('obj_part_id_seq'), (select id from obj_building_v where zip||'|'||street||'|'||name||'|'||volume = '8589|St. Gallerstrasse 4|Primarschulanlage Schulhaus|3742.00'), 'P2', 8, 90, 2013,'Kaltdach mit Biberschwanzziegel'),</v>
      </c>
    </row>
    <row r="998" spans="1:8" x14ac:dyDescent="0.25">
      <c r="A998" s="9" t="s">
        <v>1745</v>
      </c>
      <c r="B998" s="9" t="s">
        <v>1099</v>
      </c>
      <c r="C998">
        <v>0</v>
      </c>
      <c r="D998" t="s">
        <v>4080</v>
      </c>
      <c r="E998">
        <v>2013</v>
      </c>
      <c r="F998" s="9"/>
      <c r="H998" s="20" t="str">
        <f t="shared" si="15"/>
        <v>(nextval('obj_part_id_seq'), (select id from obj_building_v where zip||'|'||street||'|'||name||'|'||volume = '8589|St. Gallerstrasse 4|Primarschulanlage Schulhaus|3742.00'), 'P3', 0, null, 2013,null),</v>
      </c>
    </row>
    <row r="999" spans="1:8" x14ac:dyDescent="0.25">
      <c r="A999" s="9" t="s">
        <v>1745</v>
      </c>
      <c r="B999" s="9" t="s">
        <v>1100</v>
      </c>
      <c r="C999">
        <v>7</v>
      </c>
      <c r="D999">
        <v>90</v>
      </c>
      <c r="E999">
        <v>2013</v>
      </c>
      <c r="F999" s="9" t="s">
        <v>1747</v>
      </c>
      <c r="H999" s="20" t="str">
        <f t="shared" si="15"/>
        <v>(nextval('obj_part_id_seq'), (select id from obj_building_v where zip||'|'||street||'|'||name||'|'||volume = '8589|St. Gallerstrasse 4|Primarschulanlage Schulhaus|3742.00'), 'P4', 7, 90, 2013,'Mauerwerk verputzt mit Natursteingewänden, Aussentüre aus Holz mit Glasfenstern'),</v>
      </c>
    </row>
    <row r="1000" spans="1:8" x14ac:dyDescent="0.25">
      <c r="A1000" s="9" t="s">
        <v>1745</v>
      </c>
      <c r="B1000" s="9" t="s">
        <v>1102</v>
      </c>
      <c r="C1000">
        <v>10</v>
      </c>
      <c r="D1000">
        <v>80</v>
      </c>
      <c r="E1000">
        <v>2013</v>
      </c>
      <c r="F1000" s="9" t="s">
        <v>1748</v>
      </c>
      <c r="H1000" s="20" t="str">
        <f t="shared" si="15"/>
        <v>(nextval('obj_part_id_seq'), (select id from obj_building_v where zip||'|'||street||'|'||name||'|'||volume = '8589|St. Gallerstrasse 4|Primarschulanlage Schulhaus|3742.00'), 'P5', 10, 80, 2013,'Holz-/Metallfenster ''85, Dichtungen schadhaft, Rollläden im EG, Klappläden im OG/DG'),</v>
      </c>
    </row>
    <row r="1001" spans="1:8" x14ac:dyDescent="0.25">
      <c r="A1001" s="9" t="s">
        <v>1745</v>
      </c>
      <c r="B1001" s="9" t="s">
        <v>1164</v>
      </c>
      <c r="C1001">
        <v>6</v>
      </c>
      <c r="D1001">
        <v>90</v>
      </c>
      <c r="E1001">
        <v>2013</v>
      </c>
      <c r="F1001" s="9" t="s">
        <v>1749</v>
      </c>
      <c r="H1001" s="20" t="str">
        <f t="shared" si="15"/>
        <v>(nextval('obj_part_id_seq'), (select id from obj_building_v where zip||'|'||street||'|'||name||'|'||volume = '8589|St. Gallerstrasse 4|Primarschulanlage Schulhaus|3742.00'), 'P50', 6, 90, 2013,'Genügende Absicherung mit FI-Schutzschaltern, tw. Aufputztableau mit alten Keramiksicherungen'),</v>
      </c>
    </row>
    <row r="1002" spans="1:8" x14ac:dyDescent="0.25">
      <c r="A1002" s="9" t="s">
        <v>1745</v>
      </c>
      <c r="B1002" s="9" t="s">
        <v>1166</v>
      </c>
      <c r="C1002">
        <v>1</v>
      </c>
      <c r="D1002">
        <v>90</v>
      </c>
      <c r="E1002">
        <v>2013</v>
      </c>
      <c r="F1002" s="9" t="s">
        <v>1750</v>
      </c>
      <c r="H1002" s="20" t="str">
        <f t="shared" si="15"/>
        <v>(nextval('obj_part_id_seq'), (select id from obj_building_v where zip||'|'||street||'|'||name||'|'||volume = '8589|St. Gallerstrasse 4|Primarschulanlage Schulhaus|3742.00'), 'P51', 1, 90, 2013,'Telefon, EDV-Anlage, Pausenglocke'),</v>
      </c>
    </row>
    <row r="1003" spans="1:8" x14ac:dyDescent="0.25">
      <c r="A1003" s="9" t="s">
        <v>1745</v>
      </c>
      <c r="B1003" s="9" t="s">
        <v>1104</v>
      </c>
      <c r="C1003">
        <v>1</v>
      </c>
      <c r="D1003">
        <v>90</v>
      </c>
      <c r="E1003">
        <v>2013</v>
      </c>
      <c r="F1003" s="9" t="s">
        <v>1751</v>
      </c>
      <c r="H1003" s="20" t="str">
        <f t="shared" si="15"/>
        <v>(nextval('obj_part_id_seq'), (select id from obj_building_v where zip||'|'||street||'|'||name||'|'||volume = '8589|St. Gallerstrasse 4|Primarschulanlage Schulhaus|3742.00'), 'P6', 1, 90, 2013,'Holzschnitzelfeuerungsanlage, 1 Jahr alt, versorgt alle 3 Gebäude'),</v>
      </c>
    </row>
    <row r="1004" spans="1:8" x14ac:dyDescent="0.25">
      <c r="A1004" s="9" t="s">
        <v>1745</v>
      </c>
      <c r="B1004" s="9" t="s">
        <v>1106</v>
      </c>
      <c r="C1004">
        <v>3</v>
      </c>
      <c r="D1004">
        <v>90</v>
      </c>
      <c r="E1004">
        <v>2013</v>
      </c>
      <c r="F1004" s="9" t="s">
        <v>1107</v>
      </c>
      <c r="H1004" s="20" t="str">
        <f t="shared" si="15"/>
        <v>(nextval('obj_part_id_seq'), (select id from obj_building_v where zip||'|'||street||'|'||name||'|'||volume = '8589|St. Gallerstrasse 4|Primarschulanlage Schulhaus|3742.00'), 'P7', 3, 90, 2013,'Radiatoren mit Thermostaten'),</v>
      </c>
    </row>
    <row r="1005" spans="1:8" x14ac:dyDescent="0.25">
      <c r="A1005" s="9" t="s">
        <v>1745</v>
      </c>
      <c r="B1005" s="9" t="s">
        <v>1108</v>
      </c>
      <c r="C1005">
        <v>4</v>
      </c>
      <c r="D1005">
        <v>85</v>
      </c>
      <c r="E1005">
        <v>2013</v>
      </c>
      <c r="F1005" s="9" t="s">
        <v>1752</v>
      </c>
      <c r="H1005" s="20" t="str">
        <f t="shared" si="15"/>
        <v>(nextval('obj_part_id_seq'), (select id from obj_building_v where zip||'|'||street||'|'||name||'|'||volume = '8589|St. Gallerstrasse 4|Primarschulanlage Schulhaus|3742.00'), 'P8', 4, 85, 2013,'Leitungen: Druck genügend, jedoch ev. tw. undicht (Roststellen an Decke), Waschmaschine, Tumbler'),</v>
      </c>
    </row>
    <row r="1006" spans="1:8" x14ac:dyDescent="0.25">
      <c r="A1006" s="9" t="s">
        <v>1745</v>
      </c>
      <c r="B1006" s="9" t="s">
        <v>1138</v>
      </c>
      <c r="C1006">
        <v>11</v>
      </c>
      <c r="D1006">
        <v>85</v>
      </c>
      <c r="E1006">
        <v>2013</v>
      </c>
      <c r="F1006" s="9" t="s">
        <v>1753</v>
      </c>
      <c r="H1006" s="20" t="str">
        <f t="shared" si="15"/>
        <v>(nextval('obj_part_id_seq'), (select id from obj_building_v where zip||'|'||street||'|'||name||'|'||volume = '8589|St. Gallerstrasse 4|Primarschulanlage Schulhaus|3742.00'), 'P57', 11, 85, 2013,'Küche und div. Einbauten aus Holz, Risse im Putz (Treppenhaus u.a)'),</v>
      </c>
    </row>
    <row r="1007" spans="1:8" x14ac:dyDescent="0.25">
      <c r="A1007" s="9" t="s">
        <v>1745</v>
      </c>
      <c r="B1007" s="9" t="s">
        <v>1140</v>
      </c>
      <c r="C1007">
        <v>8</v>
      </c>
      <c r="D1007">
        <v>90</v>
      </c>
      <c r="E1007">
        <v>2013</v>
      </c>
      <c r="F1007" s="9" t="s">
        <v>1754</v>
      </c>
      <c r="H1007" s="20" t="str">
        <f t="shared" si="15"/>
        <v>(nextval('obj_part_id_seq'), (select id from obj_building_v where zip||'|'||street||'|'||name||'|'||volume = '8589|St. Gallerstrasse 4|Primarschulanlage Schulhaus|3742.00'), 'P58', 8, 90, 2013,'B: Keramikplatten, Kugelgarnteppich W: Holz, Putz, gestrichen, Glasfasertapete D: Holz, Anstrich'),</v>
      </c>
    </row>
    <row r="1008" spans="1:8" x14ac:dyDescent="0.25">
      <c r="A1008" s="9" t="s">
        <v>1745</v>
      </c>
      <c r="B1008" s="9" t="s">
        <v>1142</v>
      </c>
      <c r="C1008">
        <v>0</v>
      </c>
      <c r="D1008" t="s">
        <v>4080</v>
      </c>
      <c r="E1008">
        <v>2013</v>
      </c>
      <c r="F1008" s="9"/>
      <c r="H1008" s="20" t="str">
        <f t="shared" si="15"/>
        <v>(nextval('obj_part_id_seq'), (select id from obj_building_v where zip||'|'||street||'|'||name||'|'||volume = '8589|St. Gallerstrasse 4|Primarschulanlage Schulhaus|3742.00'), 'P60', 0, null, 2013,null),</v>
      </c>
    </row>
    <row r="1009" spans="1:8" x14ac:dyDescent="0.25">
      <c r="A1009" s="9" t="s">
        <v>1745</v>
      </c>
      <c r="B1009" s="9" t="s">
        <v>1143</v>
      </c>
      <c r="C1009">
        <v>0</v>
      </c>
      <c r="D1009" t="s">
        <v>4080</v>
      </c>
      <c r="E1009">
        <v>2013</v>
      </c>
      <c r="F1009" s="9"/>
      <c r="H1009" s="20" t="str">
        <f t="shared" si="15"/>
        <v>(nextval('obj_part_id_seq'), (select id from obj_building_v where zip||'|'||street||'|'||name||'|'||volume = '8589|St. Gallerstrasse 4|Primarschulanlage Schulhaus|3742.00'), 'P61', 0, null, 2013,null),</v>
      </c>
    </row>
    <row r="1010" spans="1:8" x14ac:dyDescent="0.25">
      <c r="A1010" s="9" t="s">
        <v>1745</v>
      </c>
      <c r="B1010" s="9" t="s">
        <v>1144</v>
      </c>
      <c r="C1010">
        <v>0</v>
      </c>
      <c r="D1010" t="s">
        <v>4080</v>
      </c>
      <c r="E1010">
        <v>2013</v>
      </c>
      <c r="F1010" s="9"/>
      <c r="H1010" s="20" t="str">
        <f t="shared" si="15"/>
        <v>(nextval('obj_part_id_seq'), (select id from obj_building_v where zip||'|'||street||'|'||name||'|'||volume = '8589|St. Gallerstrasse 4|Primarschulanlage Schulhaus|3742.00'), 'P62', 0, null, 2013,null),</v>
      </c>
    </row>
    <row r="1011" spans="1:8" x14ac:dyDescent="0.25">
      <c r="A1011" s="9" t="s">
        <v>1755</v>
      </c>
      <c r="B1011" s="9" t="s">
        <v>1127</v>
      </c>
      <c r="C1011">
        <v>27</v>
      </c>
      <c r="D1011">
        <v>90</v>
      </c>
      <c r="E1011">
        <v>2013</v>
      </c>
      <c r="F1011" s="9" t="s">
        <v>1756</v>
      </c>
      <c r="H1011" s="20" t="str">
        <f t="shared" si="15"/>
        <v>(nextval('obj_part_id_seq'), (select id from obj_building_v where zip||'|'||street||'|'||name||'|'||volume = '8589|St. Gallerstrasse 6|Kindergarten|1824.00'), 'P48', 27, 90, 2013,'Mauerwerk, Hourdisdecken, Stahlstützen, Holzbalkendecken, Dachstuhl neu'),</v>
      </c>
    </row>
    <row r="1012" spans="1:8" x14ac:dyDescent="0.25">
      <c r="A1012" s="9" t="s">
        <v>1755</v>
      </c>
      <c r="B1012" s="9" t="s">
        <v>1129</v>
      </c>
      <c r="C1012">
        <v>0</v>
      </c>
      <c r="D1012" t="s">
        <v>4080</v>
      </c>
      <c r="E1012">
        <v>2013</v>
      </c>
      <c r="F1012" s="9"/>
      <c r="H1012" s="20" t="str">
        <f t="shared" si="15"/>
        <v>(nextval('obj_part_id_seq'), (select id from obj_building_v where zip||'|'||street||'|'||name||'|'||volume = '8589|St. Gallerstrasse 6|Kindergarten|1824.00'), 'P49', 0, null, 2013,null),</v>
      </c>
    </row>
    <row r="1013" spans="1:8" x14ac:dyDescent="0.25">
      <c r="A1013" s="9" t="s">
        <v>1755</v>
      </c>
      <c r="B1013" s="9" t="s">
        <v>1097</v>
      </c>
      <c r="C1013">
        <v>20</v>
      </c>
      <c r="D1013">
        <v>90</v>
      </c>
      <c r="E1013">
        <v>2013</v>
      </c>
      <c r="F1013" s="9" t="s">
        <v>1757</v>
      </c>
      <c r="H1013" s="20" t="str">
        <f t="shared" si="15"/>
        <v>(nextval('obj_part_id_seq'), (select id from obj_building_v where zip||'|'||street||'|'||name||'|'||volume = '8589|St. Gallerstrasse 6|Kindergarten|1824.00'), 'P2', 20, 90, 2013,'Warmdach, neu, isoliert und ausgebaut, Dacheindeckung aus Falzziegeln, Dachfenster, Vordach Eingang bekiest'),</v>
      </c>
    </row>
    <row r="1014" spans="1:8" x14ac:dyDescent="0.25">
      <c r="A1014" s="9" t="s">
        <v>1755</v>
      </c>
      <c r="B1014" s="9" t="s">
        <v>1099</v>
      </c>
      <c r="C1014">
        <v>0</v>
      </c>
      <c r="D1014" t="s">
        <v>4080</v>
      </c>
      <c r="E1014">
        <v>2013</v>
      </c>
      <c r="F1014" s="9"/>
      <c r="H1014" s="20" t="str">
        <f t="shared" si="15"/>
        <v>(nextval('obj_part_id_seq'), (select id from obj_building_v where zip||'|'||street||'|'||name||'|'||volume = '8589|St. Gallerstrasse 6|Kindergarten|1824.00'), 'P3', 0, null, 2013,null),</v>
      </c>
    </row>
    <row r="1015" spans="1:8" x14ac:dyDescent="0.25">
      <c r="A1015" s="9" t="s">
        <v>1755</v>
      </c>
      <c r="B1015" s="9" t="s">
        <v>1100</v>
      </c>
      <c r="C1015">
        <v>8</v>
      </c>
      <c r="D1015">
        <v>90</v>
      </c>
      <c r="E1015">
        <v>2013</v>
      </c>
      <c r="F1015" s="9" t="s">
        <v>1687</v>
      </c>
      <c r="H1015" s="20" t="str">
        <f t="shared" si="15"/>
        <v>(nextval('obj_part_id_seq'), (select id from obj_building_v where zip||'|'||street||'|'||name||'|'||volume = '8589|St. Gallerstrasse 6|Kindergarten|1824.00'), 'P4', 8, 90, 2013,'Mauerwerk, verputzt mit Kunststeingewänden'),</v>
      </c>
    </row>
    <row r="1016" spans="1:8" x14ac:dyDescent="0.25">
      <c r="A1016" s="9" t="s">
        <v>1755</v>
      </c>
      <c r="B1016" s="9" t="s">
        <v>1102</v>
      </c>
      <c r="C1016">
        <v>14</v>
      </c>
      <c r="D1016">
        <v>80</v>
      </c>
      <c r="E1016">
        <v>2013</v>
      </c>
      <c r="F1016" s="9" t="s">
        <v>1758</v>
      </c>
      <c r="H1016" s="20" t="str">
        <f t="shared" si="15"/>
        <v>(nextval('obj_part_id_seq'), (select id from obj_building_v where zip||'|'||street||'|'||name||'|'||volume = '8589|St. Gallerstrasse 6|Kindergarten|1824.00'), 'P5', 14, 80, 2013,'Holzfenster ''79 nicht IV'),</v>
      </c>
    </row>
    <row r="1017" spans="1:8" x14ac:dyDescent="0.25">
      <c r="A1017" s="9" t="s">
        <v>1755</v>
      </c>
      <c r="B1017" s="9" t="s">
        <v>1110</v>
      </c>
      <c r="C1017">
        <v>4</v>
      </c>
      <c r="D1017">
        <v>90</v>
      </c>
      <c r="E1017">
        <v>2013</v>
      </c>
      <c r="F1017" s="9" t="s">
        <v>1759</v>
      </c>
      <c r="H1017" s="20" t="str">
        <f t="shared" si="15"/>
        <v>(nextval('obj_part_id_seq'), (select id from obj_building_v where zip||'|'||street||'|'||name||'|'||volume = '8589|St. Gallerstrasse 6|Kindergarten|1824.00'), 'P9', 4, 90, 2013,'Tw. alte Keramiksicherungen'),</v>
      </c>
    </row>
    <row r="1018" spans="1:8" x14ac:dyDescent="0.25">
      <c r="A1018" s="9" t="s">
        <v>1755</v>
      </c>
      <c r="B1018" s="9" t="s">
        <v>1104</v>
      </c>
      <c r="C1018">
        <v>0</v>
      </c>
      <c r="D1018" t="s">
        <v>4080</v>
      </c>
      <c r="E1018">
        <v>2013</v>
      </c>
      <c r="F1018" s="9" t="s">
        <v>1235</v>
      </c>
      <c r="H1018" s="20" t="str">
        <f t="shared" si="15"/>
        <v>(nextval('obj_part_id_seq'), (select id from obj_building_v where zip||'|'||street||'|'||name||'|'||volume = '8589|St. Gallerstrasse 6|Kindergarten|1824.00'), 'P6', 0, null, 2013,'Fernwärme'),</v>
      </c>
    </row>
    <row r="1019" spans="1:8" x14ac:dyDescent="0.25">
      <c r="A1019" s="9" t="s">
        <v>1755</v>
      </c>
      <c r="B1019" s="9" t="s">
        <v>1106</v>
      </c>
      <c r="C1019">
        <v>3</v>
      </c>
      <c r="D1019">
        <v>90</v>
      </c>
      <c r="E1019">
        <v>2013</v>
      </c>
      <c r="F1019" s="9" t="s">
        <v>1107</v>
      </c>
      <c r="H1019" s="20" t="str">
        <f t="shared" si="15"/>
        <v>(nextval('obj_part_id_seq'), (select id from obj_building_v where zip||'|'||street||'|'||name||'|'||volume = '8589|St. Gallerstrasse 6|Kindergarten|1824.00'), 'P7', 3, 90, 2013,'Radiatoren mit Thermostaten'),</v>
      </c>
    </row>
    <row r="1020" spans="1:8" x14ac:dyDescent="0.25">
      <c r="A1020" s="9" t="s">
        <v>1755</v>
      </c>
      <c r="B1020" s="9" t="s">
        <v>1135</v>
      </c>
      <c r="C1020">
        <v>1</v>
      </c>
      <c r="D1020">
        <v>90</v>
      </c>
      <c r="E1020">
        <v>2013</v>
      </c>
      <c r="F1020" s="9" t="s">
        <v>1760</v>
      </c>
      <c r="H1020" s="20" t="str">
        <f t="shared" si="15"/>
        <v>(nextval('obj_part_id_seq'), (select id from obj_building_v where zip||'|'||street||'|'||name||'|'||volume = '8589|St. Gallerstrasse 6|Kindergarten|1824.00'), 'P54', 1, 90, 2013,'Zeitgemässe Apparate und Armaturen, jedoch ohne Mischventile'),</v>
      </c>
    </row>
    <row r="1021" spans="1:8" x14ac:dyDescent="0.25">
      <c r="A1021" s="9" t="s">
        <v>1755</v>
      </c>
      <c r="B1021" s="9" t="s">
        <v>1137</v>
      </c>
      <c r="C1021">
        <v>3</v>
      </c>
      <c r="D1021">
        <v>90</v>
      </c>
      <c r="E1021">
        <v>2013</v>
      </c>
      <c r="F1021" s="9" t="s">
        <v>1761</v>
      </c>
      <c r="H1021" s="20" t="str">
        <f t="shared" si="15"/>
        <v>(nextval('obj_part_id_seq'), (select id from obj_building_v where zip||'|'||street||'|'||name||'|'||volume = '8589|St. Gallerstrasse 6|Kindergarten|1824.00'), 'P55', 3, 90, 2013,'Druck genügend'),</v>
      </c>
    </row>
    <row r="1022" spans="1:8" x14ac:dyDescent="0.25">
      <c r="A1022" s="9" t="s">
        <v>1755</v>
      </c>
      <c r="B1022" s="9" t="s">
        <v>1138</v>
      </c>
      <c r="C1022">
        <v>17</v>
      </c>
      <c r="D1022">
        <v>80</v>
      </c>
      <c r="E1022">
        <v>2013</v>
      </c>
      <c r="F1022" s="9" t="s">
        <v>1762</v>
      </c>
      <c r="H1022" s="20" t="str">
        <f t="shared" si="15"/>
        <v>(nextval('obj_part_id_seq'), (select id from obj_building_v where zip||'|'||street||'|'||name||'|'||volume = '8589|St. Gallerstrasse 6|Kindergarten|1824.00'), 'P57', 17, 80, 2013,'Vitrine, Küche, Treppengeländer zu niedrig, Einbauschränke'),</v>
      </c>
    </row>
    <row r="1023" spans="1:8" x14ac:dyDescent="0.25">
      <c r="A1023" s="9" t="s">
        <v>1755</v>
      </c>
      <c r="B1023" s="9" t="s">
        <v>1140</v>
      </c>
      <c r="C1023">
        <v>3</v>
      </c>
      <c r="D1023">
        <v>90</v>
      </c>
      <c r="E1023">
        <v>2013</v>
      </c>
      <c r="F1023" s="9" t="s">
        <v>1763</v>
      </c>
      <c r="H1023" s="20" t="str">
        <f t="shared" si="15"/>
        <v>(nextval('obj_part_id_seq'), (select id from obj_building_v where zip||'|'||street||'|'||name||'|'||volume = '8589|St. Gallerstrasse 6|Kindergarten|1824.00'), 'P58', 3, 90, 2013,'B: Parkett, PVC, Kugelgarnteppich und Korklinol W: Glasfasertapete, Anstrich, D: Täfer, Putz'),</v>
      </c>
    </row>
    <row r="1024" spans="1:8" x14ac:dyDescent="0.25">
      <c r="A1024" s="9" t="s">
        <v>1755</v>
      </c>
      <c r="B1024" s="9" t="s">
        <v>1142</v>
      </c>
      <c r="C1024">
        <v>0</v>
      </c>
      <c r="D1024" t="s">
        <v>4080</v>
      </c>
      <c r="E1024">
        <v>2013</v>
      </c>
      <c r="F1024" s="9"/>
      <c r="H1024" s="20" t="str">
        <f t="shared" si="15"/>
        <v>(nextval('obj_part_id_seq'), (select id from obj_building_v where zip||'|'||street||'|'||name||'|'||volume = '8589|St. Gallerstrasse 6|Kindergarten|1824.00'), 'P60', 0, null, 2013,null),</v>
      </c>
    </row>
    <row r="1025" spans="1:8" x14ac:dyDescent="0.25">
      <c r="A1025" s="9" t="s">
        <v>1755</v>
      </c>
      <c r="B1025" s="9" t="s">
        <v>1143</v>
      </c>
      <c r="C1025">
        <v>0</v>
      </c>
      <c r="D1025" t="s">
        <v>4080</v>
      </c>
      <c r="E1025">
        <v>2013</v>
      </c>
      <c r="F1025" s="9"/>
      <c r="H1025" s="20" t="str">
        <f t="shared" si="15"/>
        <v>(nextval('obj_part_id_seq'), (select id from obj_building_v where zip||'|'||street||'|'||name||'|'||volume = '8589|St. Gallerstrasse 6|Kindergarten|1824.00'), 'P61', 0, null, 2013,null),</v>
      </c>
    </row>
    <row r="1026" spans="1:8" x14ac:dyDescent="0.25">
      <c r="A1026" s="9" t="s">
        <v>1755</v>
      </c>
      <c r="B1026" s="9" t="s">
        <v>1144</v>
      </c>
      <c r="C1026">
        <v>0</v>
      </c>
      <c r="D1026" t="s">
        <v>4080</v>
      </c>
      <c r="E1026">
        <v>2013</v>
      </c>
      <c r="F1026" s="9"/>
      <c r="H1026" s="20" t="str">
        <f t="shared" si="15"/>
        <v>(nextval('obj_part_id_seq'), (select id from obj_building_v where zip||'|'||street||'|'||name||'|'||volume = '8589|St. Gallerstrasse 6|Kindergarten|1824.00'), 'P62', 0, null, 2013,null),</v>
      </c>
    </row>
    <row r="1027" spans="1:8" x14ac:dyDescent="0.25">
      <c r="A1027" s="9" t="s">
        <v>1764</v>
      </c>
      <c r="B1027" s="9" t="s">
        <v>1127</v>
      </c>
      <c r="C1027">
        <v>29</v>
      </c>
      <c r="D1027">
        <v>90</v>
      </c>
      <c r="E1027">
        <v>2013</v>
      </c>
      <c r="F1027" s="9" t="s">
        <v>1765</v>
      </c>
      <c r="H1027" s="20" t="str">
        <f t="shared" si="15"/>
        <v>(nextval('obj_part_id_seq'), (select id from obj_building_v where zip||'|'||street||'|'||name||'|'||volume = '1111|Rathausplatz 1|Rathaus|8051.00'), 'P48', 29, 90, 2013,'Natursteinmauerwerk, verputzt mit Holzbalkendecken'),</v>
      </c>
    </row>
    <row r="1028" spans="1:8" x14ac:dyDescent="0.25">
      <c r="A1028" s="9" t="s">
        <v>1764</v>
      </c>
      <c r="B1028" s="9" t="s">
        <v>1129</v>
      </c>
      <c r="C1028">
        <v>0</v>
      </c>
      <c r="D1028" t="s">
        <v>4080</v>
      </c>
      <c r="E1028">
        <v>2013</v>
      </c>
      <c r="F1028" s="9"/>
      <c r="H1028" s="20" t="str">
        <f t="shared" si="15"/>
        <v>(nextval('obj_part_id_seq'), (select id from obj_building_v where zip||'|'||street||'|'||name||'|'||volume = '1111|Rathausplatz 1|Rathaus|8051.00'), 'P49', 0, null, 2013,null),</v>
      </c>
    </row>
    <row r="1029" spans="1:8" x14ac:dyDescent="0.25">
      <c r="A1029" s="9" t="s">
        <v>1764</v>
      </c>
      <c r="B1029" s="9" t="s">
        <v>1097</v>
      </c>
      <c r="C1029">
        <v>10</v>
      </c>
      <c r="D1029">
        <v>80</v>
      </c>
      <c r="E1029">
        <v>2013</v>
      </c>
      <c r="F1029" s="9" t="s">
        <v>1766</v>
      </c>
      <c r="H1029" s="20" t="str">
        <f t="shared" ref="H1029:H1092" si="16">"(nextval('obj_part_id_seq'), (select id from obj_building_v where zip||'|'||street||'|'||name||'|'||volume = '"&amp;A1029&amp;"'), '"&amp;B1029&amp;"', "&amp;C1029&amp;", "&amp;D1029&amp;", "&amp;IF(ISBLANK(E1029),"null",E1029)&amp;","&amp;IF(ISBLANK(F1029),"null","'"&amp;F1029&amp;"'")&amp;"),"</f>
        <v>(nextval('obj_part_id_seq'), (select id from obj_building_v where zip||'|'||street||'|'||name||'|'||volume = '1111|Rathausplatz 1|Rathaus|8051.00'), 'P2', 10, 80, 2013,'Biberschwanzziegel mit Schindelunterdach, tw. vermost und undicht, mehrere Dachflächenfenster'),</v>
      </c>
    </row>
    <row r="1030" spans="1:8" x14ac:dyDescent="0.25">
      <c r="A1030" s="9" t="s">
        <v>1764</v>
      </c>
      <c r="B1030" s="9" t="s">
        <v>1099</v>
      </c>
      <c r="C1030">
        <v>0</v>
      </c>
      <c r="D1030" t="s">
        <v>4080</v>
      </c>
      <c r="E1030">
        <v>2013</v>
      </c>
      <c r="F1030" s="9"/>
      <c r="H1030" s="20" t="str">
        <f t="shared" si="16"/>
        <v>(nextval('obj_part_id_seq'), (select id from obj_building_v where zip||'|'||street||'|'||name||'|'||volume = '1111|Rathausplatz 1|Rathaus|8051.00'), 'P3', 0, null, 2013,null),</v>
      </c>
    </row>
    <row r="1031" spans="1:8" x14ac:dyDescent="0.25">
      <c r="A1031" s="9" t="s">
        <v>1764</v>
      </c>
      <c r="B1031" s="9" t="s">
        <v>1100</v>
      </c>
      <c r="C1031">
        <v>8</v>
      </c>
      <c r="D1031">
        <v>90</v>
      </c>
      <c r="E1031">
        <v>2013</v>
      </c>
      <c r="F1031" s="9" t="s">
        <v>1767</v>
      </c>
      <c r="H1031" s="20" t="str">
        <f t="shared" si="16"/>
        <v>(nextval('obj_part_id_seq'), (select id from obj_building_v where zip||'|'||street||'|'||name||'|'||volume = '1111|Rathausplatz 1|Rathaus|8051.00'), 'P4', 8, 90, 2013,'Natursteinmauerwerk, verputzt mit Natursteingewände'),</v>
      </c>
    </row>
    <row r="1032" spans="1:8" x14ac:dyDescent="0.25">
      <c r="A1032" s="9" t="s">
        <v>1764</v>
      </c>
      <c r="B1032" s="9" t="s">
        <v>1102</v>
      </c>
      <c r="C1032">
        <v>14</v>
      </c>
      <c r="D1032">
        <v>90</v>
      </c>
      <c r="E1032">
        <v>2013</v>
      </c>
      <c r="F1032" s="9" t="s">
        <v>1768</v>
      </c>
      <c r="H1032" s="20" t="str">
        <f t="shared" si="16"/>
        <v>(nextval('obj_part_id_seq'), (select id from obj_building_v where zip||'|'||street||'|'||name||'|'||volume = '1111|Rathausplatz 1|Rathaus|8051.00'), 'P5', 14, 90, 2013,'Holz (''94), IV, Holz-Metall (''04), IV, RL-Storen'),</v>
      </c>
    </row>
    <row r="1033" spans="1:8" x14ac:dyDescent="0.25">
      <c r="A1033" s="9" t="s">
        <v>1764</v>
      </c>
      <c r="B1033" s="9" t="s">
        <v>1164</v>
      </c>
      <c r="C1033">
        <v>6</v>
      </c>
      <c r="D1033">
        <v>90</v>
      </c>
      <c r="E1033">
        <v>2013</v>
      </c>
      <c r="F1033" s="9" t="s">
        <v>1769</v>
      </c>
      <c r="H1033" s="20" t="str">
        <f t="shared" si="16"/>
        <v>(nextval('obj_part_id_seq'), (select id from obj_building_v where zip||'|'||street||'|'||name||'|'||volume = '1111|Rathausplatz 1|Rathaus|8051.00'), 'P50', 6, 90, 2013,'neuere Sicherungen, Hauptsicherungen z.T. aus Keramik'),</v>
      </c>
    </row>
    <row r="1034" spans="1:8" x14ac:dyDescent="0.25">
      <c r="A1034" s="9" t="s">
        <v>1764</v>
      </c>
      <c r="B1034" s="9" t="s">
        <v>1166</v>
      </c>
      <c r="C1034">
        <v>2</v>
      </c>
      <c r="D1034">
        <v>90</v>
      </c>
      <c r="E1034">
        <v>2013</v>
      </c>
      <c r="F1034" s="9" t="s">
        <v>1770</v>
      </c>
      <c r="H1034" s="20" t="str">
        <f t="shared" si="16"/>
        <v>(nextval('obj_part_id_seq'), (select id from obj_building_v where zip||'|'||street||'|'||name||'|'||volume = '1111|Rathausplatz 1|Rathaus|8051.00'), 'P51', 2, 90, 2013,'BMA, EDV, Telefonanlage'),</v>
      </c>
    </row>
    <row r="1035" spans="1:8" x14ac:dyDescent="0.25">
      <c r="A1035" s="9" t="s">
        <v>1764</v>
      </c>
      <c r="B1035" s="9" t="s">
        <v>1104</v>
      </c>
      <c r="C1035">
        <v>0</v>
      </c>
      <c r="D1035" t="s">
        <v>4080</v>
      </c>
      <c r="E1035">
        <v>2013</v>
      </c>
      <c r="F1035" s="9" t="s">
        <v>1771</v>
      </c>
      <c r="H1035" s="20" t="str">
        <f t="shared" si="16"/>
        <v>(nextval('obj_part_id_seq'), (select id from obj_building_v where zip||'|'||street||'|'||name||'|'||volume = '1111|Rathausplatz 1|Rathaus|8051.00'), 'P6', 0, null, 2013,'Fernwärme, Heizung, Kachelofen im Saal'),</v>
      </c>
    </row>
    <row r="1036" spans="1:8" x14ac:dyDescent="0.25">
      <c r="A1036" s="9" t="s">
        <v>1764</v>
      </c>
      <c r="B1036" s="9" t="s">
        <v>1106</v>
      </c>
      <c r="C1036">
        <v>3</v>
      </c>
      <c r="D1036">
        <v>90</v>
      </c>
      <c r="E1036">
        <v>2013</v>
      </c>
      <c r="F1036" s="9" t="s">
        <v>1107</v>
      </c>
      <c r="H1036" s="20" t="str">
        <f t="shared" si="16"/>
        <v>(nextval('obj_part_id_seq'), (select id from obj_building_v where zip||'|'||street||'|'||name||'|'||volume = '1111|Rathausplatz 1|Rathaus|8051.00'), 'P7', 3, 90, 2013,'Radiatoren mit Thermostaten'),</v>
      </c>
    </row>
    <row r="1037" spans="1:8" x14ac:dyDescent="0.25">
      <c r="A1037" s="9" t="s">
        <v>1764</v>
      </c>
      <c r="B1037" s="9" t="s">
        <v>1108</v>
      </c>
      <c r="C1037">
        <v>4</v>
      </c>
      <c r="D1037">
        <v>80</v>
      </c>
      <c r="E1037">
        <v>2013</v>
      </c>
      <c r="F1037" s="9" t="s">
        <v>1772</v>
      </c>
      <c r="H1037" s="20" t="str">
        <f t="shared" si="16"/>
        <v>(nextval('obj_part_id_seq'), (select id from obj_building_v where zip||'|'||street||'|'||name||'|'||volume = '1111|Rathausplatz 1|Rathaus|8051.00'), 'P8', 4, 80, 2013,'Apparate zeitgemäss und ohne Mängel, Rostwasser bei der Dusche im OG'),</v>
      </c>
    </row>
    <row r="1038" spans="1:8" x14ac:dyDescent="0.25">
      <c r="A1038" s="9" t="s">
        <v>1764</v>
      </c>
      <c r="B1038" s="9" t="s">
        <v>1155</v>
      </c>
      <c r="C1038">
        <v>2</v>
      </c>
      <c r="D1038">
        <v>90</v>
      </c>
      <c r="E1038">
        <v>2013</v>
      </c>
      <c r="F1038" s="9" t="s">
        <v>1773</v>
      </c>
      <c r="H1038" s="20" t="str">
        <f t="shared" si="16"/>
        <v>(nextval('obj_part_id_seq'), (select id from obj_building_v where zip||'|'||street||'|'||name||'|'||volume = '1111|Rathausplatz 1|Rathaus|8051.00'), 'P56', 2, 90, 2013,'Personenaufzug keine Mängel bekannt'),</v>
      </c>
    </row>
    <row r="1039" spans="1:8" x14ac:dyDescent="0.25">
      <c r="A1039" s="9" t="s">
        <v>1764</v>
      </c>
      <c r="B1039" s="9" t="s">
        <v>1138</v>
      </c>
      <c r="C1039">
        <v>14</v>
      </c>
      <c r="D1039">
        <v>90</v>
      </c>
      <c r="E1039">
        <v>2013</v>
      </c>
      <c r="F1039" s="9" t="s">
        <v>1774</v>
      </c>
      <c r="H1039" s="20" t="str">
        <f t="shared" si="16"/>
        <v>(nextval('obj_part_id_seq'), (select id from obj_building_v where zip||'|'||street||'|'||name||'|'||volume = '1111|Rathausplatz 1|Rathaus|8051.00'), 'P57', 14, 90, 2013,'neue Teeküche und ältere Küche mit Herd und Backofen, zusätzliche Küche mit GSP in Wohnung, neuere Innentüre zu Dachraum aus Glas-/Metall, div. Einbauten, Glaswände, Metallglastrennwand im EG'),</v>
      </c>
    </row>
    <row r="1040" spans="1:8" x14ac:dyDescent="0.25">
      <c r="A1040" s="9" t="s">
        <v>1764</v>
      </c>
      <c r="B1040" s="9" t="s">
        <v>1140</v>
      </c>
      <c r="C1040">
        <v>8</v>
      </c>
      <c r="D1040">
        <v>80</v>
      </c>
      <c r="E1040">
        <v>2013</v>
      </c>
      <c r="F1040" s="9" t="s">
        <v>1775</v>
      </c>
      <c r="H1040" s="20" t="str">
        <f t="shared" si="16"/>
        <v>(nextval('obj_part_id_seq'), (select id from obj_building_v where zip||'|'||street||'|'||name||'|'||volume = '1111|Rathausplatz 1|Rathaus|8051.00'), 'P58', 8, 80, 2013,'B: Keramik, Teppich, Laminat, Klinker, Naturstein, Holzplatten, Kunststein, Linol, Kugelgarn, W: Verputz, Rauhfasertapete D: Holz, Verputz, abgehängte Akustikdecken'),</v>
      </c>
    </row>
    <row r="1041" spans="1:8" x14ac:dyDescent="0.25">
      <c r="A1041" s="9" t="s">
        <v>1764</v>
      </c>
      <c r="B1041" s="9" t="s">
        <v>1142</v>
      </c>
      <c r="C1041">
        <v>0</v>
      </c>
      <c r="D1041" t="s">
        <v>4080</v>
      </c>
      <c r="E1041">
        <v>2013</v>
      </c>
      <c r="F1041" s="9"/>
      <c r="H1041" s="20" t="str">
        <f t="shared" si="16"/>
        <v>(nextval('obj_part_id_seq'), (select id from obj_building_v where zip||'|'||street||'|'||name||'|'||volume = '1111|Rathausplatz 1|Rathaus|8051.00'), 'P60', 0, null, 2013,null),</v>
      </c>
    </row>
    <row r="1042" spans="1:8" x14ac:dyDescent="0.25">
      <c r="A1042" s="9" t="s">
        <v>1764</v>
      </c>
      <c r="B1042" s="9" t="s">
        <v>1143</v>
      </c>
      <c r="C1042">
        <v>0</v>
      </c>
      <c r="D1042" t="s">
        <v>4080</v>
      </c>
      <c r="E1042">
        <v>2013</v>
      </c>
      <c r="F1042" s="9"/>
      <c r="H1042" s="20" t="str">
        <f t="shared" si="16"/>
        <v>(nextval('obj_part_id_seq'), (select id from obj_building_v where zip||'|'||street||'|'||name||'|'||volume = '1111|Rathausplatz 1|Rathaus|8051.00'), 'P61', 0, null, 2013,null),</v>
      </c>
    </row>
    <row r="1043" spans="1:8" x14ac:dyDescent="0.25">
      <c r="A1043" s="9" t="s">
        <v>1764</v>
      </c>
      <c r="B1043" s="9" t="s">
        <v>1144</v>
      </c>
      <c r="C1043">
        <v>0</v>
      </c>
      <c r="D1043" t="s">
        <v>4080</v>
      </c>
      <c r="E1043">
        <v>2013</v>
      </c>
      <c r="F1043" s="9"/>
      <c r="H1043" s="20" t="str">
        <f t="shared" si="16"/>
        <v>(nextval('obj_part_id_seq'), (select id from obj_building_v where zip||'|'||street||'|'||name||'|'||volume = '1111|Rathausplatz 1|Rathaus|8051.00'), 'P62', 0, null, 2013,null),</v>
      </c>
    </row>
    <row r="1044" spans="1:8" x14ac:dyDescent="0.25">
      <c r="A1044" s="9" t="s">
        <v>1776</v>
      </c>
      <c r="B1044" s="9" t="s">
        <v>1127</v>
      </c>
      <c r="C1044">
        <v>39</v>
      </c>
      <c r="D1044">
        <v>90</v>
      </c>
      <c r="E1044">
        <v>2013</v>
      </c>
      <c r="F1044" s="9" t="s">
        <v>1777</v>
      </c>
      <c r="H1044" s="20" t="str">
        <f t="shared" si="16"/>
        <v>(nextval('obj_part_id_seq'), (select id from obj_building_v where zip||'|'||street||'|'||name||'|'||volume = '9225|Hoferberg|Primarschulanlage Schulhaus, Turnhalle|6425.00'), 'P48', 39, 90, 2013,'Stahlbeton und Mauerwerk, Dachstuhl aus Holz'),</v>
      </c>
    </row>
    <row r="1045" spans="1:8" x14ac:dyDescent="0.25">
      <c r="A1045" s="9" t="s">
        <v>1776</v>
      </c>
      <c r="B1045" s="9" t="s">
        <v>1129</v>
      </c>
      <c r="C1045">
        <v>0</v>
      </c>
      <c r="D1045" t="s">
        <v>4080</v>
      </c>
      <c r="E1045">
        <v>2013</v>
      </c>
      <c r="F1045" s="9"/>
      <c r="H1045" s="20" t="str">
        <f t="shared" si="16"/>
        <v>(nextval('obj_part_id_seq'), (select id from obj_building_v where zip||'|'||street||'|'||name||'|'||volume = '9225|Hoferberg|Primarschulanlage Schulhaus, Turnhalle|6425.00'), 'P49', 0, null, 2013,null),</v>
      </c>
    </row>
    <row r="1046" spans="1:8" x14ac:dyDescent="0.25">
      <c r="A1046" s="9" t="s">
        <v>1776</v>
      </c>
      <c r="B1046" s="9" t="s">
        <v>1097</v>
      </c>
      <c r="C1046">
        <v>13</v>
      </c>
      <c r="D1046">
        <v>90</v>
      </c>
      <c r="E1046">
        <v>2013</v>
      </c>
      <c r="F1046" s="9" t="s">
        <v>1778</v>
      </c>
      <c r="H1046" s="20" t="str">
        <f t="shared" si="16"/>
        <v>(nextval('obj_part_id_seq'), (select id from obj_building_v where zip||'|'||street||'|'||name||'|'||volume = '9225|Hoferberg|Primarschulanlage Schulhaus, Turnhalle|6425.00'), 'P2', 13, 90, 2013,'Kaltdach aus Stahl und Holzbalken, Dacheindeckung aus Welleternit'),</v>
      </c>
    </row>
    <row r="1047" spans="1:8" x14ac:dyDescent="0.25">
      <c r="A1047" s="9" t="s">
        <v>1776</v>
      </c>
      <c r="B1047" s="9" t="s">
        <v>1099</v>
      </c>
      <c r="C1047">
        <v>0</v>
      </c>
      <c r="D1047" t="s">
        <v>4080</v>
      </c>
      <c r="E1047">
        <v>2013</v>
      </c>
      <c r="F1047" s="9"/>
      <c r="H1047" s="20" t="str">
        <f t="shared" si="16"/>
        <v>(nextval('obj_part_id_seq'), (select id from obj_building_v where zip||'|'||street||'|'||name||'|'||volume = '9225|Hoferberg|Primarschulanlage Schulhaus, Turnhalle|6425.00'), 'P3', 0, null, 2013,null),</v>
      </c>
    </row>
    <row r="1048" spans="1:8" x14ac:dyDescent="0.25">
      <c r="A1048" s="9" t="s">
        <v>1776</v>
      </c>
      <c r="B1048" s="9" t="s">
        <v>1100</v>
      </c>
      <c r="C1048">
        <v>6</v>
      </c>
      <c r="D1048">
        <v>90</v>
      </c>
      <c r="E1048">
        <v>2013</v>
      </c>
      <c r="F1048" s="9" t="s">
        <v>1716</v>
      </c>
      <c r="H1048" s="20" t="str">
        <f t="shared" si="16"/>
        <v>(nextval('obj_part_id_seq'), (select id from obj_building_v where zip||'|'||street||'|'||name||'|'||volume = '9225|Hoferberg|Primarschulanlage Schulhaus, Turnhalle|6425.00'), 'P4', 6, 90, 2013,'Mauerwerk, verputzt'),</v>
      </c>
    </row>
    <row r="1049" spans="1:8" x14ac:dyDescent="0.25">
      <c r="A1049" s="9" t="s">
        <v>1776</v>
      </c>
      <c r="B1049" s="9" t="s">
        <v>1102</v>
      </c>
      <c r="C1049">
        <v>8</v>
      </c>
      <c r="D1049">
        <v>85</v>
      </c>
      <c r="E1049">
        <v>2013</v>
      </c>
      <c r="F1049" s="9" t="s">
        <v>1779</v>
      </c>
      <c r="H1049" s="20" t="str">
        <f t="shared" si="16"/>
        <v>(nextval('obj_part_id_seq'), (select id from obj_building_v where zip||'|'||street||'|'||name||'|'||volume = '9225|Hoferberg|Primarschulanlage Schulhaus, Turnhalle|6425.00'), 'P5', 8, 85, 2013,'Schulhaus ''06, Turnhalle ''99, Rafflamellenstoren'),</v>
      </c>
    </row>
    <row r="1050" spans="1:8" x14ac:dyDescent="0.25">
      <c r="A1050" s="9" t="s">
        <v>1776</v>
      </c>
      <c r="B1050" s="9" t="s">
        <v>1110</v>
      </c>
      <c r="C1050">
        <v>5</v>
      </c>
      <c r="D1050">
        <v>85</v>
      </c>
      <c r="E1050">
        <v>2013</v>
      </c>
      <c r="F1050" s="9" t="s">
        <v>1780</v>
      </c>
      <c r="H1050" s="20" t="str">
        <f t="shared" si="16"/>
        <v>(nextval('obj_part_id_seq'), (select id from obj_building_v where zip||'|'||street||'|'||name||'|'||volume = '9225|Hoferberg|Primarschulanlage Schulhaus, Turnhalle|6425.00'), 'P9', 5, 85, 2013,'Beleuchtung Halle und KZ, tw. alte Keramiksicherungen, Bühnentechnik'),</v>
      </c>
    </row>
    <row r="1051" spans="1:8" x14ac:dyDescent="0.25">
      <c r="A1051" s="9" t="s">
        <v>1776</v>
      </c>
      <c r="B1051" s="9" t="s">
        <v>1104</v>
      </c>
      <c r="C1051">
        <v>0</v>
      </c>
      <c r="D1051" t="s">
        <v>4080</v>
      </c>
      <c r="E1051">
        <v>2013</v>
      </c>
      <c r="F1051" s="9" t="s">
        <v>1781</v>
      </c>
      <c r="H1051" s="20" t="str">
        <f t="shared" si="16"/>
        <v>(nextval('obj_part_id_seq'), (select id from obj_building_v where zip||'|'||street||'|'||name||'|'||volume = '9225|Hoferberg|Primarschulanlage Schulhaus, Turnhalle|6425.00'), 'P6', 0, null, 2013,'Fernwärme vom benachbartem Gebäude'),</v>
      </c>
    </row>
    <row r="1052" spans="1:8" x14ac:dyDescent="0.25">
      <c r="A1052" s="9" t="s">
        <v>1776</v>
      </c>
      <c r="B1052" s="9" t="s">
        <v>1106</v>
      </c>
      <c r="C1052">
        <v>3</v>
      </c>
      <c r="D1052">
        <v>90</v>
      </c>
      <c r="E1052">
        <v>2013</v>
      </c>
      <c r="F1052" s="9" t="s">
        <v>1107</v>
      </c>
      <c r="H1052" s="20" t="str">
        <f t="shared" si="16"/>
        <v>(nextval('obj_part_id_seq'), (select id from obj_building_v where zip||'|'||street||'|'||name||'|'||volume = '9225|Hoferberg|Primarschulanlage Schulhaus, Turnhalle|6425.00'), 'P7', 3, 90, 2013,'Radiatoren mit Thermostaten'),</v>
      </c>
    </row>
    <row r="1053" spans="1:8" x14ac:dyDescent="0.25">
      <c r="A1053" s="9" t="s">
        <v>1776</v>
      </c>
      <c r="B1053" s="9" t="s">
        <v>1403</v>
      </c>
      <c r="C1053">
        <v>0</v>
      </c>
      <c r="D1053" t="s">
        <v>4080</v>
      </c>
      <c r="E1053">
        <v>2013</v>
      </c>
      <c r="F1053" s="9"/>
      <c r="H1053" s="20" t="str">
        <f t="shared" si="16"/>
        <v>(nextval('obj_part_id_seq'), (select id from obj_building_v where zip||'|'||street||'|'||name||'|'||volume = '9225|Hoferberg|Primarschulanlage Schulhaus, Turnhalle|6425.00'), 'P52', 0, null, 2013,null),</v>
      </c>
    </row>
    <row r="1054" spans="1:8" x14ac:dyDescent="0.25">
      <c r="A1054" s="9" t="s">
        <v>1776</v>
      </c>
      <c r="B1054" s="9" t="s">
        <v>1404</v>
      </c>
      <c r="C1054">
        <v>0</v>
      </c>
      <c r="D1054" t="s">
        <v>4080</v>
      </c>
      <c r="E1054">
        <v>2013</v>
      </c>
      <c r="F1054" s="9"/>
      <c r="H1054" s="20" t="str">
        <f t="shared" si="16"/>
        <v>(nextval('obj_part_id_seq'), (select id from obj_building_v where zip||'|'||street||'|'||name||'|'||volume = '9225|Hoferberg|Primarschulanlage Schulhaus, Turnhalle|6425.00'), 'P53', 0, null, 2013,null),</v>
      </c>
    </row>
    <row r="1055" spans="1:8" x14ac:dyDescent="0.25">
      <c r="A1055" s="9" t="s">
        <v>1776</v>
      </c>
      <c r="B1055" s="9" t="s">
        <v>1135</v>
      </c>
      <c r="C1055">
        <v>2</v>
      </c>
      <c r="D1055">
        <v>90</v>
      </c>
      <c r="E1055">
        <v>2013</v>
      </c>
      <c r="F1055" s="9" t="s">
        <v>1782</v>
      </c>
      <c r="H1055" s="20" t="str">
        <f t="shared" si="16"/>
        <v>(nextval('obj_part_id_seq'), (select id from obj_building_v where zip||'|'||street||'|'||name||'|'||volume = '9225|Hoferberg|Primarschulanlage Schulhaus, Turnhalle|6425.00'), 'P54', 2, 90, 2013,'Armaturen schon älter, jedoch funktionstüchtig, Feuerlöschposten'),</v>
      </c>
    </row>
    <row r="1056" spans="1:8" x14ac:dyDescent="0.25">
      <c r="A1056" s="9" t="s">
        <v>1776</v>
      </c>
      <c r="B1056" s="9" t="s">
        <v>1137</v>
      </c>
      <c r="C1056">
        <v>3</v>
      </c>
      <c r="D1056">
        <v>85</v>
      </c>
      <c r="E1056">
        <v>2013</v>
      </c>
      <c r="F1056" s="9" t="s">
        <v>1783</v>
      </c>
      <c r="H1056" s="20" t="str">
        <f t="shared" si="16"/>
        <v>(nextval('obj_part_id_seq'), (select id from obj_building_v where zip||'|'||street||'|'||name||'|'||volume = '9225|Hoferberg|Primarschulanlage Schulhaus, Turnhalle|6425.00'), 'P55', 3, 85, 2013,'Ablauf der Dusche mangelhaft'),</v>
      </c>
    </row>
    <row r="1057" spans="1:8" x14ac:dyDescent="0.25">
      <c r="A1057" s="9" t="s">
        <v>1776</v>
      </c>
      <c r="B1057" s="9" t="s">
        <v>1138</v>
      </c>
      <c r="C1057">
        <v>10</v>
      </c>
      <c r="D1057">
        <v>90</v>
      </c>
      <c r="E1057">
        <v>2013</v>
      </c>
      <c r="F1057" s="9" t="s">
        <v>1784</v>
      </c>
      <c r="H1057" s="20" t="str">
        <f t="shared" si="16"/>
        <v>(nextval('obj_part_id_seq'), (select id from obj_building_v where zip||'|'||street||'|'||name||'|'||volume = '9225|Hoferberg|Primarschulanlage Schulhaus, Turnhalle|6425.00'), 'P57', 10, 90, 2013,'Wandschrank, Arbeitssimse und Garderoben, Bühnenausstattung'),</v>
      </c>
    </row>
    <row r="1058" spans="1:8" x14ac:dyDescent="0.25">
      <c r="A1058" s="9" t="s">
        <v>1776</v>
      </c>
      <c r="B1058" s="9" t="s">
        <v>1140</v>
      </c>
      <c r="C1058">
        <v>11</v>
      </c>
      <c r="D1058">
        <v>90</v>
      </c>
      <c r="E1058">
        <v>2013</v>
      </c>
      <c r="F1058" s="9" t="s">
        <v>1785</v>
      </c>
      <c r="H1058" s="20" t="str">
        <f t="shared" si="16"/>
        <v>(nextval('obj_part_id_seq'), (select id from obj_building_v where zip||'|'||street||'|'||name||'|'||volume = '9225|Hoferberg|Primarschulanlage Schulhaus, Turnhalle|6425.00'), 'P58', 11, 90, 2013,'B: Laminat, Parkett (Bühne) Linol und Kunststeinplatten  D: Holz (Pavatex), Heraklitdecken, Anstrich, W: Putz, Anstrich'),</v>
      </c>
    </row>
    <row r="1059" spans="1:8" x14ac:dyDescent="0.25">
      <c r="A1059" s="9" t="s">
        <v>1776</v>
      </c>
      <c r="B1059" s="9" t="s">
        <v>1142</v>
      </c>
      <c r="C1059">
        <v>0</v>
      </c>
      <c r="D1059" t="s">
        <v>4080</v>
      </c>
      <c r="E1059">
        <v>2013</v>
      </c>
      <c r="F1059" s="9"/>
      <c r="H1059" s="20" t="str">
        <f t="shared" si="16"/>
        <v>(nextval('obj_part_id_seq'), (select id from obj_building_v where zip||'|'||street||'|'||name||'|'||volume = '9225|Hoferberg|Primarschulanlage Schulhaus, Turnhalle|6425.00'), 'P60', 0, null, 2013,null),</v>
      </c>
    </row>
    <row r="1060" spans="1:8" x14ac:dyDescent="0.25">
      <c r="A1060" s="9" t="s">
        <v>1776</v>
      </c>
      <c r="B1060" s="9" t="s">
        <v>1143</v>
      </c>
      <c r="C1060">
        <v>0</v>
      </c>
      <c r="D1060" t="s">
        <v>4080</v>
      </c>
      <c r="E1060">
        <v>2013</v>
      </c>
      <c r="F1060" s="9"/>
      <c r="H1060" s="20" t="str">
        <f t="shared" si="16"/>
        <v>(nextval('obj_part_id_seq'), (select id from obj_building_v where zip||'|'||street||'|'||name||'|'||volume = '9225|Hoferberg|Primarschulanlage Schulhaus, Turnhalle|6425.00'), 'P61', 0, null, 2013,null),</v>
      </c>
    </row>
    <row r="1061" spans="1:8" x14ac:dyDescent="0.25">
      <c r="A1061" s="9" t="s">
        <v>1776</v>
      </c>
      <c r="B1061" s="9" t="s">
        <v>1144</v>
      </c>
      <c r="C1061">
        <v>0</v>
      </c>
      <c r="D1061" t="s">
        <v>4080</v>
      </c>
      <c r="E1061">
        <v>2013</v>
      </c>
      <c r="F1061" s="9"/>
      <c r="H1061" s="20" t="str">
        <f t="shared" si="16"/>
        <v>(nextval('obj_part_id_seq'), (select id from obj_building_v where zip||'|'||street||'|'||name||'|'||volume = '9225|Hoferberg|Primarschulanlage Schulhaus, Turnhalle|6425.00'), 'P62', 0, null, 2013,null),</v>
      </c>
    </row>
    <row r="1062" spans="1:8" x14ac:dyDescent="0.25">
      <c r="A1062" s="9" t="s">
        <v>1786</v>
      </c>
      <c r="B1062" s="9" t="s">
        <v>1127</v>
      </c>
      <c r="C1062">
        <v>40</v>
      </c>
      <c r="D1062">
        <v>90</v>
      </c>
      <c r="E1062">
        <v>2013</v>
      </c>
      <c r="F1062" s="9" t="s">
        <v>1787</v>
      </c>
      <c r="H1062" s="20" t="str">
        <f t="shared" si="16"/>
        <v>(nextval('obj_part_id_seq'), (select id from obj_building_v where zip||'|'||street||'|'||name||'|'||volume = '9225|Hoferberg|Primarschulanlage Schulhaus, Wohnungen|2719.00'), 'P48', 40, 90, 2013,'Mauerwerk mit Holzbalkendecken'),</v>
      </c>
    </row>
    <row r="1063" spans="1:8" x14ac:dyDescent="0.25">
      <c r="A1063" s="9" t="s">
        <v>1786</v>
      </c>
      <c r="B1063" s="9" t="s">
        <v>1129</v>
      </c>
      <c r="C1063">
        <v>0</v>
      </c>
      <c r="D1063" t="s">
        <v>4080</v>
      </c>
      <c r="E1063">
        <v>2013</v>
      </c>
      <c r="F1063" s="9"/>
      <c r="H1063" s="20" t="str">
        <f t="shared" si="16"/>
        <v>(nextval('obj_part_id_seq'), (select id from obj_building_v where zip||'|'||street||'|'||name||'|'||volume = '9225|Hoferberg|Primarschulanlage Schulhaus, Wohnungen|2719.00'), 'P49', 0, null, 2013,null),</v>
      </c>
    </row>
    <row r="1064" spans="1:8" x14ac:dyDescent="0.25">
      <c r="A1064" s="9" t="s">
        <v>1786</v>
      </c>
      <c r="B1064" s="9" t="s">
        <v>1097</v>
      </c>
      <c r="C1064">
        <v>7</v>
      </c>
      <c r="D1064">
        <v>90</v>
      </c>
      <c r="E1064">
        <v>2013</v>
      </c>
      <c r="F1064" s="9" t="s">
        <v>1788</v>
      </c>
      <c r="H1064" s="20" t="str">
        <f t="shared" si="16"/>
        <v>(nextval('obj_part_id_seq'), (select id from obj_building_v where zip||'|'||street||'|'||name||'|'||volume = '9225|Hoferberg|Primarschulanlage Schulhaus, Wohnungen|2719.00'), 'P2', 7, 90, 2013,'Ein Zimmer ausgebaut und isoliert, sonst Kaltdach, Dacheindeckung aus Bieberschwanzziegeln, Wasserflecken beim Unterdach!'),</v>
      </c>
    </row>
    <row r="1065" spans="1:8" x14ac:dyDescent="0.25">
      <c r="A1065" s="9" t="s">
        <v>1786</v>
      </c>
      <c r="B1065" s="9" t="s">
        <v>1099</v>
      </c>
      <c r="C1065">
        <v>2</v>
      </c>
      <c r="D1065">
        <v>85</v>
      </c>
      <c r="E1065">
        <v>2013</v>
      </c>
      <c r="F1065" s="9" t="s">
        <v>1789</v>
      </c>
      <c r="H1065" s="20" t="str">
        <f t="shared" si="16"/>
        <v>(nextval('obj_part_id_seq'), (select id from obj_building_v where zip||'|'||street||'|'||name||'|'||volume = '9225|Hoferberg|Primarschulanlage Schulhaus, Wohnungen|2719.00'), 'P3', 2, 85, 2013,'Terrasse, Zementplatten, tw. Nacktdach (vermoost)'),</v>
      </c>
    </row>
    <row r="1066" spans="1:8" x14ac:dyDescent="0.25">
      <c r="A1066" s="9" t="s">
        <v>1786</v>
      </c>
      <c r="B1066" s="9" t="s">
        <v>1100</v>
      </c>
      <c r="C1066">
        <v>7</v>
      </c>
      <c r="D1066">
        <v>90</v>
      </c>
      <c r="E1066">
        <v>2013</v>
      </c>
      <c r="F1066" s="9" t="s">
        <v>1790</v>
      </c>
      <c r="H1066" s="20" t="str">
        <f t="shared" si="16"/>
        <v>(nextval('obj_part_id_seq'), (select id from obj_building_v where zip||'|'||street||'|'||name||'|'||volume = '9225|Hoferberg|Primarschulanlage Schulhaus, Wohnungen|2719.00'), 'P4', 7, 90, 2013,'Spritzputz und Natursteingewände'),</v>
      </c>
    </row>
    <row r="1067" spans="1:8" x14ac:dyDescent="0.25">
      <c r="A1067" s="9" t="s">
        <v>1786</v>
      </c>
      <c r="B1067" s="9" t="s">
        <v>1102</v>
      </c>
      <c r="C1067">
        <v>10</v>
      </c>
      <c r="D1067">
        <v>80</v>
      </c>
      <c r="E1067">
        <v>2013</v>
      </c>
      <c r="F1067" s="9" t="s">
        <v>1791</v>
      </c>
      <c r="H1067" s="20" t="str">
        <f t="shared" si="16"/>
        <v>(nextval('obj_part_id_seq'), (select id from obj_building_v where zip||'|'||street||'|'||name||'|'||volume = '9225|Hoferberg|Primarschulanlage Schulhaus, Wohnungen|2719.00'), 'P5', 10, 80, 2013,'Doppelverglasung, ''91/''94''/''06, Holzläden (tw. verwittert), ältere Markise, Rafflamellenstoren Aussentüre aus Holz (undicht)'),</v>
      </c>
    </row>
    <row r="1068" spans="1:8" x14ac:dyDescent="0.25">
      <c r="A1068" s="9" t="s">
        <v>1786</v>
      </c>
      <c r="B1068" s="9" t="s">
        <v>1164</v>
      </c>
      <c r="C1068">
        <v>6</v>
      </c>
      <c r="D1068">
        <v>85</v>
      </c>
      <c r="E1068">
        <v>2013</v>
      </c>
      <c r="F1068" s="9" t="s">
        <v>1792</v>
      </c>
      <c r="H1068" s="20" t="str">
        <f t="shared" si="16"/>
        <v>(nextval('obj_part_id_seq'), (select id from obj_building_v where zip||'|'||street||'|'||name||'|'||volume = '9225|Hoferberg|Primarschulanlage Schulhaus, Wohnungen|2719.00'), 'P50', 6, 85, 2013,'Beleuchtung, Aufputztableau (Asbestverdacht), tw. alte Keramiksicherungen, tw. mit FI-Schalter'),</v>
      </c>
    </row>
    <row r="1069" spans="1:8" x14ac:dyDescent="0.25">
      <c r="A1069" s="9" t="s">
        <v>1786</v>
      </c>
      <c r="B1069" s="9" t="s">
        <v>1166</v>
      </c>
      <c r="C1069">
        <v>1</v>
      </c>
      <c r="D1069">
        <v>90</v>
      </c>
      <c r="E1069">
        <v>2013</v>
      </c>
      <c r="F1069" s="9" t="s">
        <v>1793</v>
      </c>
      <c r="H1069" s="20" t="str">
        <f t="shared" si="16"/>
        <v>(nextval('obj_part_id_seq'), (select id from obj_building_v where zip||'|'||street||'|'||name||'|'||volume = '9225|Hoferberg|Primarschulanlage Schulhaus, Wohnungen|2719.00'), 'P51', 1, 90, 2013,'Telefon, TV und EDV in der HW-Wohnung'),</v>
      </c>
    </row>
    <row r="1070" spans="1:8" x14ac:dyDescent="0.25">
      <c r="A1070" s="9" t="s">
        <v>1786</v>
      </c>
      <c r="B1070" s="9" t="s">
        <v>1104</v>
      </c>
      <c r="C1070">
        <v>1</v>
      </c>
      <c r="D1070">
        <v>90</v>
      </c>
      <c r="E1070">
        <v>2013</v>
      </c>
      <c r="F1070" s="9" t="s">
        <v>1794</v>
      </c>
      <c r="H1070" s="20" t="str">
        <f t="shared" si="16"/>
        <v>(nextval('obj_part_id_seq'), (select id from obj_building_v where zip||'|'||street||'|'||name||'|'||volume = '9225|Hoferberg|Primarschulanlage Schulhaus, Wohnungen|2719.00'), 'P6', 1, 90, 2013,'Ölheizung ''01, heizt zusätzlich Schulhaus und Turnhalle'),</v>
      </c>
    </row>
    <row r="1071" spans="1:8" x14ac:dyDescent="0.25">
      <c r="A1071" s="9" t="s">
        <v>1786</v>
      </c>
      <c r="B1071" s="9" t="s">
        <v>1106</v>
      </c>
      <c r="C1071">
        <v>3</v>
      </c>
      <c r="D1071">
        <v>90</v>
      </c>
      <c r="E1071">
        <v>2013</v>
      </c>
      <c r="F1071" s="9" t="s">
        <v>1107</v>
      </c>
      <c r="H1071" s="20" t="str">
        <f t="shared" si="16"/>
        <v>(nextval('obj_part_id_seq'), (select id from obj_building_v where zip||'|'||street||'|'||name||'|'||volume = '9225|Hoferberg|Primarschulanlage Schulhaus, Wohnungen|2719.00'), 'P7', 3, 90, 2013,'Radiatoren mit Thermostaten'),</v>
      </c>
    </row>
    <row r="1072" spans="1:8" x14ac:dyDescent="0.25">
      <c r="A1072" s="9" t="s">
        <v>1786</v>
      </c>
      <c r="B1072" s="9" t="s">
        <v>1108</v>
      </c>
      <c r="C1072">
        <v>4</v>
      </c>
      <c r="D1072">
        <v>85</v>
      </c>
      <c r="E1072">
        <v>2013</v>
      </c>
      <c r="F1072" s="9" t="s">
        <v>1795</v>
      </c>
      <c r="H1072" s="20" t="str">
        <f t="shared" si="16"/>
        <v>(nextval('obj_part_id_seq'), (select id from obj_building_v where zip||'|'||street||'|'||name||'|'||volume = '9225|Hoferberg|Primarschulanlage Schulhaus, Wohnungen|2719.00'), 'P8', 4, 85, 2013,'Dusche, WM/WT, Apparate und Armaturen älter, ohne Mischventile'),</v>
      </c>
    </row>
    <row r="1073" spans="1:8" x14ac:dyDescent="0.25">
      <c r="A1073" s="9" t="s">
        <v>1786</v>
      </c>
      <c r="B1073" s="9" t="s">
        <v>1138</v>
      </c>
      <c r="C1073">
        <v>11</v>
      </c>
      <c r="D1073">
        <v>80</v>
      </c>
      <c r="E1073">
        <v>2013</v>
      </c>
      <c r="F1073" s="9" t="s">
        <v>1796</v>
      </c>
      <c r="H1073" s="20" t="str">
        <f t="shared" si="16"/>
        <v>(nextval('obj_part_id_seq'), (select id from obj_building_v where zip||'|'||street||'|'||name||'|'||volume = '9225|Hoferberg|Primarschulanlage Schulhaus, Wohnungen|2719.00'), 'P57', 11, 80, 2013,'Einbauschränke, Holzgeländer (Höhe kontrollieren), Einbauküchen'),</v>
      </c>
    </row>
    <row r="1074" spans="1:8" x14ac:dyDescent="0.25">
      <c r="A1074" s="9" t="s">
        <v>1786</v>
      </c>
      <c r="B1074" s="9" t="s">
        <v>1140</v>
      </c>
      <c r="C1074">
        <v>8</v>
      </c>
      <c r="D1074">
        <v>80</v>
      </c>
      <c r="E1074">
        <v>2013</v>
      </c>
      <c r="F1074" s="9" t="s">
        <v>1797</v>
      </c>
      <c r="H1074" s="20" t="str">
        <f t="shared" si="16"/>
        <v>(nextval('obj_part_id_seq'), (select id from obj_building_v where zip||'|'||street||'|'||name||'|'||volume = '9225|Hoferberg|Primarschulanlage Schulhaus, Wohnungen|2719.00'), 'P58', 8, 80, 2013,'B: Linol, Parkett, Keramik, Teppich, Beton (Keller) und Teppich W: Glasfasertapete, Kermaikplatten und Putz D: Verputzt und Holztäfer'),</v>
      </c>
    </row>
    <row r="1075" spans="1:8" x14ac:dyDescent="0.25">
      <c r="A1075" s="9" t="s">
        <v>1786</v>
      </c>
      <c r="B1075" s="9" t="s">
        <v>1142</v>
      </c>
      <c r="C1075">
        <v>0</v>
      </c>
      <c r="D1075" t="s">
        <v>4080</v>
      </c>
      <c r="E1075">
        <v>2013</v>
      </c>
      <c r="F1075" s="9"/>
      <c r="H1075" s="20" t="str">
        <f t="shared" si="16"/>
        <v>(nextval('obj_part_id_seq'), (select id from obj_building_v where zip||'|'||street||'|'||name||'|'||volume = '9225|Hoferberg|Primarschulanlage Schulhaus, Wohnungen|2719.00'), 'P60', 0, null, 2013,null),</v>
      </c>
    </row>
    <row r="1076" spans="1:8" x14ac:dyDescent="0.25">
      <c r="A1076" s="9" t="s">
        <v>1786</v>
      </c>
      <c r="B1076" s="9" t="s">
        <v>1143</v>
      </c>
      <c r="C1076">
        <v>0</v>
      </c>
      <c r="D1076" t="s">
        <v>4080</v>
      </c>
      <c r="E1076">
        <v>2013</v>
      </c>
      <c r="F1076" s="9"/>
      <c r="H1076" s="20" t="str">
        <f t="shared" si="16"/>
        <v>(nextval('obj_part_id_seq'), (select id from obj_building_v where zip||'|'||street||'|'||name||'|'||volume = '9225|Hoferberg|Primarschulanlage Schulhaus, Wohnungen|2719.00'), 'P61', 0, null, 2013,null),</v>
      </c>
    </row>
    <row r="1077" spans="1:8" x14ac:dyDescent="0.25">
      <c r="A1077" s="9" t="s">
        <v>1786</v>
      </c>
      <c r="B1077" s="9" t="s">
        <v>1144</v>
      </c>
      <c r="C1077">
        <v>0</v>
      </c>
      <c r="D1077" t="s">
        <v>4080</v>
      </c>
      <c r="E1077">
        <v>2013</v>
      </c>
      <c r="F1077" s="9"/>
      <c r="H1077" s="20" t="str">
        <f t="shared" si="16"/>
        <v>(nextval('obj_part_id_seq'), (select id from obj_building_v where zip||'|'||street||'|'||name||'|'||volume = '9225|Hoferberg|Primarschulanlage Schulhaus, Wohnungen|2719.00'), 'P62', 0, null, 2013,null),</v>
      </c>
    </row>
    <row r="1078" spans="1:8" x14ac:dyDescent="0.25">
      <c r="A1078" s="9" t="s">
        <v>1798</v>
      </c>
      <c r="B1078" s="9" t="s">
        <v>1127</v>
      </c>
      <c r="C1078">
        <v>42</v>
      </c>
      <c r="D1078">
        <v>85</v>
      </c>
      <c r="E1078">
        <v>2013</v>
      </c>
      <c r="F1078" s="9" t="s">
        <v>1799</v>
      </c>
      <c r="H1078" s="20" t="str">
        <f t="shared" si="16"/>
        <v>(nextval('obj_part_id_seq'), (select id from obj_building_v where zip||'|'||street||'|'||name||'|'||volume = '9220|Blidegg|Primarschulanlage Schulpavillon|596.00'), 'P48', 42, 85, 2013,'Holzständerbau auf Streifenfundamenten'),</v>
      </c>
    </row>
    <row r="1079" spans="1:8" x14ac:dyDescent="0.25">
      <c r="A1079" s="9" t="s">
        <v>1798</v>
      </c>
      <c r="B1079" s="9" t="s">
        <v>1129</v>
      </c>
      <c r="C1079">
        <v>0</v>
      </c>
      <c r="D1079" t="s">
        <v>4080</v>
      </c>
      <c r="E1079">
        <v>2013</v>
      </c>
      <c r="F1079" s="9"/>
      <c r="H1079" s="20" t="str">
        <f t="shared" si="16"/>
        <v>(nextval('obj_part_id_seq'), (select id from obj_building_v where zip||'|'||street||'|'||name||'|'||volume = '9220|Blidegg|Primarschulanlage Schulpavillon|596.00'), 'P49', 0, null, 2013,null),</v>
      </c>
    </row>
    <row r="1080" spans="1:8" x14ac:dyDescent="0.25">
      <c r="A1080" s="9" t="s">
        <v>1798</v>
      </c>
      <c r="B1080" s="9" t="s">
        <v>1097</v>
      </c>
      <c r="C1080">
        <v>8</v>
      </c>
      <c r="D1080">
        <v>90</v>
      </c>
      <c r="E1080">
        <v>2013</v>
      </c>
      <c r="F1080" s="9" t="s">
        <v>1800</v>
      </c>
      <c r="H1080" s="20" t="str">
        <f t="shared" si="16"/>
        <v>(nextval('obj_part_id_seq'), (select id from obj_building_v where zip||'|'||street||'|'||name||'|'||volume = '9220|Blidegg|Primarschulanlage Schulpavillon|596.00'), 'P2', 8, 90, 2013,'Dacheindeckung aus Falzziegeln, Spenglerarbeiten i.O.'),</v>
      </c>
    </row>
    <row r="1081" spans="1:8" x14ac:dyDescent="0.25">
      <c r="A1081" s="9" t="s">
        <v>1798</v>
      </c>
      <c r="B1081" s="9" t="s">
        <v>1099</v>
      </c>
      <c r="C1081">
        <v>0</v>
      </c>
      <c r="D1081" t="s">
        <v>4080</v>
      </c>
      <c r="E1081">
        <v>2013</v>
      </c>
      <c r="F1081" s="9"/>
      <c r="H1081" s="20" t="str">
        <f t="shared" si="16"/>
        <v>(nextval('obj_part_id_seq'), (select id from obj_building_v where zip||'|'||street||'|'||name||'|'||volume = '9220|Blidegg|Primarschulanlage Schulpavillon|596.00'), 'P3', 0, null, 2013,null),</v>
      </c>
    </row>
    <row r="1082" spans="1:8" x14ac:dyDescent="0.25">
      <c r="A1082" s="9" t="s">
        <v>1798</v>
      </c>
      <c r="B1082" s="9" t="s">
        <v>1100</v>
      </c>
      <c r="C1082">
        <v>7</v>
      </c>
      <c r="D1082">
        <v>80</v>
      </c>
      <c r="E1082">
        <v>2013</v>
      </c>
      <c r="F1082" s="9" t="s">
        <v>1801</v>
      </c>
      <c r="H1082" s="20" t="str">
        <f t="shared" si="16"/>
        <v>(nextval('obj_part_id_seq'), (select id from obj_building_v where zip||'|'||street||'|'||name||'|'||volume = '9220|Blidegg|Primarschulanlage Schulpavillon|596.00'), 'P4', 7, 80, 2013,'Aussenwärmedämmung (80er Jahre),  Putz (Riss vorh., Verfärbungen) und Holzwerkstoffplatten'),</v>
      </c>
    </row>
    <row r="1083" spans="1:8" x14ac:dyDescent="0.25">
      <c r="A1083" s="9" t="s">
        <v>1798</v>
      </c>
      <c r="B1083" s="9" t="s">
        <v>1102</v>
      </c>
      <c r="C1083">
        <v>10</v>
      </c>
      <c r="D1083">
        <v>80</v>
      </c>
      <c r="E1083">
        <v>2013</v>
      </c>
      <c r="F1083" s="9" t="s">
        <v>1802</v>
      </c>
      <c r="H1083" s="20" t="str">
        <f t="shared" si="16"/>
        <v>(nextval('obj_part_id_seq'), (select id from obj_building_v where zip||'|'||street||'|'||name||'|'||volume = '9220|Blidegg|Primarschulanlage Schulpavillon|596.00'), 'P5', 10, 80, 2013,'Holzfenster (Alter unbekannt), Rafflamellenstoren, Aussentüre aus Holz mit Glaseinsatz'),</v>
      </c>
    </row>
    <row r="1084" spans="1:8" x14ac:dyDescent="0.25">
      <c r="A1084" s="9" t="s">
        <v>1798</v>
      </c>
      <c r="B1084" s="9" t="s">
        <v>1164</v>
      </c>
      <c r="C1084">
        <v>6</v>
      </c>
      <c r="D1084">
        <v>80</v>
      </c>
      <c r="E1084">
        <v>2013</v>
      </c>
      <c r="F1084" s="9" t="s">
        <v>1803</v>
      </c>
      <c r="H1084" s="20" t="str">
        <f t="shared" si="16"/>
        <v>(nextval('obj_part_id_seq'), (select id from obj_building_v where zip||'|'||street||'|'||name||'|'||volume = '9220|Blidegg|Primarschulanlage Schulpavillon|596.00'), 'P50', 6, 80, 2013,'Beleuchtung, tw. schwach abgesichert (Stromausfälle)'),</v>
      </c>
    </row>
    <row r="1085" spans="1:8" x14ac:dyDescent="0.25">
      <c r="A1085" s="9" t="s">
        <v>1798</v>
      </c>
      <c r="B1085" s="9" t="s">
        <v>1166</v>
      </c>
      <c r="C1085">
        <v>1</v>
      </c>
      <c r="D1085">
        <v>90</v>
      </c>
      <c r="E1085">
        <v>2013</v>
      </c>
      <c r="F1085" s="9" t="s">
        <v>1804</v>
      </c>
      <c r="H1085" s="20" t="str">
        <f t="shared" si="16"/>
        <v>(nextval('obj_part_id_seq'), (select id from obj_building_v where zip||'|'||street||'|'||name||'|'||volume = '9220|Blidegg|Primarschulanlage Schulpavillon|596.00'), 'P51', 1, 90, 2013,'Sonnerie'),</v>
      </c>
    </row>
    <row r="1086" spans="1:8" x14ac:dyDescent="0.25">
      <c r="A1086" s="9" t="s">
        <v>1798</v>
      </c>
      <c r="B1086" s="9" t="s">
        <v>1104</v>
      </c>
      <c r="C1086">
        <v>0</v>
      </c>
      <c r="D1086" t="s">
        <v>4080</v>
      </c>
      <c r="E1086">
        <v>2013</v>
      </c>
      <c r="F1086" s="9" t="s">
        <v>1235</v>
      </c>
      <c r="H1086" s="20" t="str">
        <f t="shared" si="16"/>
        <v>(nextval('obj_part_id_seq'), (select id from obj_building_v where zip||'|'||street||'|'||name||'|'||volume = '9220|Blidegg|Primarschulanlage Schulpavillon|596.00'), 'P6', 0, null, 2013,'Fernwärme'),</v>
      </c>
    </row>
    <row r="1087" spans="1:8" x14ac:dyDescent="0.25">
      <c r="A1087" s="9" t="s">
        <v>1798</v>
      </c>
      <c r="B1087" s="9" t="s">
        <v>1106</v>
      </c>
      <c r="C1087">
        <v>3</v>
      </c>
      <c r="D1087">
        <v>90</v>
      </c>
      <c r="E1087">
        <v>2013</v>
      </c>
      <c r="F1087" s="9" t="s">
        <v>1107</v>
      </c>
      <c r="H1087" s="20" t="str">
        <f t="shared" si="16"/>
        <v>(nextval('obj_part_id_seq'), (select id from obj_building_v where zip||'|'||street||'|'||name||'|'||volume = '9220|Blidegg|Primarschulanlage Schulpavillon|596.00'), 'P7', 3, 90, 2013,'Radiatoren mit Thermostaten'),</v>
      </c>
    </row>
    <row r="1088" spans="1:8" x14ac:dyDescent="0.25">
      <c r="A1088" s="9" t="s">
        <v>1798</v>
      </c>
      <c r="B1088" s="9" t="s">
        <v>1108</v>
      </c>
      <c r="C1088">
        <v>4</v>
      </c>
      <c r="D1088">
        <v>85</v>
      </c>
      <c r="E1088">
        <v>2013</v>
      </c>
      <c r="F1088" s="9" t="s">
        <v>1805</v>
      </c>
      <c r="H1088" s="20" t="str">
        <f t="shared" si="16"/>
        <v>(nextval('obj_part_id_seq'), (select id from obj_building_v where zip||'|'||street||'|'||name||'|'||volume = '9220|Blidegg|Primarschulanlage Schulpavillon|596.00'), 'P8', 4, 85, 2013,'Toiletten mit WW/KW'),</v>
      </c>
    </row>
    <row r="1089" spans="1:8" x14ac:dyDescent="0.25">
      <c r="A1089" s="9" t="s">
        <v>1798</v>
      </c>
      <c r="B1089" s="9" t="s">
        <v>1138</v>
      </c>
      <c r="C1089">
        <v>11</v>
      </c>
      <c r="D1089">
        <v>85</v>
      </c>
      <c r="E1089">
        <v>2013</v>
      </c>
      <c r="F1089" s="9" t="s">
        <v>1806</v>
      </c>
      <c r="H1089" s="20" t="str">
        <f t="shared" si="16"/>
        <v>(nextval('obj_part_id_seq'), (select id from obj_building_v where zip||'|'||street||'|'||name||'|'||volume = '9220|Blidegg|Primarschulanlage Schulpavillon|596.00'), 'P57', 11, 85, 2013,'Einbauschränke und Arbeitssimse'),</v>
      </c>
    </row>
    <row r="1090" spans="1:8" x14ac:dyDescent="0.25">
      <c r="A1090" s="9" t="s">
        <v>1798</v>
      </c>
      <c r="B1090" s="9" t="s">
        <v>1140</v>
      </c>
      <c r="C1090">
        <v>8</v>
      </c>
      <c r="D1090">
        <v>85</v>
      </c>
      <c r="E1090">
        <v>2013</v>
      </c>
      <c r="F1090" s="9" t="s">
        <v>1807</v>
      </c>
      <c r="H1090" s="20" t="str">
        <f t="shared" si="16"/>
        <v>(nextval('obj_part_id_seq'), (select id from obj_building_v where zip||'|'||street||'|'||name||'|'||volume = '9220|Blidegg|Primarschulanlage Schulpavillon|596.00'), 'P58', 8, 85, 2013,'B: Linol und PVC W: Holz, Keramikplatten D: Holz'),</v>
      </c>
    </row>
    <row r="1091" spans="1:8" x14ac:dyDescent="0.25">
      <c r="A1091" s="9" t="s">
        <v>1798</v>
      </c>
      <c r="B1091" s="9" t="s">
        <v>1142</v>
      </c>
      <c r="C1091">
        <v>0</v>
      </c>
      <c r="D1091" t="s">
        <v>4080</v>
      </c>
      <c r="E1091">
        <v>2013</v>
      </c>
      <c r="F1091" s="9"/>
      <c r="H1091" s="20" t="str">
        <f t="shared" si="16"/>
        <v>(nextval('obj_part_id_seq'), (select id from obj_building_v where zip||'|'||street||'|'||name||'|'||volume = '9220|Blidegg|Primarschulanlage Schulpavillon|596.00'), 'P60', 0, null, 2013,null),</v>
      </c>
    </row>
    <row r="1092" spans="1:8" x14ac:dyDescent="0.25">
      <c r="A1092" s="9" t="s">
        <v>1798</v>
      </c>
      <c r="B1092" s="9" t="s">
        <v>1143</v>
      </c>
      <c r="C1092">
        <v>0</v>
      </c>
      <c r="D1092" t="s">
        <v>4080</v>
      </c>
      <c r="E1092">
        <v>2013</v>
      </c>
      <c r="F1092" s="9"/>
      <c r="H1092" s="20" t="str">
        <f t="shared" si="16"/>
        <v>(nextval('obj_part_id_seq'), (select id from obj_building_v where zip||'|'||street||'|'||name||'|'||volume = '9220|Blidegg|Primarschulanlage Schulpavillon|596.00'), 'P61', 0, null, 2013,null),</v>
      </c>
    </row>
    <row r="1093" spans="1:8" x14ac:dyDescent="0.25">
      <c r="A1093" s="9" t="s">
        <v>1798</v>
      </c>
      <c r="B1093" s="9" t="s">
        <v>1144</v>
      </c>
      <c r="C1093">
        <v>0</v>
      </c>
      <c r="D1093" t="s">
        <v>4080</v>
      </c>
      <c r="E1093">
        <v>2013</v>
      </c>
      <c r="F1093" s="9"/>
      <c r="H1093" s="20" t="str">
        <f t="shared" ref="H1093:H1156" si="17">"(nextval('obj_part_id_seq'), (select id from obj_building_v where zip||'|'||street||'|'||name||'|'||volume = '"&amp;A1093&amp;"'), '"&amp;B1093&amp;"', "&amp;C1093&amp;", "&amp;D1093&amp;", "&amp;IF(ISBLANK(E1093),"null",E1093)&amp;","&amp;IF(ISBLANK(F1093),"null","'"&amp;F1093&amp;"'")&amp;"),"</f>
        <v>(nextval('obj_part_id_seq'), (select id from obj_building_v where zip||'|'||street||'|'||name||'|'||volume = '9220|Blidegg|Primarschulanlage Schulpavillon|596.00'), 'P62', 0, null, 2013,null),</v>
      </c>
    </row>
    <row r="1094" spans="1:8" x14ac:dyDescent="0.25">
      <c r="A1094" s="9" t="s">
        <v>1808</v>
      </c>
      <c r="B1094" s="9" t="s">
        <v>1127</v>
      </c>
      <c r="C1094">
        <v>41</v>
      </c>
      <c r="D1094">
        <v>90</v>
      </c>
      <c r="E1094">
        <v>2013</v>
      </c>
      <c r="F1094" s="9" t="s">
        <v>1809</v>
      </c>
      <c r="H1094" s="20" t="str">
        <f t="shared" si="17"/>
        <v>(nextval('obj_part_id_seq'), (select id from obj_building_v where zip||'|'||street||'|'||name||'|'||volume = '9220|Blidegg 4|Primarschulanlage Schulhaus, Velounterstand|1241.00'), 'P48', 41, 90, 2013,'Kalkstein und Holzbalkendecken, Veloständer aus Stahl'),</v>
      </c>
    </row>
    <row r="1095" spans="1:8" x14ac:dyDescent="0.25">
      <c r="A1095" s="9" t="s">
        <v>1808</v>
      </c>
      <c r="B1095" s="9" t="s">
        <v>1129</v>
      </c>
      <c r="C1095">
        <v>0</v>
      </c>
      <c r="D1095" t="s">
        <v>4080</v>
      </c>
      <c r="E1095">
        <v>2013</v>
      </c>
      <c r="F1095" s="9"/>
      <c r="H1095" s="20" t="str">
        <f t="shared" si="17"/>
        <v>(nextval('obj_part_id_seq'), (select id from obj_building_v where zip||'|'||street||'|'||name||'|'||volume = '9220|Blidegg 4|Primarschulanlage Schulhaus, Velounterstand|1241.00'), 'P49', 0, null, 2013,null),</v>
      </c>
    </row>
    <row r="1096" spans="1:8" x14ac:dyDescent="0.25">
      <c r="A1096" s="9" t="s">
        <v>1808</v>
      </c>
      <c r="B1096" s="9" t="s">
        <v>1097</v>
      </c>
      <c r="C1096">
        <v>8</v>
      </c>
      <c r="D1096">
        <v>90</v>
      </c>
      <c r="E1096">
        <v>2013</v>
      </c>
      <c r="F1096" s="9" t="s">
        <v>1810</v>
      </c>
      <c r="H1096" s="20" t="str">
        <f t="shared" si="17"/>
        <v>(nextval('obj_part_id_seq'), (select id from obj_building_v where zip||'|'||street||'|'||name||'|'||volume = '9220|Blidegg 4|Primarschulanlage Schulhaus, Velounterstand|1241.00'), 'P2', 8, 90, 2013,'Dachraum ausgebaut und isoliert, Eindeckung mit Falzziegeln, Veloständer Welleternit, Vordach Eingang'),</v>
      </c>
    </row>
    <row r="1097" spans="1:8" x14ac:dyDescent="0.25">
      <c r="A1097" s="9" t="s">
        <v>1808</v>
      </c>
      <c r="B1097" s="9" t="s">
        <v>1099</v>
      </c>
      <c r="C1097">
        <v>0</v>
      </c>
      <c r="D1097" t="s">
        <v>4080</v>
      </c>
      <c r="E1097">
        <v>2013</v>
      </c>
      <c r="F1097" s="9"/>
      <c r="H1097" s="20" t="str">
        <f t="shared" si="17"/>
        <v>(nextval('obj_part_id_seq'), (select id from obj_building_v where zip||'|'||street||'|'||name||'|'||volume = '9220|Blidegg 4|Primarschulanlage Schulhaus, Velounterstand|1241.00'), 'P3', 0, null, 2013,null),</v>
      </c>
    </row>
    <row r="1098" spans="1:8" x14ac:dyDescent="0.25">
      <c r="A1098" s="9" t="s">
        <v>1808</v>
      </c>
      <c r="B1098" s="9" t="s">
        <v>1100</v>
      </c>
      <c r="C1098">
        <v>7</v>
      </c>
      <c r="D1098">
        <v>80</v>
      </c>
      <c r="E1098">
        <v>2013</v>
      </c>
      <c r="F1098" s="9" t="s">
        <v>1811</v>
      </c>
      <c r="H1098" s="20" t="str">
        <f t="shared" si="17"/>
        <v>(nextval('obj_part_id_seq'), (select id from obj_building_v where zip||'|'||street||'|'||name||'|'||volume = '9220|Blidegg 4|Primarschulanlage Schulhaus, Velounterstand|1241.00'), 'P4', 7, 80, 2013,'Mauerwerk, verputzt mit Kunststeingewänden, Sockel gestrichen, tw. verschmutzt'),</v>
      </c>
    </row>
    <row r="1099" spans="1:8" x14ac:dyDescent="0.25">
      <c r="A1099" s="9" t="s">
        <v>1808</v>
      </c>
      <c r="B1099" s="9" t="s">
        <v>1102</v>
      </c>
      <c r="C1099">
        <v>10</v>
      </c>
      <c r="D1099">
        <v>90</v>
      </c>
      <c r="E1099">
        <v>2013</v>
      </c>
      <c r="F1099" s="9" t="s">
        <v>1812</v>
      </c>
      <c r="H1099" s="20" t="str">
        <f t="shared" si="17"/>
        <v>(nextval('obj_part_id_seq'), (select id from obj_building_v where zip||'|'||street||'|'||name||'|'||volume = '9220|Blidegg 4|Primarschulanlage Schulhaus, Velounterstand|1241.00'), 'P5', 10, 90, 2013,'Holzmetall ''95, Fensterläden aus Metall, Aussentüren aus Holz'),</v>
      </c>
    </row>
    <row r="1100" spans="1:8" x14ac:dyDescent="0.25">
      <c r="A1100" s="9" t="s">
        <v>1808</v>
      </c>
      <c r="B1100" s="9" t="s">
        <v>1164</v>
      </c>
      <c r="C1100">
        <v>6</v>
      </c>
      <c r="D1100">
        <v>90</v>
      </c>
      <c r="E1100">
        <v>2013</v>
      </c>
      <c r="F1100" s="9" t="s">
        <v>1813</v>
      </c>
      <c r="H1100" s="20" t="str">
        <f t="shared" si="17"/>
        <v>(nextval('obj_part_id_seq'), (select id from obj_building_v where zip||'|'||street||'|'||name||'|'||volume = '9220|Blidegg 4|Primarschulanlage Schulhaus, Velounterstand|1241.00'), 'P50', 6, 90, 2013,'Genügende Absicherung mit FI-Schaltern, Beleuchtung Klassenzimmer'),</v>
      </c>
    </row>
    <row r="1101" spans="1:8" x14ac:dyDescent="0.25">
      <c r="A1101" s="9" t="s">
        <v>1808</v>
      </c>
      <c r="B1101" s="9" t="s">
        <v>1166</v>
      </c>
      <c r="C1101">
        <v>1</v>
      </c>
      <c r="D1101">
        <v>90</v>
      </c>
      <c r="E1101">
        <v>2013</v>
      </c>
      <c r="F1101" s="9" t="s">
        <v>1814</v>
      </c>
      <c r="H1101" s="20" t="str">
        <f t="shared" si="17"/>
        <v>(nextval('obj_part_id_seq'), (select id from obj_building_v where zip||'|'||street||'|'||name||'|'||volume = '9220|Blidegg 4|Primarschulanlage Schulhaus, Velounterstand|1241.00'), 'P51', 1, 90, 2013,'Sonnerie, Telefon, EDV'),</v>
      </c>
    </row>
    <row r="1102" spans="1:8" x14ac:dyDescent="0.25">
      <c r="A1102" s="9" t="s">
        <v>1808</v>
      </c>
      <c r="B1102" s="9" t="s">
        <v>1104</v>
      </c>
      <c r="C1102">
        <v>1</v>
      </c>
      <c r="D1102">
        <v>85</v>
      </c>
      <c r="E1102">
        <v>2013</v>
      </c>
      <c r="F1102" s="9" t="s">
        <v>1815</v>
      </c>
      <c r="H1102" s="20" t="str">
        <f t="shared" si="17"/>
        <v>(nextval('obj_part_id_seq'), (select id from obj_building_v where zip||'|'||street||'|'||name||'|'||volume = '9220|Blidegg 4|Primarschulanlage Schulhaus, Velounterstand|1241.00'), 'P6', 1, 85, 2013,'Ölheizung ''85, Brenner neuer, sep. Boiler im DG'),</v>
      </c>
    </row>
    <row r="1103" spans="1:8" x14ac:dyDescent="0.25">
      <c r="A1103" s="9" t="s">
        <v>1808</v>
      </c>
      <c r="B1103" s="9" t="s">
        <v>1106</v>
      </c>
      <c r="C1103">
        <v>3</v>
      </c>
      <c r="D1103">
        <v>90</v>
      </c>
      <c r="E1103">
        <v>2013</v>
      </c>
      <c r="F1103" s="9" t="s">
        <v>1660</v>
      </c>
      <c r="H1103" s="20" t="str">
        <f t="shared" si="17"/>
        <v>(nextval('obj_part_id_seq'), (select id from obj_building_v where zip||'|'||street||'|'||name||'|'||volume = '9220|Blidegg 4|Primarschulanlage Schulhaus, Velounterstand|1241.00'), 'P7', 3, 90, 2013,'Heizkörper mit Thermostat'),</v>
      </c>
    </row>
    <row r="1104" spans="1:8" x14ac:dyDescent="0.25">
      <c r="A1104" s="9" t="s">
        <v>1808</v>
      </c>
      <c r="B1104" s="9" t="s">
        <v>1108</v>
      </c>
      <c r="C1104">
        <v>4</v>
      </c>
      <c r="D1104">
        <v>90</v>
      </c>
      <c r="E1104">
        <v>2013</v>
      </c>
      <c r="F1104" s="9" t="s">
        <v>1816</v>
      </c>
      <c r="H1104" s="20" t="str">
        <f t="shared" si="17"/>
        <v>(nextval('obj_part_id_seq'), (select id from obj_building_v where zip||'|'||street||'|'||name||'|'||volume = '9220|Blidegg 4|Primarschulanlage Schulhaus, Velounterstand|1241.00'), 'P8', 4, 90, 2013,'Toiletten ohne WW, Leitungen i.O.'),</v>
      </c>
    </row>
    <row r="1105" spans="1:8" x14ac:dyDescent="0.25">
      <c r="A1105" s="9" t="s">
        <v>1808</v>
      </c>
      <c r="B1105" s="9" t="s">
        <v>1138</v>
      </c>
      <c r="C1105">
        <v>11</v>
      </c>
      <c r="D1105">
        <v>85</v>
      </c>
      <c r="E1105">
        <v>2013</v>
      </c>
      <c r="F1105" s="9" t="s">
        <v>1817</v>
      </c>
      <c r="H1105" s="20" t="str">
        <f t="shared" si="17"/>
        <v>(nextval('obj_part_id_seq'), (select id from obj_building_v where zip||'|'||street||'|'||name||'|'||volume = '9220|Blidegg 4|Primarschulanlage Schulhaus, Velounterstand|1241.00'), 'P57', 11, 85, 2013,'Riss in Grundputz, Einbauschränke und Garderoben, Holzrahmentüren. Treppengeläder: h= 85 cm, Küche'),</v>
      </c>
    </row>
    <row r="1106" spans="1:8" x14ac:dyDescent="0.25">
      <c r="A1106" s="9" t="s">
        <v>1808</v>
      </c>
      <c r="B1106" s="9" t="s">
        <v>1140</v>
      </c>
      <c r="C1106">
        <v>8</v>
      </c>
      <c r="D1106">
        <v>90</v>
      </c>
      <c r="E1106">
        <v>2013</v>
      </c>
      <c r="F1106" s="9" t="s">
        <v>1818</v>
      </c>
      <c r="H1106" s="20" t="str">
        <f t="shared" si="17"/>
        <v>(nextval('obj_part_id_seq'), (select id from obj_building_v where zip||'|'||street||'|'||name||'|'||volume = '9220|Blidegg 4|Primarschulanlage Schulhaus, Velounterstand|1241.00'), 'P58', 8, 90, 2013,'B: Parkett, Linol, PVC, Kunststein, Keramik, Zementüberzug mit Anstrich , W: Glasfasertapete, Putz D: Täfer und Putz'),</v>
      </c>
    </row>
    <row r="1107" spans="1:8" x14ac:dyDescent="0.25">
      <c r="A1107" s="9" t="s">
        <v>1808</v>
      </c>
      <c r="B1107" s="9" t="s">
        <v>1142</v>
      </c>
      <c r="C1107">
        <v>0</v>
      </c>
      <c r="D1107" t="s">
        <v>4080</v>
      </c>
      <c r="E1107">
        <v>2013</v>
      </c>
      <c r="F1107" s="9"/>
      <c r="H1107" s="20" t="str">
        <f t="shared" si="17"/>
        <v>(nextval('obj_part_id_seq'), (select id from obj_building_v where zip||'|'||street||'|'||name||'|'||volume = '9220|Blidegg 4|Primarschulanlage Schulhaus, Velounterstand|1241.00'), 'P60', 0, null, 2013,null),</v>
      </c>
    </row>
    <row r="1108" spans="1:8" x14ac:dyDescent="0.25">
      <c r="A1108" s="9" t="s">
        <v>1808</v>
      </c>
      <c r="B1108" s="9" t="s">
        <v>1143</v>
      </c>
      <c r="C1108">
        <v>0</v>
      </c>
      <c r="D1108" t="s">
        <v>4080</v>
      </c>
      <c r="E1108">
        <v>2013</v>
      </c>
      <c r="F1108" s="9"/>
      <c r="H1108" s="20" t="str">
        <f t="shared" si="17"/>
        <v>(nextval('obj_part_id_seq'), (select id from obj_building_v where zip||'|'||street||'|'||name||'|'||volume = '9220|Blidegg 4|Primarschulanlage Schulhaus, Velounterstand|1241.00'), 'P61', 0, null, 2013,null),</v>
      </c>
    </row>
    <row r="1109" spans="1:8" x14ac:dyDescent="0.25">
      <c r="A1109" s="9" t="s">
        <v>1808</v>
      </c>
      <c r="B1109" s="9" t="s">
        <v>1144</v>
      </c>
      <c r="C1109">
        <v>0</v>
      </c>
      <c r="D1109" t="s">
        <v>4080</v>
      </c>
      <c r="E1109">
        <v>2013</v>
      </c>
      <c r="F1109" s="9"/>
      <c r="H1109" s="20" t="str">
        <f t="shared" si="17"/>
        <v>(nextval('obj_part_id_seq'), (select id from obj_building_v where zip||'|'||street||'|'||name||'|'||volume = '9220|Blidegg 4|Primarschulanlage Schulhaus, Velounterstand|1241.00'), 'P62', 0, null, 2013,null),</v>
      </c>
    </row>
    <row r="1110" spans="1:8" x14ac:dyDescent="0.25">
      <c r="A1110" s="9" t="s">
        <v>1819</v>
      </c>
      <c r="B1110" s="9" t="s">
        <v>1127</v>
      </c>
      <c r="C1110">
        <v>24</v>
      </c>
      <c r="D1110">
        <v>90</v>
      </c>
      <c r="E1110">
        <v>2013</v>
      </c>
      <c r="F1110" s="9" t="s">
        <v>1820</v>
      </c>
      <c r="H1110" s="20" t="str">
        <f t="shared" si="17"/>
        <v>(nextval('obj_part_id_seq'), (select id from obj_building_v where zip||'|'||street||'|'||name||'|'||volume = '9220|Ibergstrasse|Kindergarten, Spielhaus und Anbau|1195.00'), 'P48', 24, 90, 2013,'Mauerwerk mit Dachstuhl aus Holz'),</v>
      </c>
    </row>
    <row r="1111" spans="1:8" x14ac:dyDescent="0.25">
      <c r="A1111" s="9" t="s">
        <v>1819</v>
      </c>
      <c r="B1111" s="9" t="s">
        <v>1129</v>
      </c>
      <c r="C1111">
        <v>0</v>
      </c>
      <c r="D1111" t="s">
        <v>4080</v>
      </c>
      <c r="E1111">
        <v>2013</v>
      </c>
      <c r="F1111" s="9"/>
      <c r="H1111" s="20" t="str">
        <f t="shared" si="17"/>
        <v>(nextval('obj_part_id_seq'), (select id from obj_building_v where zip||'|'||street||'|'||name||'|'||volume = '9220|Ibergstrasse|Kindergarten, Spielhaus und Anbau|1195.00'), 'P49', 0, null, 2013,null),</v>
      </c>
    </row>
    <row r="1112" spans="1:8" x14ac:dyDescent="0.25">
      <c r="A1112" s="9" t="s">
        <v>1819</v>
      </c>
      <c r="B1112" s="9" t="s">
        <v>1097</v>
      </c>
      <c r="C1112">
        <v>20</v>
      </c>
      <c r="D1112">
        <v>85</v>
      </c>
      <c r="E1112">
        <v>2013</v>
      </c>
      <c r="F1112" s="9" t="s">
        <v>1821</v>
      </c>
      <c r="H1112" s="20" t="str">
        <f t="shared" si="17"/>
        <v>(nextval('obj_part_id_seq'), (select id from obj_building_v where zip||'|'||street||'|'||name||'|'||volume = '9220|Ibergstrasse|Kindergarten, Spielhaus und Anbau|1195.00'), 'P2', 20, 85, 2013,'Falzziegeldach, Dachraum isoliert, Glasvordach mit Metallkonstruktion, Untersicht verwittert'),</v>
      </c>
    </row>
    <row r="1113" spans="1:8" x14ac:dyDescent="0.25">
      <c r="A1113" s="9" t="s">
        <v>1819</v>
      </c>
      <c r="B1113" s="9" t="s">
        <v>1099</v>
      </c>
      <c r="C1113">
        <v>0</v>
      </c>
      <c r="D1113" t="s">
        <v>4080</v>
      </c>
      <c r="E1113">
        <v>2013</v>
      </c>
      <c r="F1113" s="9"/>
      <c r="H1113" s="20" t="str">
        <f t="shared" si="17"/>
        <v>(nextval('obj_part_id_seq'), (select id from obj_building_v where zip||'|'||street||'|'||name||'|'||volume = '9220|Ibergstrasse|Kindergarten, Spielhaus und Anbau|1195.00'), 'P3', 0, null, 2013,null),</v>
      </c>
    </row>
    <row r="1114" spans="1:8" x14ac:dyDescent="0.25">
      <c r="A1114" s="9" t="s">
        <v>1819</v>
      </c>
      <c r="B1114" s="9" t="s">
        <v>1100</v>
      </c>
      <c r="C1114">
        <v>8</v>
      </c>
      <c r="D1114">
        <v>90</v>
      </c>
      <c r="E1114">
        <v>2013</v>
      </c>
      <c r="F1114" s="9" t="s">
        <v>1822</v>
      </c>
      <c r="H1114" s="20" t="str">
        <f t="shared" si="17"/>
        <v>(nextval('obj_part_id_seq'), (select id from obj_building_v where zip||'|'||street||'|'||name||'|'||volume = '9220|Ibergstrasse|Kindergarten, Spielhaus und Anbau|1195.00'), 'P4', 8, 90, 2013,'Putz, Aussenwärmedämmung, Holz, Gewände aus Blechen, Ausstüren aus Holz mit Glaseinsatz'),</v>
      </c>
    </row>
    <row r="1115" spans="1:8" x14ac:dyDescent="0.25">
      <c r="A1115" s="9" t="s">
        <v>1819</v>
      </c>
      <c r="B1115" s="9" t="s">
        <v>1102</v>
      </c>
      <c r="C1115">
        <v>14</v>
      </c>
      <c r="D1115">
        <v>90</v>
      </c>
      <c r="E1115">
        <v>2013</v>
      </c>
      <c r="F1115" s="9" t="s">
        <v>1823</v>
      </c>
      <c r="H1115" s="20" t="str">
        <f t="shared" si="17"/>
        <v>(nextval('obj_part_id_seq'), (select id from obj_building_v where zip||'|'||street||'|'||name||'|'||volume = '9220|Ibergstrasse|Kindergarten, Spielhaus und Anbau|1195.00'), 'P5', 14, 90, 2013,'Doppelverglasung ''98, Rafflamellen, tw. Stoffrollos'),</v>
      </c>
    </row>
    <row r="1116" spans="1:8" x14ac:dyDescent="0.25">
      <c r="A1116" s="9" t="s">
        <v>1819</v>
      </c>
      <c r="B1116" s="9" t="s">
        <v>1110</v>
      </c>
      <c r="C1116">
        <v>4</v>
      </c>
      <c r="D1116">
        <v>90</v>
      </c>
      <c r="E1116">
        <v>2013</v>
      </c>
      <c r="F1116" s="9" t="s">
        <v>1824</v>
      </c>
      <c r="H1116" s="20" t="str">
        <f t="shared" si="17"/>
        <v>(nextval('obj_part_id_seq'), (select id from obj_building_v where zip||'|'||street||'|'||name||'|'||volume = '9220|Ibergstrasse|Kindergarten, Spielhaus und Anbau|1195.00'), 'P9', 4, 90, 2013,'Aufputztableau, tw. alte Keramiksicherungen'),</v>
      </c>
    </row>
    <row r="1117" spans="1:8" x14ac:dyDescent="0.25">
      <c r="A1117" s="9" t="s">
        <v>1819</v>
      </c>
      <c r="B1117" s="9" t="s">
        <v>1104</v>
      </c>
      <c r="C1117">
        <v>3</v>
      </c>
      <c r="D1117">
        <v>90</v>
      </c>
      <c r="E1117">
        <v>2013</v>
      </c>
      <c r="F1117" s="9" t="s">
        <v>1825</v>
      </c>
      <c r="H1117" s="20" t="str">
        <f t="shared" si="17"/>
        <v>(nextval('obj_part_id_seq'), (select id from obj_building_v where zip||'|'||street||'|'||name||'|'||volume = '9220|Ibergstrasse|Kindergarten, Spielhaus und Anbau|1195.00'), 'P6', 3, 90, 2013,'Ölheizung Low-NOx, Oeltank oberirdisch in sep. Raum an Fassade angebaut'),</v>
      </c>
    </row>
    <row r="1118" spans="1:8" x14ac:dyDescent="0.25">
      <c r="A1118" s="9" t="s">
        <v>1819</v>
      </c>
      <c r="B1118" s="9" t="s">
        <v>1106</v>
      </c>
      <c r="C1118">
        <v>3</v>
      </c>
      <c r="D1118">
        <v>90</v>
      </c>
      <c r="E1118">
        <v>2013</v>
      </c>
      <c r="F1118" s="9" t="s">
        <v>1107</v>
      </c>
      <c r="H1118" s="20" t="str">
        <f t="shared" si="17"/>
        <v>(nextval('obj_part_id_seq'), (select id from obj_building_v where zip||'|'||street||'|'||name||'|'||volume = '9220|Ibergstrasse|Kindergarten, Spielhaus und Anbau|1195.00'), 'P7', 3, 90, 2013,'Radiatoren mit Thermostaten'),</v>
      </c>
    </row>
    <row r="1119" spans="1:8" x14ac:dyDescent="0.25">
      <c r="A1119" s="9" t="s">
        <v>1819</v>
      </c>
      <c r="B1119" s="9" t="s">
        <v>1135</v>
      </c>
      <c r="C1119">
        <v>1</v>
      </c>
      <c r="D1119">
        <v>90</v>
      </c>
      <c r="E1119">
        <v>2013</v>
      </c>
      <c r="F1119" s="9" t="s">
        <v>1826</v>
      </c>
      <c r="H1119" s="20" t="str">
        <f t="shared" si="17"/>
        <v>(nextval('obj_part_id_seq'), (select id from obj_building_v where zip||'|'||street||'|'||name||'|'||volume = '9220|Ibergstrasse|Kindergarten, Spielhaus und Anbau|1195.00'), 'P54', 1, 90, 2013,'Moderne Apparate, WW/KW-Armaturen ohne Mischer'),</v>
      </c>
    </row>
    <row r="1120" spans="1:8" x14ac:dyDescent="0.25">
      <c r="A1120" s="9" t="s">
        <v>1819</v>
      </c>
      <c r="B1120" s="9" t="s">
        <v>1137</v>
      </c>
      <c r="C1120">
        <v>3</v>
      </c>
      <c r="D1120">
        <v>90</v>
      </c>
      <c r="E1120">
        <v>2013</v>
      </c>
      <c r="F1120" s="9" t="s">
        <v>1827</v>
      </c>
      <c r="H1120" s="20" t="str">
        <f t="shared" si="17"/>
        <v>(nextval('obj_part_id_seq'), (select id from obj_building_v where zip||'|'||street||'|'||name||'|'||volume = '9220|Ibergstrasse|Kindergarten, Spielhaus und Anbau|1195.00'), 'P55', 3, 90, 2013,'Keine Mängel sichtbar'),</v>
      </c>
    </row>
    <row r="1121" spans="1:8" x14ac:dyDescent="0.25">
      <c r="A1121" s="9" t="s">
        <v>1819</v>
      </c>
      <c r="B1121" s="9" t="s">
        <v>1138</v>
      </c>
      <c r="C1121">
        <v>17</v>
      </c>
      <c r="D1121">
        <v>90</v>
      </c>
      <c r="E1121">
        <v>2013</v>
      </c>
      <c r="F1121" s="9" t="s">
        <v>1828</v>
      </c>
      <c r="H1121" s="20" t="str">
        <f t="shared" si="17"/>
        <v>(nextval('obj_part_id_seq'), (select id from obj_building_v where zip||'|'||street||'|'||name||'|'||volume = '9220|Ibergstrasse|Kindergarten, Spielhaus und Anbau|1195.00'), 'P57', 17, 90, 2013,'Innere Verglasung, Heruntergehängte Decke, gewölbt, Küche, Wandschränke, Simse, Geländer aus Metall mit Handlauf aus Holz'),</v>
      </c>
    </row>
    <row r="1122" spans="1:8" x14ac:dyDescent="0.25">
      <c r="A1122" s="9" t="s">
        <v>1819</v>
      </c>
      <c r="B1122" s="9" t="s">
        <v>1140</v>
      </c>
      <c r="C1122">
        <v>3</v>
      </c>
      <c r="D1122">
        <v>90</v>
      </c>
      <c r="E1122">
        <v>2013</v>
      </c>
      <c r="F1122" s="9" t="s">
        <v>1829</v>
      </c>
      <c r="H1122" s="20" t="str">
        <f t="shared" si="17"/>
        <v>(nextval('obj_part_id_seq'), (select id from obj_building_v where zip||'|'||street||'|'||name||'|'||volume = '9220|Ibergstrasse|Kindergarten, Spielhaus und Anbau|1195.00'), 'P58', 3, 90, 2013,'B: Korklinol, Parkett, und Keramikplatten W: Glasfasertapete D:Akustikdecken'),</v>
      </c>
    </row>
    <row r="1123" spans="1:8" x14ac:dyDescent="0.25">
      <c r="A1123" s="9" t="s">
        <v>1819</v>
      </c>
      <c r="B1123" s="9" t="s">
        <v>1142</v>
      </c>
      <c r="C1123">
        <v>0</v>
      </c>
      <c r="D1123" t="s">
        <v>4080</v>
      </c>
      <c r="E1123">
        <v>2013</v>
      </c>
      <c r="F1123" s="9"/>
      <c r="H1123" s="20" t="str">
        <f t="shared" si="17"/>
        <v>(nextval('obj_part_id_seq'), (select id from obj_building_v where zip||'|'||street||'|'||name||'|'||volume = '9220|Ibergstrasse|Kindergarten, Spielhaus und Anbau|1195.00'), 'P60', 0, null, 2013,null),</v>
      </c>
    </row>
    <row r="1124" spans="1:8" x14ac:dyDescent="0.25">
      <c r="A1124" s="9" t="s">
        <v>1819</v>
      </c>
      <c r="B1124" s="9" t="s">
        <v>1143</v>
      </c>
      <c r="C1124">
        <v>0</v>
      </c>
      <c r="D1124" t="s">
        <v>4080</v>
      </c>
      <c r="E1124">
        <v>2013</v>
      </c>
      <c r="F1124" s="9"/>
      <c r="H1124" s="20" t="str">
        <f t="shared" si="17"/>
        <v>(nextval('obj_part_id_seq'), (select id from obj_building_v where zip||'|'||street||'|'||name||'|'||volume = '9220|Ibergstrasse|Kindergarten, Spielhaus und Anbau|1195.00'), 'P61', 0, null, 2013,null),</v>
      </c>
    </row>
    <row r="1125" spans="1:8" x14ac:dyDescent="0.25">
      <c r="A1125" s="9" t="s">
        <v>1819</v>
      </c>
      <c r="B1125" s="9" t="s">
        <v>1144</v>
      </c>
      <c r="C1125">
        <v>0</v>
      </c>
      <c r="D1125" t="s">
        <v>4080</v>
      </c>
      <c r="E1125">
        <v>2013</v>
      </c>
      <c r="F1125" s="9"/>
      <c r="H1125" s="20" t="str">
        <f t="shared" si="17"/>
        <v>(nextval('obj_part_id_seq'), (select id from obj_building_v where zip||'|'||street||'|'||name||'|'||volume = '9220|Ibergstrasse|Kindergarten, Spielhaus und Anbau|1195.00'), 'P62', 0, null, 2013,null),</v>
      </c>
    </row>
    <row r="1126" spans="1:8" x14ac:dyDescent="0.25">
      <c r="A1126" s="9" t="s">
        <v>1830</v>
      </c>
      <c r="B1126" s="9" t="s">
        <v>1127</v>
      </c>
      <c r="C1126">
        <v>35</v>
      </c>
      <c r="D1126">
        <v>90</v>
      </c>
      <c r="E1126">
        <v>2013</v>
      </c>
      <c r="F1126" s="9" t="s">
        <v>1250</v>
      </c>
      <c r="H1126" s="20" t="str">
        <f t="shared" si="17"/>
        <v>(nextval('obj_part_id_seq'), (select id from obj_building_v where zip||'|'||street||'|'||name||'|'||volume = '8589|St. Gallerstrasse|Primarschulanlage Mehrzweckgebäude|13247.00'), 'P48', 35, 90, 2013,'Stahlbeton und Mauerwerk'),</v>
      </c>
    </row>
    <row r="1127" spans="1:8" x14ac:dyDescent="0.25">
      <c r="A1127" s="9" t="s">
        <v>1830</v>
      </c>
      <c r="B1127" s="9" t="s">
        <v>1129</v>
      </c>
      <c r="C1127">
        <v>0</v>
      </c>
      <c r="D1127" t="s">
        <v>4080</v>
      </c>
      <c r="E1127">
        <v>2013</v>
      </c>
      <c r="F1127" s="9"/>
      <c r="H1127" s="20" t="str">
        <f t="shared" si="17"/>
        <v>(nextval('obj_part_id_seq'), (select id from obj_building_v where zip||'|'||street||'|'||name||'|'||volume = '8589|St. Gallerstrasse|Primarschulanlage Mehrzweckgebäude|13247.00'), 'P49', 0, null, 2013,null),</v>
      </c>
    </row>
    <row r="1128" spans="1:8" x14ac:dyDescent="0.25">
      <c r="A1128" s="9" t="s">
        <v>1830</v>
      </c>
      <c r="B1128" s="9" t="s">
        <v>1097</v>
      </c>
      <c r="C1128">
        <v>13</v>
      </c>
      <c r="D1128">
        <v>90</v>
      </c>
      <c r="E1128">
        <v>2013</v>
      </c>
      <c r="F1128" s="9" t="s">
        <v>1831</v>
      </c>
      <c r="H1128" s="20" t="str">
        <f t="shared" si="17"/>
        <v>(nextval('obj_part_id_seq'), (select id from obj_building_v where zip||'|'||street||'|'||name||'|'||volume = '8589|St. Gallerstrasse|Primarschulanlage Mehrzweckgebäude|13247.00'), 'P2', 13, 90, 2013,'Dachstuhl aus Holz, Dachraum teilweise isoliert und ausgebaut, Dacheindeckung aus Falzziegeln'),</v>
      </c>
    </row>
    <row r="1129" spans="1:8" x14ac:dyDescent="0.25">
      <c r="A1129" s="9" t="s">
        <v>1830</v>
      </c>
      <c r="B1129" s="9" t="s">
        <v>1099</v>
      </c>
      <c r="C1129">
        <v>0</v>
      </c>
      <c r="D1129" t="s">
        <v>4080</v>
      </c>
      <c r="E1129">
        <v>2013</v>
      </c>
      <c r="F1129" s="9"/>
      <c r="H1129" s="20" t="str">
        <f t="shared" si="17"/>
        <v>(nextval('obj_part_id_seq'), (select id from obj_building_v where zip||'|'||street||'|'||name||'|'||volume = '8589|St. Gallerstrasse|Primarschulanlage Mehrzweckgebäude|13247.00'), 'P3', 0, null, 2013,null),</v>
      </c>
    </row>
    <row r="1130" spans="1:8" x14ac:dyDescent="0.25">
      <c r="A1130" s="9" t="s">
        <v>1830</v>
      </c>
      <c r="B1130" s="9" t="s">
        <v>1100</v>
      </c>
      <c r="C1130">
        <v>6</v>
      </c>
      <c r="D1130">
        <v>90</v>
      </c>
      <c r="E1130">
        <v>2013</v>
      </c>
      <c r="F1130" s="9" t="s">
        <v>1832</v>
      </c>
      <c r="H1130" s="20" t="str">
        <f t="shared" si="17"/>
        <v>(nextval('obj_part_id_seq'), (select id from obj_building_v where zip||'|'||street||'|'||name||'|'||volume = '8589|St. Gallerstrasse|Primarschulanlage Mehrzweckgebäude|13247.00'), 'P4', 6, 90, 2013,'Mauerwerk mit Spritzputz, gestrichen, Kunststeinfensterbänke'),</v>
      </c>
    </row>
    <row r="1131" spans="1:8" x14ac:dyDescent="0.25">
      <c r="A1131" s="9" t="s">
        <v>1830</v>
      </c>
      <c r="B1131" s="9" t="s">
        <v>1102</v>
      </c>
      <c r="C1131">
        <v>8</v>
      </c>
      <c r="D1131">
        <v>90</v>
      </c>
      <c r="E1131">
        <v>2013</v>
      </c>
      <c r="F1131" s="9" t="s">
        <v>1833</v>
      </c>
      <c r="H1131" s="20" t="str">
        <f t="shared" si="17"/>
        <v>(nextval('obj_part_id_seq'), (select id from obj_building_v where zip||'|'||street||'|'||name||'|'||volume = '8589|St. Gallerstrasse|Primarschulanlage Mehrzweckgebäude|13247.00'), 'P5', 8, 90, 2013,'Holzfenster 91 IV, Rafflamellenstoren, Eingangstüren Metall/Glas'),</v>
      </c>
    </row>
    <row r="1132" spans="1:8" x14ac:dyDescent="0.25">
      <c r="A1132" s="9" t="s">
        <v>1830</v>
      </c>
      <c r="B1132" s="9" t="s">
        <v>1110</v>
      </c>
      <c r="C1132">
        <v>5</v>
      </c>
      <c r="D1132">
        <v>90</v>
      </c>
      <c r="E1132">
        <v>2013</v>
      </c>
      <c r="F1132" s="9" t="s">
        <v>1834</v>
      </c>
      <c r="H1132" s="20" t="str">
        <f t="shared" si="17"/>
        <v>(nextval('obj_part_id_seq'), (select id from obj_building_v where zip||'|'||street||'|'||name||'|'||volume = '8589|St. Gallerstrasse|Primarschulanlage Mehrzweckgebäude|13247.00'), 'P9', 5, 90, 2013,'Genügende Absicherung mit FI-Schutzschaltern, Bühnentechnik, Beleuchtung und Audioanlage'),</v>
      </c>
    </row>
    <row r="1133" spans="1:8" x14ac:dyDescent="0.25">
      <c r="A1133" s="9" t="s">
        <v>1830</v>
      </c>
      <c r="B1133" s="9" t="s">
        <v>1104</v>
      </c>
      <c r="C1133">
        <v>0</v>
      </c>
      <c r="D1133" t="s">
        <v>4080</v>
      </c>
      <c r="E1133">
        <v>2013</v>
      </c>
      <c r="F1133" s="9" t="s">
        <v>1835</v>
      </c>
      <c r="H1133" s="20" t="str">
        <f t="shared" si="17"/>
        <v>(nextval('obj_part_id_seq'), (select id from obj_building_v where zip||'|'||street||'|'||name||'|'||volume = '8589|St. Gallerstrasse|Primarschulanlage Mehrzweckgebäude|13247.00'), 'P6', 0, null, 2013,'Fernwärme, Wärmerückgewinnung bei Lüftung'),</v>
      </c>
    </row>
    <row r="1134" spans="1:8" x14ac:dyDescent="0.25">
      <c r="A1134" s="9" t="s">
        <v>1830</v>
      </c>
      <c r="B1134" s="9" t="s">
        <v>1106</v>
      </c>
      <c r="C1134">
        <v>3</v>
      </c>
      <c r="D1134">
        <v>90</v>
      </c>
      <c r="E1134">
        <v>2013</v>
      </c>
      <c r="F1134" s="9" t="s">
        <v>1836</v>
      </c>
      <c r="H1134" s="20" t="str">
        <f t="shared" si="17"/>
        <v>(nextval('obj_part_id_seq'), (select id from obj_building_v where zip||'|'||street||'|'||name||'|'||volume = '8589|St. Gallerstrasse|Primarschulanlage Mehrzweckgebäude|13247.00'), 'P7', 3, 90, 2013,'Radiatoren mit Thermostaten, Turnhalle mit Bodenheizung'),</v>
      </c>
    </row>
    <row r="1135" spans="1:8" x14ac:dyDescent="0.25">
      <c r="A1135" s="9" t="s">
        <v>1830</v>
      </c>
      <c r="B1135" s="9" t="s">
        <v>1403</v>
      </c>
      <c r="C1135">
        <v>2</v>
      </c>
      <c r="D1135">
        <v>90</v>
      </c>
      <c r="E1135">
        <v>2013</v>
      </c>
      <c r="F1135" s="9" t="s">
        <v>1837</v>
      </c>
      <c r="H1135" s="20" t="str">
        <f t="shared" si="17"/>
        <v>(nextval('obj_part_id_seq'), (select id from obj_building_v where zip||'|'||street||'|'||name||'|'||volume = '8589|St. Gallerstrasse|Primarschulanlage Mehrzweckgebäude|13247.00'), 'P52', 2, 90, 2013,'Lüftungsaggregat befindet sich im Turnhallendachraum und im Keller'),</v>
      </c>
    </row>
    <row r="1136" spans="1:8" x14ac:dyDescent="0.25">
      <c r="A1136" s="9" t="s">
        <v>1830</v>
      </c>
      <c r="B1136" s="9" t="s">
        <v>1404</v>
      </c>
      <c r="C1136">
        <v>2</v>
      </c>
      <c r="D1136">
        <v>90</v>
      </c>
      <c r="E1136">
        <v>2013</v>
      </c>
      <c r="F1136" s="9" t="s">
        <v>1838</v>
      </c>
      <c r="H1136" s="20" t="str">
        <f t="shared" si="17"/>
        <v>(nextval('obj_part_id_seq'), (select id from obj_building_v where zip||'|'||street||'|'||name||'|'||volume = '8589|St. Gallerstrasse|Primarschulanlage Mehrzweckgebäude|13247.00'), 'P53', 2, 90, 2013,'Lüftung für Turnhalle und Küchenabluft'),</v>
      </c>
    </row>
    <row r="1137" spans="1:8" x14ac:dyDescent="0.25">
      <c r="A1137" s="9" t="s">
        <v>1830</v>
      </c>
      <c r="B1137" s="9" t="s">
        <v>1135</v>
      </c>
      <c r="C1137">
        <v>2</v>
      </c>
      <c r="D1137">
        <v>90</v>
      </c>
      <c r="E1137">
        <v>2013</v>
      </c>
      <c r="F1137" s="9" t="s">
        <v>1839</v>
      </c>
      <c r="H1137" s="20" t="str">
        <f t="shared" si="17"/>
        <v>(nextval('obj_part_id_seq'), (select id from obj_building_v where zip||'|'||street||'|'||name||'|'||volume = '8589|St. Gallerstrasse|Primarschulanlage Mehrzweckgebäude|13247.00'), 'P54', 2, 90, 2013,'Armaturen und Apparate neuwertig und funktionstüchtig'),</v>
      </c>
    </row>
    <row r="1138" spans="1:8" x14ac:dyDescent="0.25">
      <c r="A1138" s="9" t="s">
        <v>1830</v>
      </c>
      <c r="B1138" s="9" t="s">
        <v>1137</v>
      </c>
      <c r="C1138">
        <v>3</v>
      </c>
      <c r="D1138">
        <v>90</v>
      </c>
      <c r="E1138">
        <v>2013</v>
      </c>
      <c r="F1138" s="9" t="s">
        <v>1840</v>
      </c>
      <c r="H1138" s="20" t="str">
        <f t="shared" si="17"/>
        <v>(nextval('obj_part_id_seq'), (select id from obj_building_v where zip||'|'||street||'|'||name||'|'||volume = '8589|St. Gallerstrasse|Primarschulanlage Mehrzweckgebäude|13247.00'), 'P55', 3, 90, 2013,'genügender Druck vorhanden, WW-Leitungen isoliert'),</v>
      </c>
    </row>
    <row r="1139" spans="1:8" x14ac:dyDescent="0.25">
      <c r="A1139" s="9" t="s">
        <v>1830</v>
      </c>
      <c r="B1139" s="9" t="s">
        <v>1138</v>
      </c>
      <c r="C1139">
        <v>10</v>
      </c>
      <c r="D1139">
        <v>90</v>
      </c>
      <c r="E1139">
        <v>2013</v>
      </c>
      <c r="F1139" s="9" t="s">
        <v>1841</v>
      </c>
      <c r="H1139" s="20" t="str">
        <f t="shared" si="17"/>
        <v>(nextval('obj_part_id_seq'), (select id from obj_building_v where zip||'|'||street||'|'||name||'|'||volume = '8589|St. Gallerstrasse|Primarschulanlage Mehrzweckgebäude|13247.00'), 'P57', 10, 90, 2013,'Heruntergehängte Metalldecke, Einbaukästen,  Schiessanlage, Handläufe.'),</v>
      </c>
    </row>
    <row r="1140" spans="1:8" x14ac:dyDescent="0.25">
      <c r="A1140" s="9" t="s">
        <v>1830</v>
      </c>
      <c r="B1140" s="9" t="s">
        <v>1140</v>
      </c>
      <c r="C1140">
        <v>11</v>
      </c>
      <c r="D1140">
        <v>90</v>
      </c>
      <c r="E1140">
        <v>2013</v>
      </c>
      <c r="F1140" s="9" t="s">
        <v>1842</v>
      </c>
      <c r="H1140" s="20" t="str">
        <f t="shared" si="17"/>
        <v>(nextval('obj_part_id_seq'), (select id from obj_building_v where zip||'|'||street||'|'||name||'|'||volume = '8589|St. Gallerstrasse|Primarschulanlage Mehrzweckgebäude|13247.00'), 'P58', 11, 90, 2013,'B: PU (Turnhallenboden), Linol, Keramik, Teppich und Parkett W: div. Putzschäden, Täfer D: Putz, gestrichen, Beton roh und Täfer'),</v>
      </c>
    </row>
    <row r="1141" spans="1:8" x14ac:dyDescent="0.25">
      <c r="A1141" s="9" t="s">
        <v>1830</v>
      </c>
      <c r="B1141" s="9" t="s">
        <v>1142</v>
      </c>
      <c r="C1141">
        <v>0</v>
      </c>
      <c r="D1141" t="s">
        <v>4080</v>
      </c>
      <c r="E1141">
        <v>2013</v>
      </c>
      <c r="F1141" s="9"/>
      <c r="H1141" s="20" t="str">
        <f t="shared" si="17"/>
        <v>(nextval('obj_part_id_seq'), (select id from obj_building_v where zip||'|'||street||'|'||name||'|'||volume = '8589|St. Gallerstrasse|Primarschulanlage Mehrzweckgebäude|13247.00'), 'P60', 0, null, 2013,null),</v>
      </c>
    </row>
    <row r="1142" spans="1:8" x14ac:dyDescent="0.25">
      <c r="A1142" s="9" t="s">
        <v>1830</v>
      </c>
      <c r="B1142" s="9" t="s">
        <v>1143</v>
      </c>
      <c r="C1142">
        <v>0</v>
      </c>
      <c r="D1142" t="s">
        <v>4080</v>
      </c>
      <c r="E1142">
        <v>2013</v>
      </c>
      <c r="F1142" s="9"/>
      <c r="H1142" s="20" t="str">
        <f t="shared" si="17"/>
        <v>(nextval('obj_part_id_seq'), (select id from obj_building_v where zip||'|'||street||'|'||name||'|'||volume = '8589|St. Gallerstrasse|Primarschulanlage Mehrzweckgebäude|13247.00'), 'P61', 0, null, 2013,null),</v>
      </c>
    </row>
    <row r="1143" spans="1:8" x14ac:dyDescent="0.25">
      <c r="A1143" s="9" t="s">
        <v>1830</v>
      </c>
      <c r="B1143" s="9" t="s">
        <v>1144</v>
      </c>
      <c r="C1143">
        <v>0</v>
      </c>
      <c r="D1143" t="s">
        <v>4080</v>
      </c>
      <c r="E1143">
        <v>2013</v>
      </c>
      <c r="F1143" s="9"/>
      <c r="H1143" s="20" t="str">
        <f t="shared" si="17"/>
        <v>(nextval('obj_part_id_seq'), (select id from obj_building_v where zip||'|'||street||'|'||name||'|'||volume = '8589|St. Gallerstrasse|Primarschulanlage Mehrzweckgebäude|13247.00'), 'P62', 0, null, 2013,null),</v>
      </c>
    </row>
    <row r="1144" spans="1:8" x14ac:dyDescent="0.25">
      <c r="A1144" s="9" t="s">
        <v>1843</v>
      </c>
      <c r="B1144" s="9" t="s">
        <v>1127</v>
      </c>
      <c r="C1144">
        <v>37</v>
      </c>
      <c r="D1144">
        <v>90</v>
      </c>
      <c r="E1144">
        <v>2013</v>
      </c>
      <c r="F1144" s="9" t="s">
        <v>1369</v>
      </c>
      <c r="H1144" s="20" t="str">
        <f t="shared" si="17"/>
        <v>(nextval('obj_part_id_seq'), (select id from obj_building_v where zip||'|'||street||'|'||name||'|'||volume = '5620|Badstrasse 1|Dienstgebäude|1132.00'), 'P48', 37, 90, 2013,'Stahlbeton, Mauerwerk'),</v>
      </c>
    </row>
    <row r="1145" spans="1:8" x14ac:dyDescent="0.25">
      <c r="A1145" s="9" t="s">
        <v>1843</v>
      </c>
      <c r="B1145" s="9" t="s">
        <v>1129</v>
      </c>
      <c r="C1145">
        <v>0</v>
      </c>
      <c r="D1145" t="s">
        <v>4080</v>
      </c>
      <c r="E1145">
        <v>2013</v>
      </c>
      <c r="F1145" s="9"/>
      <c r="H1145" s="20" t="str">
        <f t="shared" si="17"/>
        <v>(nextval('obj_part_id_seq'), (select id from obj_building_v where zip||'|'||street||'|'||name||'|'||volume = '5620|Badstrasse 1|Dienstgebäude|1132.00'), 'P49', 0, null, 2013,null),</v>
      </c>
    </row>
    <row r="1146" spans="1:8" x14ac:dyDescent="0.25">
      <c r="A1146" s="9" t="s">
        <v>1843</v>
      </c>
      <c r="B1146" s="9" t="s">
        <v>1097</v>
      </c>
      <c r="C1146">
        <v>0</v>
      </c>
      <c r="D1146" t="s">
        <v>4080</v>
      </c>
      <c r="E1146">
        <v>2013</v>
      </c>
      <c r="F1146" s="9"/>
      <c r="H1146" s="20" t="str">
        <f t="shared" si="17"/>
        <v>(nextval('obj_part_id_seq'), (select id from obj_building_v where zip||'|'||street||'|'||name||'|'||volume = '5620|Badstrasse 1|Dienstgebäude|1132.00'), 'P2', 0, null, 2013,null),</v>
      </c>
    </row>
    <row r="1147" spans="1:8" x14ac:dyDescent="0.25">
      <c r="A1147" s="9" t="s">
        <v>1843</v>
      </c>
      <c r="B1147" s="9" t="s">
        <v>1099</v>
      </c>
      <c r="C1147">
        <v>8</v>
      </c>
      <c r="D1147">
        <v>85</v>
      </c>
      <c r="E1147">
        <v>2013</v>
      </c>
      <c r="F1147" s="9" t="s">
        <v>1844</v>
      </c>
      <c r="H1147" s="20" t="str">
        <f t="shared" si="17"/>
        <v>(nextval('obj_part_id_seq'), (select id from obj_building_v where zip||'|'||street||'|'||name||'|'||volume = '5620|Badstrasse 1|Dienstgebäude|1132.00'), 'P3', 8, 85, 2013,'Kiesklebedach, bituminös, z.T. vermoost'),</v>
      </c>
    </row>
    <row r="1148" spans="1:8" x14ac:dyDescent="0.25">
      <c r="A1148" s="9" t="s">
        <v>1843</v>
      </c>
      <c r="B1148" s="9" t="s">
        <v>1100</v>
      </c>
      <c r="C1148">
        <v>9</v>
      </c>
      <c r="D1148">
        <v>90</v>
      </c>
      <c r="E1148">
        <v>2013</v>
      </c>
      <c r="F1148" s="9" t="s">
        <v>1845</v>
      </c>
      <c r="H1148" s="20" t="str">
        <f t="shared" si="17"/>
        <v>(nextval('obj_part_id_seq'), (select id from obj_building_v where zip||'|'||street||'|'||name||'|'||volume = '5620|Badstrasse 1|Dienstgebäude|1132.00'), 'P4', 9, 90, 2013,'Sichtbeton, Balkone aus Stahlbeton, Windfang im OG, Brüstungen und NW-Fassade verwittert'),</v>
      </c>
    </row>
    <row r="1149" spans="1:8" x14ac:dyDescent="0.25">
      <c r="A1149" s="9" t="s">
        <v>1843</v>
      </c>
      <c r="B1149" s="9" t="s">
        <v>1102</v>
      </c>
      <c r="C1149">
        <v>11</v>
      </c>
      <c r="D1149">
        <v>90</v>
      </c>
      <c r="E1149">
        <v>2013</v>
      </c>
      <c r="F1149" s="9" t="s">
        <v>1846</v>
      </c>
      <c r="H1149" s="20" t="str">
        <f t="shared" si="17"/>
        <v>(nextval('obj_part_id_seq'), (select id from obj_building_v where zip||'|'||street||'|'||name||'|'||volume = '5620|Badstrasse 1|Dienstgebäude|1132.00'), 'P5', 11, 90, 2013,'Holz-Metall (''03), IV, RL-Storen'),</v>
      </c>
    </row>
    <row r="1150" spans="1:8" x14ac:dyDescent="0.25">
      <c r="A1150" s="9" t="s">
        <v>1843</v>
      </c>
      <c r="B1150" s="9" t="s">
        <v>1110</v>
      </c>
      <c r="C1150">
        <v>4</v>
      </c>
      <c r="D1150">
        <v>90</v>
      </c>
      <c r="E1150">
        <v>2013</v>
      </c>
      <c r="F1150" s="9" t="s">
        <v>1847</v>
      </c>
      <c r="H1150" s="20" t="str">
        <f t="shared" si="17"/>
        <v>(nextval('obj_part_id_seq'), (select id from obj_building_v where zip||'|'||street||'|'||name||'|'||volume = '5620|Badstrasse 1|Dienstgebäude|1132.00'), 'P9', 4, 90, 2013,'z.T. alte Keramiksicherungen, Sonnerie, Telefonanschluss'),</v>
      </c>
    </row>
    <row r="1151" spans="1:8" x14ac:dyDescent="0.25">
      <c r="A1151" s="9" t="s">
        <v>1843</v>
      </c>
      <c r="B1151" s="9" t="s">
        <v>1104</v>
      </c>
      <c r="C1151">
        <v>0</v>
      </c>
      <c r="D1151" t="s">
        <v>4080</v>
      </c>
      <c r="E1151">
        <v>2013</v>
      </c>
      <c r="F1151" s="9" t="s">
        <v>1848</v>
      </c>
      <c r="H1151" s="20" t="str">
        <f t="shared" si="17"/>
        <v>(nextval('obj_part_id_seq'), (select id from obj_building_v where zip||'|'||street||'|'||name||'|'||volume = '5620|Badstrasse 1|Dienstgebäude|1132.00'), 'P6', 0, null, 2013,'Fernwärme, vom Schulhaus'),</v>
      </c>
    </row>
    <row r="1152" spans="1:8" x14ac:dyDescent="0.25">
      <c r="A1152" s="9" t="s">
        <v>1843</v>
      </c>
      <c r="B1152" s="9" t="s">
        <v>1106</v>
      </c>
      <c r="C1152">
        <v>3</v>
      </c>
      <c r="D1152">
        <v>90</v>
      </c>
      <c r="E1152">
        <v>2013</v>
      </c>
      <c r="F1152" s="9" t="s">
        <v>1571</v>
      </c>
      <c r="H1152" s="20" t="str">
        <f t="shared" si="17"/>
        <v>(nextval('obj_part_id_seq'), (select id from obj_building_v where zip||'|'||street||'|'||name||'|'||volume = '5620|Badstrasse 1|Dienstgebäude|1132.00'), 'P7', 3, 90, 2013,'Bodenheizung'),</v>
      </c>
    </row>
    <row r="1153" spans="1:8" x14ac:dyDescent="0.25">
      <c r="A1153" s="9" t="s">
        <v>1843</v>
      </c>
      <c r="B1153" s="9" t="s">
        <v>1135</v>
      </c>
      <c r="C1153">
        <v>3</v>
      </c>
      <c r="D1153">
        <v>90</v>
      </c>
      <c r="E1153">
        <v>2013</v>
      </c>
      <c r="F1153" s="9" t="s">
        <v>1849</v>
      </c>
      <c r="H1153" s="20" t="str">
        <f t="shared" si="17"/>
        <v>(nextval('obj_part_id_seq'), (select id from obj_building_v where zip||'|'||street||'|'||name||'|'||volume = '5620|Badstrasse 1|Dienstgebäude|1132.00'), 'P54', 3, 90, 2013,'Apparate neuwertig, keine Mängel bekannt'),</v>
      </c>
    </row>
    <row r="1154" spans="1:8" x14ac:dyDescent="0.25">
      <c r="A1154" s="9" t="s">
        <v>1843</v>
      </c>
      <c r="B1154" s="9" t="s">
        <v>1137</v>
      </c>
      <c r="C1154">
        <v>4</v>
      </c>
      <c r="D1154">
        <v>90</v>
      </c>
      <c r="E1154">
        <v>2013</v>
      </c>
      <c r="F1154" s="9" t="s">
        <v>1850</v>
      </c>
      <c r="H1154" s="20" t="str">
        <f t="shared" si="17"/>
        <v>(nextval('obj_part_id_seq'), (select id from obj_building_v where zip||'|'||street||'|'||name||'|'||volume = '5620|Badstrasse 1|Dienstgebäude|1132.00'), 'P55', 4, 90, 2013,'keine Mängel bekannt'),</v>
      </c>
    </row>
    <row r="1155" spans="1:8" x14ac:dyDescent="0.25">
      <c r="A1155" s="9" t="s">
        <v>1843</v>
      </c>
      <c r="B1155" s="9" t="s">
        <v>1155</v>
      </c>
      <c r="C1155">
        <v>0</v>
      </c>
      <c r="D1155" t="s">
        <v>4080</v>
      </c>
      <c r="E1155">
        <v>2013</v>
      </c>
      <c r="F1155" s="9"/>
      <c r="H1155" s="20" t="str">
        <f t="shared" si="17"/>
        <v>(nextval('obj_part_id_seq'), (select id from obj_building_v where zip||'|'||street||'|'||name||'|'||volume = '5620|Badstrasse 1|Dienstgebäude|1132.00'), 'P56', 0, null, 2013,null),</v>
      </c>
    </row>
    <row r="1156" spans="1:8" x14ac:dyDescent="0.25">
      <c r="A1156" s="9" t="s">
        <v>1843</v>
      </c>
      <c r="B1156" s="9" t="s">
        <v>1138</v>
      </c>
      <c r="C1156">
        <v>9</v>
      </c>
      <c r="D1156">
        <v>90</v>
      </c>
      <c r="E1156">
        <v>2013</v>
      </c>
      <c r="F1156" s="9" t="s">
        <v>1851</v>
      </c>
      <c r="H1156" s="20" t="str">
        <f t="shared" si="17"/>
        <v>(nextval('obj_part_id_seq'), (select id from obj_building_v where zip||'|'||street||'|'||name||'|'||volume = '5620|Badstrasse 1|Dienstgebäude|1132.00'), 'P57', 9, 90, 2013,'Eingangtüre mit Glaseinfassung, Einbauschränke, Vorhangbretter'),</v>
      </c>
    </row>
    <row r="1157" spans="1:8" x14ac:dyDescent="0.25">
      <c r="A1157" s="9" t="s">
        <v>1843</v>
      </c>
      <c r="B1157" s="9" t="s">
        <v>1140</v>
      </c>
      <c r="C1157">
        <v>8</v>
      </c>
      <c r="D1157">
        <v>90</v>
      </c>
      <c r="E1157">
        <v>2013</v>
      </c>
      <c r="F1157" s="9" t="s">
        <v>1852</v>
      </c>
      <c r="H1157" s="20" t="str">
        <f t="shared" ref="H1157:H1220" si="18">"(nextval('obj_part_id_seq'), (select id from obj_building_v where zip||'|'||street||'|'||name||'|'||volume = '"&amp;A1157&amp;"'), '"&amp;B1157&amp;"', "&amp;C1157&amp;", "&amp;D1157&amp;", "&amp;IF(ISBLANK(E1157),"null",E1157)&amp;","&amp;IF(ISBLANK(F1157),"null","'"&amp;F1157&amp;"'")&amp;"),"</f>
        <v>(nextval('obj_part_id_seq'), (select id from obj_building_v where zip||'|'||street||'|'||name||'|'||volume = '5620|Badstrasse 1|Dienstgebäude|1132.00'), 'P58', 8, 90, 2013,'B: Keramik, Laminat, Parkett, Zementüberzug, W+D: Verputz, KS-Wände gestrichen'),</v>
      </c>
    </row>
    <row r="1158" spans="1:8" x14ac:dyDescent="0.25">
      <c r="A1158" s="9" t="s">
        <v>1843</v>
      </c>
      <c r="B1158" s="9" t="s">
        <v>1157</v>
      </c>
      <c r="C1158">
        <v>4</v>
      </c>
      <c r="D1158">
        <v>90</v>
      </c>
      <c r="E1158">
        <v>2013</v>
      </c>
      <c r="F1158" s="9" t="s">
        <v>1853</v>
      </c>
      <c r="H1158" s="20" t="str">
        <f t="shared" si="18"/>
        <v>(nextval('obj_part_id_seq'), (select id from obj_building_v where zip||'|'||street||'|'||name||'|'||volume = '5620|Badstrasse 1|Dienstgebäude|1132.00'), 'P59', 4, 90, 2013,'Küche neuwertig, mit GSP, Kühlschrank'),</v>
      </c>
    </row>
    <row r="1159" spans="1:8" x14ac:dyDescent="0.25">
      <c r="A1159" s="9" t="s">
        <v>1843</v>
      </c>
      <c r="B1159" s="9" t="s">
        <v>1142</v>
      </c>
      <c r="C1159">
        <v>0</v>
      </c>
      <c r="D1159" t="s">
        <v>4080</v>
      </c>
      <c r="E1159">
        <v>2013</v>
      </c>
      <c r="F1159" s="9"/>
      <c r="H1159" s="20" t="str">
        <f t="shared" si="18"/>
        <v>(nextval('obj_part_id_seq'), (select id from obj_building_v where zip||'|'||street||'|'||name||'|'||volume = '5620|Badstrasse 1|Dienstgebäude|1132.00'), 'P60', 0, null, 2013,null),</v>
      </c>
    </row>
    <row r="1160" spans="1:8" x14ac:dyDescent="0.25">
      <c r="A1160" s="9" t="s">
        <v>1843</v>
      </c>
      <c r="B1160" s="9" t="s">
        <v>1143</v>
      </c>
      <c r="C1160">
        <v>0</v>
      </c>
      <c r="D1160" t="s">
        <v>4080</v>
      </c>
      <c r="E1160">
        <v>2013</v>
      </c>
      <c r="F1160" s="9"/>
      <c r="H1160" s="20" t="str">
        <f t="shared" si="18"/>
        <v>(nextval('obj_part_id_seq'), (select id from obj_building_v where zip||'|'||street||'|'||name||'|'||volume = '5620|Badstrasse 1|Dienstgebäude|1132.00'), 'P61', 0, null, 2013,null),</v>
      </c>
    </row>
    <row r="1161" spans="1:8" x14ac:dyDescent="0.25">
      <c r="A1161" s="9" t="s">
        <v>1843</v>
      </c>
      <c r="B1161" s="9" t="s">
        <v>1144</v>
      </c>
      <c r="C1161">
        <v>0</v>
      </c>
      <c r="D1161" t="s">
        <v>4080</v>
      </c>
      <c r="E1161">
        <v>2013</v>
      </c>
      <c r="F1161" s="9"/>
      <c r="H1161" s="20" t="str">
        <f t="shared" si="18"/>
        <v>(nextval('obj_part_id_seq'), (select id from obj_building_v where zip||'|'||street||'|'||name||'|'||volume = '5620|Badstrasse 1|Dienstgebäude|1132.00'), 'P62', 0, null, 2013,null),</v>
      </c>
    </row>
    <row r="1162" spans="1:8" x14ac:dyDescent="0.25">
      <c r="A1162" s="9" t="s">
        <v>1854</v>
      </c>
      <c r="B1162" s="9" t="s">
        <v>1127</v>
      </c>
      <c r="C1162">
        <v>27</v>
      </c>
      <c r="D1162">
        <v>90</v>
      </c>
      <c r="E1162">
        <v>2013</v>
      </c>
      <c r="F1162" s="9" t="s">
        <v>1399</v>
      </c>
      <c r="H1162" s="20" t="str">
        <f t="shared" si="18"/>
        <v>(nextval('obj_part_id_seq'), (select id from obj_building_v where zip||'|'||street||'|'||name||'|'||volume = '9470|Volksgartenstrasse 12|Pavillon Hilfsschule|2052.00'), 'P48', 27, 90, 2013,'Holzständerbau'),</v>
      </c>
    </row>
    <row r="1163" spans="1:8" x14ac:dyDescent="0.25">
      <c r="A1163" s="9" t="s">
        <v>1854</v>
      </c>
      <c r="B1163" s="9" t="s">
        <v>1129</v>
      </c>
      <c r="C1163">
        <v>0</v>
      </c>
      <c r="D1163" t="s">
        <v>4080</v>
      </c>
      <c r="E1163">
        <v>2013</v>
      </c>
      <c r="F1163" s="9"/>
      <c r="H1163" s="20" t="str">
        <f t="shared" si="18"/>
        <v>(nextval('obj_part_id_seq'), (select id from obj_building_v where zip||'|'||street||'|'||name||'|'||volume = '9470|Volksgartenstrasse 12|Pavillon Hilfsschule|2052.00'), 'P49', 0, null, 2013,null),</v>
      </c>
    </row>
    <row r="1164" spans="1:8" x14ac:dyDescent="0.25">
      <c r="A1164" s="9" t="s">
        <v>1854</v>
      </c>
      <c r="B1164" s="9" t="s">
        <v>1097</v>
      </c>
      <c r="C1164">
        <v>0</v>
      </c>
      <c r="D1164" t="s">
        <v>4080</v>
      </c>
      <c r="E1164">
        <v>2013</v>
      </c>
      <c r="F1164" s="9"/>
      <c r="H1164" s="20" t="str">
        <f t="shared" si="18"/>
        <v>(nextval('obj_part_id_seq'), (select id from obj_building_v where zip||'|'||street||'|'||name||'|'||volume = '9470|Volksgartenstrasse 12|Pavillon Hilfsschule|2052.00'), 'P2', 0, null, 2013,null),</v>
      </c>
    </row>
    <row r="1165" spans="1:8" x14ac:dyDescent="0.25">
      <c r="A1165" s="9" t="s">
        <v>1854</v>
      </c>
      <c r="B1165" s="9" t="s">
        <v>1099</v>
      </c>
      <c r="C1165">
        <v>20</v>
      </c>
      <c r="D1165">
        <v>80</v>
      </c>
      <c r="E1165">
        <v>2013</v>
      </c>
      <c r="F1165" s="9" t="s">
        <v>1855</v>
      </c>
      <c r="H1165" s="20" t="str">
        <f t="shared" si="18"/>
        <v>(nextval('obj_part_id_seq'), (select id from obj_building_v where zip||'|'||street||'|'||name||'|'||volume = '9470|Volksgartenstrasse 12|Pavillon Hilfsschule|2052.00'), 'P3', 20, 80, 2013,'Kiesdach, Wasserschaden im Dach, undichte Stellen vorhanden, (Dach konnte nicht besichtigt werden)'),</v>
      </c>
    </row>
    <row r="1166" spans="1:8" x14ac:dyDescent="0.25">
      <c r="A1166" s="9" t="s">
        <v>1854</v>
      </c>
      <c r="B1166" s="9" t="s">
        <v>1100</v>
      </c>
      <c r="C1166">
        <v>8</v>
      </c>
      <c r="D1166">
        <v>90</v>
      </c>
      <c r="E1166">
        <v>2013</v>
      </c>
      <c r="F1166" s="9" t="s">
        <v>1305</v>
      </c>
      <c r="H1166" s="20" t="str">
        <f t="shared" si="18"/>
        <v>(nextval('obj_part_id_seq'), (select id from obj_building_v where zip||'|'||street||'|'||name||'|'||volume = '9470|Volksgartenstrasse 12|Pavillon Hilfsschule|2052.00'), 'P4', 8, 90, 2013,'Holz'),</v>
      </c>
    </row>
    <row r="1167" spans="1:8" x14ac:dyDescent="0.25">
      <c r="A1167" s="9" t="s">
        <v>1854</v>
      </c>
      <c r="B1167" s="9" t="s">
        <v>1102</v>
      </c>
      <c r="C1167">
        <v>14</v>
      </c>
      <c r="D1167">
        <v>80</v>
      </c>
      <c r="E1167">
        <v>2013</v>
      </c>
      <c r="F1167" s="9" t="s">
        <v>1856</v>
      </c>
      <c r="H1167" s="20" t="str">
        <f t="shared" si="18"/>
        <v>(nextval('obj_part_id_seq'), (select id from obj_building_v where zip||'|'||street||'|'||name||'|'||volume = '9470|Volksgartenstrasse 12|Pavillon Hilfsschule|2052.00'), 'P5', 14, 80, 2013,'Holz, RL-Storen (tw. mangelhaft), Metall-/Glastüre'),</v>
      </c>
    </row>
    <row r="1168" spans="1:8" x14ac:dyDescent="0.25">
      <c r="A1168" s="9" t="s">
        <v>1854</v>
      </c>
      <c r="B1168" s="9" t="s">
        <v>1110</v>
      </c>
      <c r="C1168">
        <v>4</v>
      </c>
      <c r="D1168">
        <v>80</v>
      </c>
      <c r="E1168">
        <v>2013</v>
      </c>
      <c r="F1168" s="9" t="s">
        <v>1857</v>
      </c>
      <c r="H1168" s="20" t="str">
        <f t="shared" si="18"/>
        <v>(nextval('obj_part_id_seq'), (select id from obj_building_v where zip||'|'||street||'|'||name||'|'||volume = '9470|Volksgartenstrasse 12|Pavillon Hilfsschule|2052.00'), 'P9', 4, 80, 2013,'alte Keramiksicherungen, Beleuchtung älter'),</v>
      </c>
    </row>
    <row r="1169" spans="1:8" x14ac:dyDescent="0.25">
      <c r="A1169" s="9" t="s">
        <v>1854</v>
      </c>
      <c r="B1169" s="9" t="s">
        <v>1104</v>
      </c>
      <c r="C1169">
        <v>0</v>
      </c>
      <c r="D1169" t="s">
        <v>4080</v>
      </c>
      <c r="E1169">
        <v>2013</v>
      </c>
      <c r="F1169" s="9" t="s">
        <v>1235</v>
      </c>
      <c r="H1169" s="20" t="str">
        <f t="shared" si="18"/>
        <v>(nextval('obj_part_id_seq'), (select id from obj_building_v where zip||'|'||street||'|'||name||'|'||volume = '9470|Volksgartenstrasse 12|Pavillon Hilfsschule|2052.00'), 'P6', 0, null, 2013,'Fernwärme'),</v>
      </c>
    </row>
    <row r="1170" spans="1:8" x14ac:dyDescent="0.25">
      <c r="A1170" s="9" t="s">
        <v>1854</v>
      </c>
      <c r="B1170" s="9" t="s">
        <v>1106</v>
      </c>
      <c r="C1170">
        <v>3</v>
      </c>
      <c r="D1170">
        <v>90</v>
      </c>
      <c r="E1170">
        <v>2013</v>
      </c>
      <c r="F1170" s="9" t="s">
        <v>1107</v>
      </c>
      <c r="H1170" s="20" t="str">
        <f t="shared" si="18"/>
        <v>(nextval('obj_part_id_seq'), (select id from obj_building_v where zip||'|'||street||'|'||name||'|'||volume = '9470|Volksgartenstrasse 12|Pavillon Hilfsschule|2052.00'), 'P7', 3, 90, 2013,'Radiatoren mit Thermostaten'),</v>
      </c>
    </row>
    <row r="1171" spans="1:8" x14ac:dyDescent="0.25">
      <c r="A1171" s="9" t="s">
        <v>1854</v>
      </c>
      <c r="B1171" s="9" t="s">
        <v>1135</v>
      </c>
      <c r="C1171">
        <v>1</v>
      </c>
      <c r="D1171">
        <v>90</v>
      </c>
      <c r="E1171">
        <v>2013</v>
      </c>
      <c r="F1171" s="9" t="s">
        <v>1858</v>
      </c>
      <c r="H1171" s="20" t="str">
        <f t="shared" si="18"/>
        <v>(nextval('obj_part_id_seq'), (select id from obj_building_v where zip||'|'||street||'|'||name||'|'||volume = '9470|Volksgartenstrasse 12|Pavillon Hilfsschule|2052.00'), 'P54', 1, 90, 2013,'Apparate zeitgemäss, Boiler'),</v>
      </c>
    </row>
    <row r="1172" spans="1:8" x14ac:dyDescent="0.25">
      <c r="A1172" s="9" t="s">
        <v>1854</v>
      </c>
      <c r="B1172" s="9" t="s">
        <v>1137</v>
      </c>
      <c r="C1172">
        <v>3</v>
      </c>
      <c r="D1172">
        <v>90</v>
      </c>
      <c r="E1172">
        <v>2013</v>
      </c>
      <c r="F1172" s="9" t="s">
        <v>1850</v>
      </c>
      <c r="H1172" s="20" t="str">
        <f t="shared" si="18"/>
        <v>(nextval('obj_part_id_seq'), (select id from obj_building_v where zip||'|'||street||'|'||name||'|'||volume = '9470|Volksgartenstrasse 12|Pavillon Hilfsschule|2052.00'), 'P55', 3, 90, 2013,'keine Mängel bekannt'),</v>
      </c>
    </row>
    <row r="1173" spans="1:8" x14ac:dyDescent="0.25">
      <c r="A1173" s="9" t="s">
        <v>1854</v>
      </c>
      <c r="B1173" s="9" t="s">
        <v>1138</v>
      </c>
      <c r="C1173">
        <v>17</v>
      </c>
      <c r="D1173">
        <v>90</v>
      </c>
      <c r="E1173">
        <v>2013</v>
      </c>
      <c r="F1173" s="9" t="s">
        <v>1859</v>
      </c>
      <c r="H1173" s="20" t="str">
        <f t="shared" si="18"/>
        <v>(nextval('obj_part_id_seq'), (select id from obj_building_v where zip||'|'||street||'|'||name||'|'||volume = '9470|Volksgartenstrasse 12|Pavillon Hilfsschule|2052.00'), 'P57', 17, 90, 2013,'Garderoben, Einbauschränke, Innentüren aus Holz, Küche'),</v>
      </c>
    </row>
    <row r="1174" spans="1:8" x14ac:dyDescent="0.25">
      <c r="A1174" s="9" t="s">
        <v>1854</v>
      </c>
      <c r="B1174" s="9" t="s">
        <v>1140</v>
      </c>
      <c r="C1174">
        <v>3</v>
      </c>
      <c r="D1174">
        <v>90</v>
      </c>
      <c r="E1174">
        <v>2013</v>
      </c>
      <c r="F1174" s="9" t="s">
        <v>1860</v>
      </c>
      <c r="H1174" s="20" t="str">
        <f t="shared" si="18"/>
        <v>(nextval('obj_part_id_seq'), (select id from obj_building_v where zip||'|'||street||'|'||name||'|'||volume = '9470|Volksgartenstrasse 12|Pavillon Hilfsschule|2052.00'), 'P58', 3, 90, 2013,'B: PVC, Linol, Kork, Zementüberzug, Kugelgarn, W: Verputz, Kokosfasertapeten, tw. Täfer, D: Akustikd., Täfer'),</v>
      </c>
    </row>
    <row r="1175" spans="1:8" x14ac:dyDescent="0.25">
      <c r="A1175" s="9" t="s">
        <v>1854</v>
      </c>
      <c r="B1175" s="9" t="s">
        <v>1142</v>
      </c>
      <c r="C1175">
        <v>0</v>
      </c>
      <c r="D1175" t="s">
        <v>4080</v>
      </c>
      <c r="E1175">
        <v>2013</v>
      </c>
      <c r="F1175" s="9"/>
      <c r="H1175" s="20" t="str">
        <f t="shared" si="18"/>
        <v>(nextval('obj_part_id_seq'), (select id from obj_building_v where zip||'|'||street||'|'||name||'|'||volume = '9470|Volksgartenstrasse 12|Pavillon Hilfsschule|2052.00'), 'P60', 0, null, 2013,null),</v>
      </c>
    </row>
    <row r="1176" spans="1:8" x14ac:dyDescent="0.25">
      <c r="A1176" s="9" t="s">
        <v>1854</v>
      </c>
      <c r="B1176" s="9" t="s">
        <v>1143</v>
      </c>
      <c r="C1176">
        <v>0</v>
      </c>
      <c r="D1176" t="s">
        <v>4080</v>
      </c>
      <c r="E1176">
        <v>2013</v>
      </c>
      <c r="F1176" s="9"/>
      <c r="H1176" s="20" t="str">
        <f t="shared" si="18"/>
        <v>(nextval('obj_part_id_seq'), (select id from obj_building_v where zip||'|'||street||'|'||name||'|'||volume = '9470|Volksgartenstrasse 12|Pavillon Hilfsschule|2052.00'), 'P61', 0, null, 2013,null),</v>
      </c>
    </row>
    <row r="1177" spans="1:8" x14ac:dyDescent="0.25">
      <c r="A1177" s="9" t="s">
        <v>1854</v>
      </c>
      <c r="B1177" s="9" t="s">
        <v>1144</v>
      </c>
      <c r="C1177">
        <v>0</v>
      </c>
      <c r="D1177" t="s">
        <v>4080</v>
      </c>
      <c r="E1177">
        <v>2013</v>
      </c>
      <c r="F1177" s="9"/>
      <c r="H1177" s="20" t="str">
        <f t="shared" si="18"/>
        <v>(nextval('obj_part_id_seq'), (select id from obj_building_v where zip||'|'||street||'|'||name||'|'||volume = '9470|Volksgartenstrasse 12|Pavillon Hilfsschule|2052.00'), 'P62', 0, null, 2013,null),</v>
      </c>
    </row>
    <row r="1178" spans="1:8" x14ac:dyDescent="0.25">
      <c r="A1178" s="9" t="s">
        <v>1861</v>
      </c>
      <c r="B1178" s="9" t="s">
        <v>1127</v>
      </c>
      <c r="C1178">
        <v>42</v>
      </c>
      <c r="D1178">
        <v>90</v>
      </c>
      <c r="E1178">
        <v>2013</v>
      </c>
      <c r="F1178" s="9" t="s">
        <v>1862</v>
      </c>
      <c r="H1178" s="20" t="str">
        <f t="shared" si="18"/>
        <v>(nextval('obj_part_id_seq'), (select id from obj_building_v where zip||'|'||street||'|'||name||'|'||volume = '8588|Kirchstrasse|Primarschulanlage Schulhaus Mittelbau|3462.00'), 'P48', 42, 90, 2013,'Stahlbeton, Mauerwerk, Brettschichtträger, Stahlträger/-stütze'),</v>
      </c>
    </row>
    <row r="1179" spans="1:8" x14ac:dyDescent="0.25">
      <c r="A1179" s="9" t="s">
        <v>1861</v>
      </c>
      <c r="B1179" s="9" t="s">
        <v>1129</v>
      </c>
      <c r="C1179">
        <v>0</v>
      </c>
      <c r="D1179" t="s">
        <v>4080</v>
      </c>
      <c r="E1179">
        <v>2013</v>
      </c>
      <c r="F1179" s="9"/>
      <c r="H1179" s="20" t="str">
        <f t="shared" si="18"/>
        <v>(nextval('obj_part_id_seq'), (select id from obj_building_v where zip||'|'||street||'|'||name||'|'||volume = '8588|Kirchstrasse|Primarschulanlage Schulhaus Mittelbau|3462.00'), 'P49', 0, null, 2013,null),</v>
      </c>
    </row>
    <row r="1180" spans="1:8" x14ac:dyDescent="0.25">
      <c r="A1180" s="9" t="s">
        <v>1861</v>
      </c>
      <c r="B1180" s="9" t="s">
        <v>1097</v>
      </c>
      <c r="C1180">
        <v>8</v>
      </c>
      <c r="D1180">
        <v>90</v>
      </c>
      <c r="E1180">
        <v>2013</v>
      </c>
      <c r="F1180" s="9" t="s">
        <v>1863</v>
      </c>
      <c r="H1180" s="20" t="str">
        <f t="shared" si="18"/>
        <v>(nextval('obj_part_id_seq'), (select id from obj_building_v where zip||'|'||street||'|'||name||'|'||volume = '8588|Kirchstrasse|Primarschulanlage Schulhaus Mittelbau|3462.00'), 'P2', 8, 90, 2013,'Kaltdach mit Holzschindeln und Falzziegeln'),</v>
      </c>
    </row>
    <row r="1181" spans="1:8" x14ac:dyDescent="0.25">
      <c r="A1181" s="9" t="s">
        <v>1861</v>
      </c>
      <c r="B1181" s="9" t="s">
        <v>1099</v>
      </c>
      <c r="C1181">
        <v>0</v>
      </c>
      <c r="D1181" t="s">
        <v>4080</v>
      </c>
      <c r="E1181">
        <v>2013</v>
      </c>
      <c r="F1181" s="9"/>
      <c r="H1181" s="20" t="str">
        <f t="shared" si="18"/>
        <v>(nextval('obj_part_id_seq'), (select id from obj_building_v where zip||'|'||street||'|'||name||'|'||volume = '8588|Kirchstrasse|Primarschulanlage Schulhaus Mittelbau|3462.00'), 'P3', 0, null, 2013,null),</v>
      </c>
    </row>
    <row r="1182" spans="1:8" x14ac:dyDescent="0.25">
      <c r="A1182" s="9" t="s">
        <v>1861</v>
      </c>
      <c r="B1182" s="9" t="s">
        <v>1100</v>
      </c>
      <c r="C1182">
        <v>7</v>
      </c>
      <c r="D1182">
        <v>90</v>
      </c>
      <c r="E1182">
        <v>2013</v>
      </c>
      <c r="F1182" s="9" t="s">
        <v>1864</v>
      </c>
      <c r="H1182" s="20" t="str">
        <f t="shared" si="18"/>
        <v>(nextval('obj_part_id_seq'), (select id from obj_building_v where zip||'|'||street||'|'||name||'|'||volume = '8588|Kirchstrasse|Primarschulanlage Schulhaus Mittelbau|3462.00'), 'P4', 7, 90, 2013,'Mauerwerk, verputzt, Kunststeinelemente, Brunnen aus Naturstein'),</v>
      </c>
    </row>
    <row r="1183" spans="1:8" x14ac:dyDescent="0.25">
      <c r="A1183" s="9" t="s">
        <v>1861</v>
      </c>
      <c r="B1183" s="9" t="s">
        <v>1102</v>
      </c>
      <c r="C1183">
        <v>10</v>
      </c>
      <c r="D1183">
        <v>90</v>
      </c>
      <c r="E1183">
        <v>2013</v>
      </c>
      <c r="F1183" s="9" t="s">
        <v>1865</v>
      </c>
      <c r="H1183" s="20" t="str">
        <f t="shared" si="18"/>
        <v>(nextval('obj_part_id_seq'), (select id from obj_building_v where zip||'|'||street||'|'||name||'|'||volume = '8588|Kirchstrasse|Primarschulanlage Schulhaus Mittelbau|3462.00'), 'P5', 10, 90, 2013,'3 Verglasung 2013 IV, Holzlamellen und Rafflamellenstoren'),</v>
      </c>
    </row>
    <row r="1184" spans="1:8" x14ac:dyDescent="0.25">
      <c r="A1184" s="9" t="s">
        <v>1861</v>
      </c>
      <c r="B1184" s="9" t="s">
        <v>1164</v>
      </c>
      <c r="C1184">
        <v>6</v>
      </c>
      <c r="D1184">
        <v>80</v>
      </c>
      <c r="E1184">
        <v>2013</v>
      </c>
      <c r="F1184" s="9" t="s">
        <v>1866</v>
      </c>
      <c r="H1184" s="20" t="str">
        <f t="shared" si="18"/>
        <v>(nextval('obj_part_id_seq'), (select id from obj_building_v where zip||'|'||street||'|'||name||'|'||volume = '8588|Kirchstrasse|Primarschulanlage Schulhaus Mittelbau|3462.00'), 'P50', 6, 80, 2013,'Alte Keramiksicheurungen, Etagenverteilung neuer mit FI-Schaltern, Beleuchtung neuer'),</v>
      </c>
    </row>
    <row r="1185" spans="1:8" x14ac:dyDescent="0.25">
      <c r="A1185" s="9" t="s">
        <v>1861</v>
      </c>
      <c r="B1185" s="9" t="s">
        <v>1166</v>
      </c>
      <c r="C1185">
        <v>1</v>
      </c>
      <c r="D1185">
        <v>90</v>
      </c>
      <c r="E1185">
        <v>2013</v>
      </c>
      <c r="F1185" s="9" t="s">
        <v>1867</v>
      </c>
      <c r="H1185" s="20" t="str">
        <f t="shared" si="18"/>
        <v>(nextval('obj_part_id_seq'), (select id from obj_building_v where zip||'|'||street||'|'||name||'|'||volume = '8588|Kirchstrasse|Primarschulanlage Schulhaus Mittelbau|3462.00'), 'P51', 1, 90, 2013,'Sonnerie, Audioanlage, Telefon'),</v>
      </c>
    </row>
    <row r="1186" spans="1:8" x14ac:dyDescent="0.25">
      <c r="A1186" s="9" t="s">
        <v>1861</v>
      </c>
      <c r="B1186" s="9" t="s">
        <v>1104</v>
      </c>
      <c r="C1186">
        <v>0</v>
      </c>
      <c r="D1186" t="s">
        <v>4080</v>
      </c>
      <c r="E1186">
        <v>2013</v>
      </c>
      <c r="F1186" s="9" t="s">
        <v>1868</v>
      </c>
      <c r="H1186" s="20" t="str">
        <f t="shared" si="18"/>
        <v>(nextval('obj_part_id_seq'), (select id from obj_building_v where zip||'|'||street||'|'||name||'|'||volume = '8588|Kirchstrasse|Primarschulanlage Schulhaus Mittelbau|3462.00'), 'P6', 0, null, 2013,'Fernwärme vom alten Gebäude'),</v>
      </c>
    </row>
    <row r="1187" spans="1:8" x14ac:dyDescent="0.25">
      <c r="A1187" s="9" t="s">
        <v>1861</v>
      </c>
      <c r="B1187" s="9" t="s">
        <v>1106</v>
      </c>
      <c r="C1187">
        <v>3</v>
      </c>
      <c r="D1187">
        <v>90</v>
      </c>
      <c r="E1187">
        <v>2013</v>
      </c>
      <c r="F1187" s="9" t="s">
        <v>1107</v>
      </c>
      <c r="H1187" s="20" t="str">
        <f t="shared" si="18"/>
        <v>(nextval('obj_part_id_seq'), (select id from obj_building_v where zip||'|'||street||'|'||name||'|'||volume = '8588|Kirchstrasse|Primarschulanlage Schulhaus Mittelbau|3462.00'), 'P7', 3, 90, 2013,'Radiatoren mit Thermostaten'),</v>
      </c>
    </row>
    <row r="1188" spans="1:8" x14ac:dyDescent="0.25">
      <c r="A1188" s="9" t="s">
        <v>1861</v>
      </c>
      <c r="B1188" s="9" t="s">
        <v>1108</v>
      </c>
      <c r="C1188">
        <v>4</v>
      </c>
      <c r="D1188">
        <v>90</v>
      </c>
      <c r="E1188">
        <v>2013</v>
      </c>
      <c r="F1188" s="9" t="s">
        <v>1869</v>
      </c>
      <c r="H1188" s="20" t="str">
        <f t="shared" si="18"/>
        <v>(nextval('obj_part_id_seq'), (select id from obj_building_v where zip||'|'||street||'|'||name||'|'||volume = '8588|Kirchstrasse|Primarschulanlage Schulhaus Mittelbau|3462.00'), 'P8', 4, 90, 2013,'Armaturen und Apparate zeitgemäss und ohne Mängel, Durchfluss gewährleistet, Elektroboiler'),</v>
      </c>
    </row>
    <row r="1189" spans="1:8" x14ac:dyDescent="0.25">
      <c r="A1189" s="9" t="s">
        <v>1861</v>
      </c>
      <c r="B1189" s="9" t="s">
        <v>1138</v>
      </c>
      <c r="C1189">
        <v>11</v>
      </c>
      <c r="D1189">
        <v>90</v>
      </c>
      <c r="E1189">
        <v>2013</v>
      </c>
      <c r="F1189" s="9" t="s">
        <v>1870</v>
      </c>
      <c r="H1189" s="20" t="str">
        <f t="shared" si="18"/>
        <v>(nextval('obj_part_id_seq'), (select id from obj_building_v where zip||'|'||street||'|'||name||'|'||volume = '8588|Kirchstrasse|Primarschulanlage Schulhaus Mittelbau|3462.00'), 'P57', 11, 90, 2013,'Arbeitsimse, Geländerhöhe der Treppe ist nicht hoch genug, herunterhängende Metalldecke, Küche LZ neu, Riss in Grund- und Deckputz (überstrichen), Innentüren und WC-Trennwände aus Holz'),</v>
      </c>
    </row>
    <row r="1190" spans="1:8" x14ac:dyDescent="0.25">
      <c r="A1190" s="9" t="s">
        <v>1861</v>
      </c>
      <c r="B1190" s="9" t="s">
        <v>1140</v>
      </c>
      <c r="C1190">
        <v>8</v>
      </c>
      <c r="D1190">
        <v>90</v>
      </c>
      <c r="E1190">
        <v>2013</v>
      </c>
      <c r="F1190" s="9" t="s">
        <v>1871</v>
      </c>
      <c r="H1190" s="20" t="str">
        <f t="shared" si="18"/>
        <v>(nextval('obj_part_id_seq'), (select id from obj_building_v where zip||'|'||street||'|'||name||'|'||volume = '8588|Kirchstrasse|Primarschulanlage Schulhaus Mittelbau|3462.00'), 'P58', 8, 90, 2013,'B: Linol, Keramikplatten, Kunststeinplatten (Treppe) und Parkett W: Glasfasertapete und Putz, gestrichen D: Holztäfer und Putz, gestrichen'),</v>
      </c>
    </row>
    <row r="1191" spans="1:8" x14ac:dyDescent="0.25">
      <c r="A1191" s="9" t="s">
        <v>1861</v>
      </c>
      <c r="B1191" s="9" t="s">
        <v>1142</v>
      </c>
      <c r="C1191">
        <v>0</v>
      </c>
      <c r="D1191" t="s">
        <v>4080</v>
      </c>
      <c r="E1191">
        <v>2013</v>
      </c>
      <c r="F1191" s="9"/>
      <c r="H1191" s="20" t="str">
        <f t="shared" si="18"/>
        <v>(nextval('obj_part_id_seq'), (select id from obj_building_v where zip||'|'||street||'|'||name||'|'||volume = '8588|Kirchstrasse|Primarschulanlage Schulhaus Mittelbau|3462.00'), 'P60', 0, null, 2013,null),</v>
      </c>
    </row>
    <row r="1192" spans="1:8" x14ac:dyDescent="0.25">
      <c r="A1192" s="9" t="s">
        <v>1861</v>
      </c>
      <c r="B1192" s="9" t="s">
        <v>1143</v>
      </c>
      <c r="C1192">
        <v>0</v>
      </c>
      <c r="D1192" t="s">
        <v>4080</v>
      </c>
      <c r="E1192">
        <v>2013</v>
      </c>
      <c r="F1192" s="9"/>
      <c r="H1192" s="20" t="str">
        <f t="shared" si="18"/>
        <v>(nextval('obj_part_id_seq'), (select id from obj_building_v where zip||'|'||street||'|'||name||'|'||volume = '8588|Kirchstrasse|Primarschulanlage Schulhaus Mittelbau|3462.00'), 'P61', 0, null, 2013,null),</v>
      </c>
    </row>
    <row r="1193" spans="1:8" x14ac:dyDescent="0.25">
      <c r="A1193" s="9" t="s">
        <v>1861</v>
      </c>
      <c r="B1193" s="9" t="s">
        <v>1144</v>
      </c>
      <c r="C1193">
        <v>0</v>
      </c>
      <c r="D1193" t="s">
        <v>4080</v>
      </c>
      <c r="E1193">
        <v>2013</v>
      </c>
      <c r="F1193" s="9"/>
      <c r="H1193" s="20" t="str">
        <f t="shared" si="18"/>
        <v>(nextval('obj_part_id_seq'), (select id from obj_building_v where zip||'|'||street||'|'||name||'|'||volume = '8588|Kirchstrasse|Primarschulanlage Schulhaus Mittelbau|3462.00'), 'P62', 0, null, 2013,null),</v>
      </c>
    </row>
    <row r="1194" spans="1:8" x14ac:dyDescent="0.25">
      <c r="A1194" s="9" t="s">
        <v>1872</v>
      </c>
      <c r="B1194" s="9" t="s">
        <v>1127</v>
      </c>
      <c r="C1194">
        <v>41</v>
      </c>
      <c r="D1194">
        <v>70</v>
      </c>
      <c r="E1194">
        <v>2012</v>
      </c>
      <c r="F1194" s="9" t="s">
        <v>1873</v>
      </c>
      <c r="H1194" s="20" t="str">
        <f t="shared" si="18"/>
        <v>(nextval('obj_part_id_seq'), (select id from obj_building_v where zip||'|'||street||'|'||name||'|'||volume = '5620|Kapuzinerhügel 5|Kindergarten Kapuzinerhügel|1615.00'), 'P48', 41, 70, 2012,'Stahlbetonbau, Risse in Fassade vorh.'),</v>
      </c>
    </row>
    <row r="1195" spans="1:8" x14ac:dyDescent="0.25">
      <c r="A1195" s="9" t="s">
        <v>1872</v>
      </c>
      <c r="B1195" s="9" t="s">
        <v>1129</v>
      </c>
      <c r="C1195">
        <v>0</v>
      </c>
      <c r="D1195" t="s">
        <v>4080</v>
      </c>
      <c r="E1195">
        <v>2012</v>
      </c>
      <c r="F1195" s="9"/>
      <c r="H1195" s="20" t="str">
        <f t="shared" si="18"/>
        <v>(nextval('obj_part_id_seq'), (select id from obj_building_v where zip||'|'||street||'|'||name||'|'||volume = '5620|Kapuzinerhügel 5|Kindergarten Kapuzinerhügel|1615.00'), 'P49', 0, null, 2012,null),</v>
      </c>
    </row>
    <row r="1196" spans="1:8" x14ac:dyDescent="0.25">
      <c r="A1196" s="9" t="s">
        <v>1872</v>
      </c>
      <c r="B1196" s="9" t="s">
        <v>1097</v>
      </c>
      <c r="C1196">
        <v>0</v>
      </c>
      <c r="D1196" t="s">
        <v>4080</v>
      </c>
      <c r="E1196">
        <v>2012</v>
      </c>
      <c r="F1196" s="9"/>
      <c r="H1196" s="20" t="str">
        <f t="shared" si="18"/>
        <v>(nextval('obj_part_id_seq'), (select id from obj_building_v where zip||'|'||street||'|'||name||'|'||volume = '5620|Kapuzinerhügel 5|Kindergarten Kapuzinerhügel|1615.00'), 'P2', 0, null, 2012,null),</v>
      </c>
    </row>
    <row r="1197" spans="1:8" x14ac:dyDescent="0.25">
      <c r="A1197" s="9" t="s">
        <v>1872</v>
      </c>
      <c r="B1197" s="9" t="s">
        <v>1099</v>
      </c>
      <c r="C1197">
        <v>8</v>
      </c>
      <c r="D1197">
        <v>90</v>
      </c>
      <c r="E1197">
        <v>2012</v>
      </c>
      <c r="F1197" s="9" t="s">
        <v>1874</v>
      </c>
      <c r="H1197" s="20" t="str">
        <f t="shared" si="18"/>
        <v>(nextval('obj_part_id_seq'), (select id from obj_building_v where zip||'|'||street||'|'||name||'|'||volume = '5620|Kapuzinerhügel 5|Kindergarten Kapuzinerhügel|1615.00'), 'P3', 8, 90, 2012,'Kiesklebedach'),</v>
      </c>
    </row>
    <row r="1198" spans="1:8" x14ac:dyDescent="0.25">
      <c r="A1198" s="9" t="s">
        <v>1872</v>
      </c>
      <c r="B1198" s="9" t="s">
        <v>1100</v>
      </c>
      <c r="C1198">
        <v>7</v>
      </c>
      <c r="D1198">
        <v>50</v>
      </c>
      <c r="E1198">
        <v>2012</v>
      </c>
      <c r="F1198" s="9" t="s">
        <v>1875</v>
      </c>
      <c r="H1198" s="20" t="str">
        <f t="shared" si="18"/>
        <v>(nextval('obj_part_id_seq'), (select id from obj_building_v where zip||'|'||street||'|'||name||'|'||volume = '5620|Kapuzinerhügel 5|Kindergarten Kapuzinerhügel|1615.00'), 'P4', 7, 50, 2012,'Sichtbeton, tw. verputzt, Risse und stellenw. durchfeuchtet'),</v>
      </c>
    </row>
    <row r="1199" spans="1:8" x14ac:dyDescent="0.25">
      <c r="A1199" s="9" t="s">
        <v>1872</v>
      </c>
      <c r="B1199" s="9" t="s">
        <v>1102</v>
      </c>
      <c r="C1199">
        <v>10</v>
      </c>
      <c r="D1199">
        <v>50</v>
      </c>
      <c r="E1199">
        <v>2012</v>
      </c>
      <c r="F1199" s="9" t="s">
        <v>1876</v>
      </c>
      <c r="H1199" s="20" t="str">
        <f t="shared" si="18"/>
        <v>(nextval('obj_part_id_seq'), (select id from obj_building_v where zip||'|'||street||'|'||name||'|'||volume = '5620|Kapuzinerhügel 5|Kindergarten Kapuzinerhügel|1615.00'), 'P5', 10, 50, 2012,'Holzfenster, Scheiben z.T. blind'),</v>
      </c>
    </row>
    <row r="1200" spans="1:8" x14ac:dyDescent="0.25">
      <c r="A1200" s="9" t="s">
        <v>1872</v>
      </c>
      <c r="B1200" s="9" t="s">
        <v>1164</v>
      </c>
      <c r="C1200">
        <v>6</v>
      </c>
      <c r="D1200">
        <v>80</v>
      </c>
      <c r="E1200">
        <v>2012</v>
      </c>
      <c r="F1200" s="9" t="s">
        <v>1877</v>
      </c>
      <c r="H1200" s="20" t="str">
        <f t="shared" si="18"/>
        <v>(nextval('obj_part_id_seq'), (select id from obj_building_v where zip||'|'||street||'|'||name||'|'||volume = '5620|Kapuzinerhügel 5|Kindergarten Kapuzinerhügel|1615.00'), 'P50', 6, 80, 2012,'alte Sicherungen, Leuchten'),</v>
      </c>
    </row>
    <row r="1201" spans="1:8" x14ac:dyDescent="0.25">
      <c r="A1201" s="9" t="s">
        <v>1872</v>
      </c>
      <c r="B1201" s="9" t="s">
        <v>1166</v>
      </c>
      <c r="C1201">
        <v>1</v>
      </c>
      <c r="D1201">
        <v>90</v>
      </c>
      <c r="E1201">
        <v>2012</v>
      </c>
      <c r="F1201" s="9"/>
      <c r="H1201" s="20" t="str">
        <f t="shared" si="18"/>
        <v>(nextval('obj_part_id_seq'), (select id from obj_building_v where zip||'|'||street||'|'||name||'|'||volume = '5620|Kapuzinerhügel 5|Kindergarten Kapuzinerhügel|1615.00'), 'P51', 1, 90, 2012,null),</v>
      </c>
    </row>
    <row r="1202" spans="1:8" x14ac:dyDescent="0.25">
      <c r="A1202" s="9" t="s">
        <v>1872</v>
      </c>
      <c r="B1202" s="9" t="s">
        <v>1104</v>
      </c>
      <c r="C1202">
        <v>0</v>
      </c>
      <c r="D1202" t="s">
        <v>4080</v>
      </c>
      <c r="E1202">
        <v>2012</v>
      </c>
      <c r="F1202" s="9" t="s">
        <v>1878</v>
      </c>
      <c r="H1202" s="20" t="str">
        <f t="shared" si="18"/>
        <v>(nextval('obj_part_id_seq'), (select id from obj_building_v where zip||'|'||street||'|'||name||'|'||volume = '5620|Kapuzinerhügel 5|Kindergarten Kapuzinerhügel|1615.00'), 'P6', 0, null, 2012,'Fernwärme via Nachbargebäude'),</v>
      </c>
    </row>
    <row r="1203" spans="1:8" x14ac:dyDescent="0.25">
      <c r="A1203" s="9" t="s">
        <v>1872</v>
      </c>
      <c r="B1203" s="9" t="s">
        <v>1106</v>
      </c>
      <c r="C1203">
        <v>4</v>
      </c>
      <c r="D1203">
        <v>90</v>
      </c>
      <c r="E1203">
        <v>2012</v>
      </c>
      <c r="F1203" s="9" t="s">
        <v>1879</v>
      </c>
      <c r="H1203" s="20" t="str">
        <f t="shared" si="18"/>
        <v>(nextval('obj_part_id_seq'), (select id from obj_building_v where zip||'|'||street||'|'||name||'|'||volume = '5620|Kapuzinerhügel 5|Kindergarten Kapuzinerhügel|1615.00'), 'P7', 4, 90, 2012,'Konvektoren m. Thermostaten'),</v>
      </c>
    </row>
    <row r="1204" spans="1:8" x14ac:dyDescent="0.25">
      <c r="A1204" s="9" t="s">
        <v>1872</v>
      </c>
      <c r="B1204" s="9" t="s">
        <v>1108</v>
      </c>
      <c r="C1204">
        <v>4</v>
      </c>
      <c r="D1204">
        <v>90</v>
      </c>
      <c r="E1204">
        <v>2012</v>
      </c>
      <c r="F1204" s="9" t="s">
        <v>1880</v>
      </c>
      <c r="H1204" s="20" t="str">
        <f t="shared" si="18"/>
        <v>(nextval('obj_part_id_seq'), (select id from obj_building_v where zip||'|'||street||'|'||name||'|'||volume = '5620|Kapuzinerhügel 5|Kindergarten Kapuzinerhügel|1615.00'), 'P8', 4, 90, 2012,'alter WW-Boiler, Kaffeeküche i.O.'),</v>
      </c>
    </row>
    <row r="1205" spans="1:8" x14ac:dyDescent="0.25">
      <c r="A1205" s="9" t="s">
        <v>1872</v>
      </c>
      <c r="B1205" s="9" t="s">
        <v>1138</v>
      </c>
      <c r="C1205">
        <v>11</v>
      </c>
      <c r="D1205">
        <v>80</v>
      </c>
      <c r="E1205">
        <v>2012</v>
      </c>
      <c r="F1205" s="9" t="s">
        <v>1881</v>
      </c>
      <c r="H1205" s="20" t="str">
        <f t="shared" si="18"/>
        <v>(nextval('obj_part_id_seq'), (select id from obj_building_v where zip||'|'||street||'|'||name||'|'||volume = '5620|Kapuzinerhügel 5|Kindergarten Kapuzinerhügel|1615.00'), 'P57', 11, 80, 2012,'Risse in Innenwänden'),</v>
      </c>
    </row>
    <row r="1206" spans="1:8" x14ac:dyDescent="0.25">
      <c r="A1206" s="9" t="s">
        <v>1872</v>
      </c>
      <c r="B1206" s="9" t="s">
        <v>1140</v>
      </c>
      <c r="C1206">
        <v>8</v>
      </c>
      <c r="D1206">
        <v>80</v>
      </c>
      <c r="E1206">
        <v>2012</v>
      </c>
      <c r="F1206" s="9" t="s">
        <v>1882</v>
      </c>
      <c r="H1206" s="20" t="str">
        <f t="shared" si="18"/>
        <v>(nextval('obj_part_id_seq'), (select id from obj_building_v where zip||'|'||street||'|'||name||'|'||volume = '5620|Kapuzinerhügel 5|Kindergarten Kapuzinerhügel|1615.00'), 'P58', 8, 80, 2012,'D: Täfer, Anstrich, B: PVC, Kunststein, W: Täfer'),</v>
      </c>
    </row>
    <row r="1207" spans="1:8" x14ac:dyDescent="0.25">
      <c r="A1207" s="9" t="s">
        <v>1872</v>
      </c>
      <c r="B1207" s="9" t="s">
        <v>1142</v>
      </c>
      <c r="C1207">
        <v>0</v>
      </c>
      <c r="D1207" t="s">
        <v>4080</v>
      </c>
      <c r="E1207">
        <v>2012</v>
      </c>
      <c r="F1207" s="9"/>
      <c r="H1207" s="20" t="str">
        <f t="shared" si="18"/>
        <v>(nextval('obj_part_id_seq'), (select id from obj_building_v where zip||'|'||street||'|'||name||'|'||volume = '5620|Kapuzinerhügel 5|Kindergarten Kapuzinerhügel|1615.00'), 'P60', 0, null, 2012,null),</v>
      </c>
    </row>
    <row r="1208" spans="1:8" x14ac:dyDescent="0.25">
      <c r="A1208" s="9" t="s">
        <v>1872</v>
      </c>
      <c r="B1208" s="9" t="s">
        <v>1143</v>
      </c>
      <c r="C1208">
        <v>0</v>
      </c>
      <c r="D1208" t="s">
        <v>4080</v>
      </c>
      <c r="E1208">
        <v>2012</v>
      </c>
      <c r="F1208" s="9"/>
      <c r="H1208" s="20" t="str">
        <f t="shared" si="18"/>
        <v>(nextval('obj_part_id_seq'), (select id from obj_building_v where zip||'|'||street||'|'||name||'|'||volume = '5620|Kapuzinerhügel 5|Kindergarten Kapuzinerhügel|1615.00'), 'P61', 0, null, 2012,null),</v>
      </c>
    </row>
    <row r="1209" spans="1:8" x14ac:dyDescent="0.25">
      <c r="A1209" s="9" t="s">
        <v>1872</v>
      </c>
      <c r="B1209" s="9" t="s">
        <v>1144</v>
      </c>
      <c r="C1209">
        <v>0</v>
      </c>
      <c r="D1209" t="s">
        <v>4080</v>
      </c>
      <c r="E1209">
        <v>2012</v>
      </c>
      <c r="F1209" s="9"/>
      <c r="H1209" s="20" t="str">
        <f t="shared" si="18"/>
        <v>(nextval('obj_part_id_seq'), (select id from obj_building_v where zip||'|'||street||'|'||name||'|'||volume = '5620|Kapuzinerhügel 5|Kindergarten Kapuzinerhügel|1615.00'), 'P62', 0, null, 2012,null),</v>
      </c>
    </row>
    <row r="1210" spans="1:8" x14ac:dyDescent="0.25">
      <c r="A1210" s="9" t="s">
        <v>1883</v>
      </c>
      <c r="B1210" s="9" t="s">
        <v>1127</v>
      </c>
      <c r="C1210">
        <v>32</v>
      </c>
      <c r="D1210">
        <v>90</v>
      </c>
      <c r="E1210">
        <v>2012</v>
      </c>
      <c r="F1210" s="9" t="s">
        <v>1884</v>
      </c>
      <c r="H1210" s="20" t="str">
        <f t="shared" si="18"/>
        <v>(nextval('obj_part_id_seq'), (select id from obj_building_v where zip||'|'||street||'|'||name||'|'||volume = '5620|Wohlerstrasse|Reussbrücke-Saal, Zwischenbau|4816.00'), 'P48', 32, 90, 2012,'Massivbau, Mauerwerk Innenwände aus Kalksandsteine'),</v>
      </c>
    </row>
    <row r="1211" spans="1:8" x14ac:dyDescent="0.25">
      <c r="A1211" s="9" t="s">
        <v>1883</v>
      </c>
      <c r="B1211" s="9" t="s">
        <v>1129</v>
      </c>
      <c r="C1211">
        <v>0</v>
      </c>
      <c r="D1211" t="s">
        <v>4080</v>
      </c>
      <c r="E1211">
        <v>2012</v>
      </c>
      <c r="F1211" s="9"/>
      <c r="H1211" s="20" t="str">
        <f t="shared" si="18"/>
        <v>(nextval('obj_part_id_seq'), (select id from obj_building_v where zip||'|'||street||'|'||name||'|'||volume = '5620|Wohlerstrasse|Reussbrücke-Saal, Zwischenbau|4816.00'), 'P49', 0, null, 2012,null),</v>
      </c>
    </row>
    <row r="1212" spans="1:8" x14ac:dyDescent="0.25">
      <c r="A1212" s="9" t="s">
        <v>1883</v>
      </c>
      <c r="B1212" s="9" t="s">
        <v>1097</v>
      </c>
      <c r="C1212">
        <v>13</v>
      </c>
      <c r="D1212">
        <v>90</v>
      </c>
      <c r="E1212">
        <v>2012</v>
      </c>
      <c r="F1212" s="9" t="s">
        <v>1885</v>
      </c>
      <c r="H1212" s="20" t="str">
        <f t="shared" si="18"/>
        <v>(nextval('obj_part_id_seq'), (select id from obj_building_v where zip||'|'||street||'|'||name||'|'||volume = '5620|Wohlerstrasse|Reussbrücke-Saal, Zwischenbau|4816.00'), 'P2', 13, 90, 2012,'Flachziegeldach'),</v>
      </c>
    </row>
    <row r="1213" spans="1:8" x14ac:dyDescent="0.25">
      <c r="A1213" s="9" t="s">
        <v>1883</v>
      </c>
      <c r="B1213" s="9" t="s">
        <v>1099</v>
      </c>
      <c r="C1213">
        <v>0</v>
      </c>
      <c r="D1213" t="s">
        <v>4080</v>
      </c>
      <c r="E1213">
        <v>2012</v>
      </c>
      <c r="F1213" s="9"/>
      <c r="H1213" s="20" t="str">
        <f t="shared" si="18"/>
        <v>(nextval('obj_part_id_seq'), (select id from obj_building_v where zip||'|'||street||'|'||name||'|'||volume = '5620|Wohlerstrasse|Reussbrücke-Saal, Zwischenbau|4816.00'), 'P3', 0, null, 2012,null),</v>
      </c>
    </row>
    <row r="1214" spans="1:8" x14ac:dyDescent="0.25">
      <c r="A1214" s="9" t="s">
        <v>1883</v>
      </c>
      <c r="B1214" s="9" t="s">
        <v>1100</v>
      </c>
      <c r="C1214">
        <v>6</v>
      </c>
      <c r="D1214">
        <v>80</v>
      </c>
      <c r="E1214">
        <v>2012</v>
      </c>
      <c r="F1214" s="9" t="s">
        <v>1886</v>
      </c>
      <c r="H1214" s="20" t="str">
        <f t="shared" si="18"/>
        <v>(nextval('obj_part_id_seq'), (select id from obj_building_v where zip||'|'||street||'|'||name||'|'||volume = '5620|Wohlerstrasse|Reussbrücke-Saal, Zwischenbau|4816.00'), 'P4', 6, 80, 2012,'Innen- und Aussenwärmedämmung'),</v>
      </c>
    </row>
    <row r="1215" spans="1:8" x14ac:dyDescent="0.25">
      <c r="A1215" s="9" t="s">
        <v>1883</v>
      </c>
      <c r="B1215" s="9" t="s">
        <v>1102</v>
      </c>
      <c r="C1215">
        <v>8</v>
      </c>
      <c r="D1215">
        <v>90</v>
      </c>
      <c r="E1215">
        <v>2012</v>
      </c>
      <c r="F1215" s="9" t="s">
        <v>1887</v>
      </c>
      <c r="H1215" s="20" t="str">
        <f t="shared" si="18"/>
        <v>(nextval('obj_part_id_seq'), (select id from obj_building_v where zip||'|'||street||'|'||name||'|'||volume = '5620|Wohlerstrasse|Reussbrücke-Saal, Zwischenbau|4816.00'), 'P5', 8, 90, 2012,'Holz-/Metallfesnster IV ''98'),</v>
      </c>
    </row>
    <row r="1216" spans="1:8" x14ac:dyDescent="0.25">
      <c r="A1216" s="9" t="s">
        <v>1883</v>
      </c>
      <c r="B1216" s="9" t="s">
        <v>1110</v>
      </c>
      <c r="C1216">
        <v>5</v>
      </c>
      <c r="D1216">
        <v>90</v>
      </c>
      <c r="E1216">
        <v>2012</v>
      </c>
      <c r="F1216" s="9" t="s">
        <v>1888</v>
      </c>
      <c r="H1216" s="20" t="str">
        <f t="shared" si="18"/>
        <v>(nextval('obj_part_id_seq'), (select id from obj_building_v where zip||'|'||street||'|'||name||'|'||volume = '5620|Wohlerstrasse|Reussbrücke-Saal, Zwischenbau|4816.00'), 'P9', 5, 90, 2012,'Beleuchtung ausreichend'),</v>
      </c>
    </row>
    <row r="1217" spans="1:8" x14ac:dyDescent="0.25">
      <c r="A1217" s="9" t="s">
        <v>1883</v>
      </c>
      <c r="B1217" s="9" t="s">
        <v>1104</v>
      </c>
      <c r="C1217">
        <v>0</v>
      </c>
      <c r="D1217" t="s">
        <v>4080</v>
      </c>
      <c r="E1217">
        <v>2012</v>
      </c>
      <c r="F1217" s="9" t="s">
        <v>1235</v>
      </c>
      <c r="H1217" s="20" t="str">
        <f t="shared" si="18"/>
        <v>(nextval('obj_part_id_seq'), (select id from obj_building_v where zip||'|'||street||'|'||name||'|'||volume = '5620|Wohlerstrasse|Reussbrücke-Saal, Zwischenbau|4816.00'), 'P6', 0, null, 2012,'Fernwärme'),</v>
      </c>
    </row>
    <row r="1218" spans="1:8" x14ac:dyDescent="0.25">
      <c r="A1218" s="9" t="s">
        <v>1883</v>
      </c>
      <c r="B1218" s="9" t="s">
        <v>1106</v>
      </c>
      <c r="C1218">
        <v>6</v>
      </c>
      <c r="D1218">
        <v>90</v>
      </c>
      <c r="E1218">
        <v>2012</v>
      </c>
      <c r="F1218" s="9" t="s">
        <v>1375</v>
      </c>
      <c r="H1218" s="20" t="str">
        <f t="shared" si="18"/>
        <v>(nextval('obj_part_id_seq'), (select id from obj_building_v where zip||'|'||street||'|'||name||'|'||volume = '5620|Wohlerstrasse|Reussbrücke-Saal, Zwischenbau|4816.00'), 'P7', 6, 90, 2012,'Radiatoren m. Thermostaten'),</v>
      </c>
    </row>
    <row r="1219" spans="1:8" x14ac:dyDescent="0.25">
      <c r="A1219" s="9" t="s">
        <v>1883</v>
      </c>
      <c r="B1219" s="9" t="s">
        <v>1403</v>
      </c>
      <c r="C1219">
        <v>2</v>
      </c>
      <c r="D1219">
        <v>90</v>
      </c>
      <c r="E1219">
        <v>2012</v>
      </c>
      <c r="F1219" s="9" t="s">
        <v>1889</v>
      </c>
      <c r="H1219" s="20" t="str">
        <f t="shared" si="18"/>
        <v>(nextval('obj_part_id_seq'), (select id from obj_building_v where zip||'|'||street||'|'||name||'|'||volume = '5620|Wohlerstrasse|Reussbrücke-Saal, Zwischenbau|4816.00'), 'P52', 2, 90, 2012,'Lüftung Spielgruppenraum mit Küche'),</v>
      </c>
    </row>
    <row r="1220" spans="1:8" x14ac:dyDescent="0.25">
      <c r="A1220" s="9" t="s">
        <v>1883</v>
      </c>
      <c r="B1220" s="9" t="s">
        <v>1404</v>
      </c>
      <c r="C1220">
        <v>2</v>
      </c>
      <c r="D1220">
        <v>90</v>
      </c>
      <c r="E1220">
        <v>2012</v>
      </c>
      <c r="F1220" s="9" t="s">
        <v>1890</v>
      </c>
      <c r="H1220" s="20" t="str">
        <f t="shared" si="18"/>
        <v>(nextval('obj_part_id_seq'), (select id from obj_building_v where zip||'|'||street||'|'||name||'|'||volume = '5620|Wohlerstrasse|Reussbrücke-Saal, Zwischenbau|4816.00'), 'P53', 2, 90, 2012,'Lüftung Küche/WC/Du'),</v>
      </c>
    </row>
    <row r="1221" spans="1:8" x14ac:dyDescent="0.25">
      <c r="A1221" s="9" t="s">
        <v>1883</v>
      </c>
      <c r="B1221" s="9" t="s">
        <v>1135</v>
      </c>
      <c r="C1221">
        <v>2</v>
      </c>
      <c r="D1221">
        <v>90</v>
      </c>
      <c r="E1221">
        <v>2012</v>
      </c>
      <c r="F1221" s="9"/>
      <c r="H1221" s="20" t="str">
        <f t="shared" ref="H1221:H1284" si="19">"(nextval('obj_part_id_seq'), (select id from obj_building_v where zip||'|'||street||'|'||name||'|'||volume = '"&amp;A1221&amp;"'), '"&amp;B1221&amp;"', "&amp;C1221&amp;", "&amp;D1221&amp;", "&amp;IF(ISBLANK(E1221),"null",E1221)&amp;","&amp;IF(ISBLANK(F1221),"null","'"&amp;F1221&amp;"'")&amp;"),"</f>
        <v>(nextval('obj_part_id_seq'), (select id from obj_building_v where zip||'|'||street||'|'||name||'|'||volume = '5620|Wohlerstrasse|Reussbrücke-Saal, Zwischenbau|4816.00'), 'P54', 2, 90, 2012,null),</v>
      </c>
    </row>
    <row r="1222" spans="1:8" x14ac:dyDescent="0.25">
      <c r="A1222" s="9" t="s">
        <v>1883</v>
      </c>
      <c r="B1222" s="9" t="s">
        <v>1137</v>
      </c>
      <c r="C1222">
        <v>3</v>
      </c>
      <c r="D1222">
        <v>90</v>
      </c>
      <c r="E1222">
        <v>2012</v>
      </c>
      <c r="F1222" s="9"/>
      <c r="H1222" s="20" t="str">
        <f t="shared" si="19"/>
        <v>(nextval('obj_part_id_seq'), (select id from obj_building_v where zip||'|'||street||'|'||name||'|'||volume = '5620|Wohlerstrasse|Reussbrücke-Saal, Zwischenbau|4816.00'), 'P55', 3, 90, 2012,null),</v>
      </c>
    </row>
    <row r="1223" spans="1:8" x14ac:dyDescent="0.25">
      <c r="A1223" s="9" t="s">
        <v>1883</v>
      </c>
      <c r="B1223" s="9" t="s">
        <v>1138</v>
      </c>
      <c r="C1223">
        <v>10</v>
      </c>
      <c r="D1223">
        <v>90</v>
      </c>
      <c r="E1223">
        <v>2012</v>
      </c>
      <c r="F1223" s="9" t="s">
        <v>1891</v>
      </c>
      <c r="H1223" s="20" t="str">
        <f t="shared" si="19"/>
        <v>(nextval('obj_part_id_seq'), (select id from obj_building_v where zip||'|'||street||'|'||name||'|'||volume = '5620|Wohlerstrasse|Reussbrücke-Saal, Zwischenbau|4816.00'), 'P57', 10, 90, 2012,'Wände mit Holzwerkstoffplatten'),</v>
      </c>
    </row>
    <row r="1224" spans="1:8" x14ac:dyDescent="0.25">
      <c r="A1224" s="9" t="s">
        <v>1883</v>
      </c>
      <c r="B1224" s="9" t="s">
        <v>1140</v>
      </c>
      <c r="C1224">
        <v>11</v>
      </c>
      <c r="D1224">
        <v>90</v>
      </c>
      <c r="E1224">
        <v>2012</v>
      </c>
      <c r="F1224" s="9" t="s">
        <v>1892</v>
      </c>
      <c r="H1224" s="20" t="str">
        <f t="shared" si="19"/>
        <v>(nextval('obj_part_id_seq'), (select id from obj_building_v where zip||'|'||street||'|'||name||'|'||volume = '5620|Wohlerstrasse|Reussbrücke-Saal, Zwischenbau|4816.00'), 'P58', 11, 90, 2012,'Wände: verputzt, Böden: Keramik, TH-Boden, Decken: verputzt, Heraklit'),</v>
      </c>
    </row>
    <row r="1225" spans="1:8" x14ac:dyDescent="0.25">
      <c r="A1225" s="9" t="s">
        <v>1883</v>
      </c>
      <c r="B1225" s="9" t="s">
        <v>1142</v>
      </c>
      <c r="C1225">
        <v>0</v>
      </c>
      <c r="D1225" t="s">
        <v>4080</v>
      </c>
      <c r="E1225">
        <v>2012</v>
      </c>
      <c r="F1225" s="9"/>
      <c r="H1225" s="20" t="str">
        <f t="shared" si="19"/>
        <v>(nextval('obj_part_id_seq'), (select id from obj_building_v where zip||'|'||street||'|'||name||'|'||volume = '5620|Wohlerstrasse|Reussbrücke-Saal, Zwischenbau|4816.00'), 'P60', 0, null, 2012,null),</v>
      </c>
    </row>
    <row r="1226" spans="1:8" x14ac:dyDescent="0.25">
      <c r="A1226" s="9" t="s">
        <v>1883</v>
      </c>
      <c r="B1226" s="9" t="s">
        <v>1143</v>
      </c>
      <c r="C1226">
        <v>0</v>
      </c>
      <c r="D1226" t="s">
        <v>4080</v>
      </c>
      <c r="E1226">
        <v>2012</v>
      </c>
      <c r="F1226" s="9"/>
      <c r="H1226" s="20" t="str">
        <f t="shared" si="19"/>
        <v>(nextval('obj_part_id_seq'), (select id from obj_building_v where zip||'|'||street||'|'||name||'|'||volume = '5620|Wohlerstrasse|Reussbrücke-Saal, Zwischenbau|4816.00'), 'P61', 0, null, 2012,null),</v>
      </c>
    </row>
    <row r="1227" spans="1:8" x14ac:dyDescent="0.25">
      <c r="A1227" s="9" t="s">
        <v>1883</v>
      </c>
      <c r="B1227" s="9" t="s">
        <v>1144</v>
      </c>
      <c r="C1227">
        <v>0</v>
      </c>
      <c r="D1227" t="s">
        <v>4080</v>
      </c>
      <c r="E1227">
        <v>2012</v>
      </c>
      <c r="F1227" s="9"/>
      <c r="H1227" s="20" t="str">
        <f t="shared" si="19"/>
        <v>(nextval('obj_part_id_seq'), (select id from obj_building_v where zip||'|'||street||'|'||name||'|'||volume = '5620|Wohlerstrasse|Reussbrücke-Saal, Zwischenbau|4816.00'), 'P62', 0, null, 2012,null),</v>
      </c>
    </row>
    <row r="1228" spans="1:8" x14ac:dyDescent="0.25">
      <c r="A1228" s="9" t="s">
        <v>1893</v>
      </c>
      <c r="B1228" s="9" t="s">
        <v>1127</v>
      </c>
      <c r="C1228">
        <v>32</v>
      </c>
      <c r="D1228">
        <v>85</v>
      </c>
      <c r="E1228">
        <v>2012</v>
      </c>
      <c r="F1228" s="9" t="s">
        <v>1894</v>
      </c>
      <c r="H1228" s="20" t="str">
        <f t="shared" si="19"/>
        <v>(nextval('obj_part_id_seq'), (select id from obj_building_v where zip||'|'||street||'|'||name||'|'||volume = '5620|Kreuzmattstrasse 8|Feuerwehrlokal, SR und Wg.|5039.00'), 'P48', 32, 85, 2012,'Risse in Boden, EG liegt über SR'),</v>
      </c>
    </row>
    <row r="1229" spans="1:8" x14ac:dyDescent="0.25">
      <c r="A1229" s="9" t="s">
        <v>1893</v>
      </c>
      <c r="B1229" s="9" t="s">
        <v>1129</v>
      </c>
      <c r="C1229">
        <v>0</v>
      </c>
      <c r="D1229" t="s">
        <v>4080</v>
      </c>
      <c r="E1229">
        <v>2012</v>
      </c>
      <c r="F1229" s="9"/>
      <c r="H1229" s="20" t="str">
        <f t="shared" si="19"/>
        <v>(nextval('obj_part_id_seq'), (select id from obj_building_v where zip||'|'||street||'|'||name||'|'||volume = '5620|Kreuzmattstrasse 8|Feuerwehrlokal, SR und Wg.|5039.00'), 'P49', 0, null, 2012,null),</v>
      </c>
    </row>
    <row r="1230" spans="1:8" x14ac:dyDescent="0.25">
      <c r="A1230" s="9" t="s">
        <v>1893</v>
      </c>
      <c r="B1230" s="9" t="s">
        <v>1097</v>
      </c>
      <c r="C1230">
        <v>10</v>
      </c>
      <c r="D1230">
        <v>90</v>
      </c>
      <c r="E1230">
        <v>2012</v>
      </c>
      <c r="F1230" s="9" t="s">
        <v>1370</v>
      </c>
      <c r="H1230" s="20" t="str">
        <f t="shared" si="19"/>
        <v>(nextval('obj_part_id_seq'), (select id from obj_building_v where zip||'|'||street||'|'||name||'|'||volume = '5620|Kreuzmattstrasse 8|Feuerwehrlokal, SR und Wg.|5039.00'), 'P2', 10, 90, 2012,'Ziegeldach'),</v>
      </c>
    </row>
    <row r="1231" spans="1:8" x14ac:dyDescent="0.25">
      <c r="A1231" s="9" t="s">
        <v>1893</v>
      </c>
      <c r="B1231" s="9" t="s">
        <v>1099</v>
      </c>
      <c r="C1231">
        <v>3</v>
      </c>
      <c r="D1231">
        <v>90</v>
      </c>
      <c r="E1231">
        <v>2012</v>
      </c>
      <c r="F1231" s="9" t="s">
        <v>1895</v>
      </c>
      <c r="H1231" s="20" t="str">
        <f t="shared" si="19"/>
        <v>(nextval('obj_part_id_seq'), (select id from obj_building_v where zip||'|'||street||'|'||name||'|'||volume = '5620|Kreuzmattstrasse 8|Feuerwehrlokal, SR und Wg.|5039.00'), 'P3', 3, 90, 2012,'Kiesklebedach m. Folie'),</v>
      </c>
    </row>
    <row r="1232" spans="1:8" x14ac:dyDescent="0.25">
      <c r="A1232" s="9" t="s">
        <v>1893</v>
      </c>
      <c r="B1232" s="9" t="s">
        <v>1100</v>
      </c>
      <c r="C1232">
        <v>8</v>
      </c>
      <c r="D1232">
        <v>85</v>
      </c>
      <c r="E1232">
        <v>2012</v>
      </c>
      <c r="F1232" s="9" t="s">
        <v>1896</v>
      </c>
      <c r="H1232" s="20" t="str">
        <f t="shared" si="19"/>
        <v>(nextval('obj_part_id_seq'), (select id from obj_building_v where zip||'|'||street||'|'||name||'|'||volume = '5620|Kreuzmattstrasse 8|Feuerwehrlokal, SR und Wg.|5039.00'), 'P4', 8, 85, 2012,'Doppelschalen-MW, verputzt, Risse vorh.'),</v>
      </c>
    </row>
    <row r="1233" spans="1:8" x14ac:dyDescent="0.25">
      <c r="A1233" s="9" t="s">
        <v>1893</v>
      </c>
      <c r="B1233" s="9" t="s">
        <v>1102</v>
      </c>
      <c r="C1233">
        <v>15</v>
      </c>
      <c r="D1233">
        <v>70</v>
      </c>
      <c r="E1233">
        <v>2012</v>
      </c>
      <c r="F1233" s="9" t="s">
        <v>1897</v>
      </c>
      <c r="H1233" s="20" t="str">
        <f t="shared" si="19"/>
        <v>(nextval('obj_part_id_seq'), (select id from obj_building_v where zip||'|'||street||'|'||name||'|'||volume = '5620|Kreuzmattstrasse 8|Feuerwehrlokal, SR und Wg.|5039.00'), 'P5', 15, 70, 2012,'Holzfenster (o. Wetterschenkel)'),</v>
      </c>
    </row>
    <row r="1234" spans="1:8" x14ac:dyDescent="0.25">
      <c r="A1234" s="9" t="s">
        <v>1893</v>
      </c>
      <c r="B1234" s="9" t="s">
        <v>1110</v>
      </c>
      <c r="C1234">
        <v>5</v>
      </c>
      <c r="D1234">
        <v>85</v>
      </c>
      <c r="E1234">
        <v>2012</v>
      </c>
      <c r="F1234" s="9" t="s">
        <v>1898</v>
      </c>
      <c r="H1234" s="20" t="str">
        <f t="shared" si="19"/>
        <v>(nextval('obj_part_id_seq'), (select id from obj_building_v where zip||'|'||street||'|'||name||'|'||volume = '5620|Kreuzmattstrasse 8|Feuerwehrlokal, SR und Wg.|5039.00'), 'P9', 5, 85, 2012,'alte Sicherungen, Beleuchtung'),</v>
      </c>
    </row>
    <row r="1235" spans="1:8" x14ac:dyDescent="0.25">
      <c r="A1235" s="9" t="s">
        <v>1893</v>
      </c>
      <c r="B1235" s="9" t="s">
        <v>1104</v>
      </c>
      <c r="C1235">
        <v>0</v>
      </c>
      <c r="D1235" t="s">
        <v>4080</v>
      </c>
      <c r="E1235">
        <v>2012</v>
      </c>
      <c r="F1235" s="9" t="s">
        <v>1899</v>
      </c>
      <c r="H1235" s="20" t="str">
        <f t="shared" si="19"/>
        <v>(nextval('obj_part_id_seq'), (select id from obj_building_v where zip||'|'||street||'|'||name||'|'||volume = '5620|Kreuzmattstrasse 8|Feuerwehrlokal, SR und Wg.|5039.00'), 'P6', 0, null, 2012,'Fernwärme, Oelfeuerung noch vorh.'),</v>
      </c>
    </row>
    <row r="1236" spans="1:8" x14ac:dyDescent="0.25">
      <c r="A1236" s="9" t="s">
        <v>1893</v>
      </c>
      <c r="B1236" s="9" t="s">
        <v>1106</v>
      </c>
      <c r="C1236">
        <v>6</v>
      </c>
      <c r="D1236">
        <v>85</v>
      </c>
      <c r="E1236">
        <v>2012</v>
      </c>
      <c r="F1236" s="9" t="s">
        <v>1900</v>
      </c>
      <c r="H1236" s="20" t="str">
        <f t="shared" si="19"/>
        <v>(nextval('obj_part_id_seq'), (select id from obj_building_v where zip||'|'||street||'|'||name||'|'||volume = '5620|Kreuzmattstrasse 8|Feuerwehrlokal, SR und Wg.|5039.00'), 'P7', 6, 85, 2012,'Radiatoren m. Thermostat, WG m. Bodenheizung'),</v>
      </c>
    </row>
    <row r="1237" spans="1:8" x14ac:dyDescent="0.25">
      <c r="A1237" s="9" t="s">
        <v>1893</v>
      </c>
      <c r="B1237" s="9" t="s">
        <v>1403</v>
      </c>
      <c r="C1237">
        <v>0</v>
      </c>
      <c r="D1237" t="s">
        <v>4080</v>
      </c>
      <c r="E1237">
        <v>2012</v>
      </c>
      <c r="F1237" s="9"/>
      <c r="H1237" s="20" t="str">
        <f t="shared" si="19"/>
        <v>(nextval('obj_part_id_seq'), (select id from obj_building_v where zip||'|'||street||'|'||name||'|'||volume = '5620|Kreuzmattstrasse 8|Feuerwehrlokal, SR und Wg.|5039.00'), 'P52', 0, null, 2012,null),</v>
      </c>
    </row>
    <row r="1238" spans="1:8" x14ac:dyDescent="0.25">
      <c r="A1238" s="9" t="s">
        <v>1893</v>
      </c>
      <c r="B1238" s="9" t="s">
        <v>1404</v>
      </c>
      <c r="C1238">
        <v>0</v>
      </c>
      <c r="D1238" t="s">
        <v>4080</v>
      </c>
      <c r="E1238">
        <v>2012</v>
      </c>
      <c r="F1238" s="9"/>
      <c r="H1238" s="20" t="str">
        <f t="shared" si="19"/>
        <v>(nextval('obj_part_id_seq'), (select id from obj_building_v where zip||'|'||street||'|'||name||'|'||volume = '5620|Kreuzmattstrasse 8|Feuerwehrlokal, SR und Wg.|5039.00'), 'P53', 0, null, 2012,null),</v>
      </c>
    </row>
    <row r="1239" spans="1:8" x14ac:dyDescent="0.25">
      <c r="A1239" s="9" t="s">
        <v>1893</v>
      </c>
      <c r="B1239" s="9" t="s">
        <v>1108</v>
      </c>
      <c r="C1239">
        <v>6</v>
      </c>
      <c r="D1239">
        <v>80</v>
      </c>
      <c r="E1239">
        <v>2012</v>
      </c>
      <c r="F1239" s="9" t="s">
        <v>1901</v>
      </c>
      <c r="H1239" s="20" t="str">
        <f t="shared" si="19"/>
        <v>(nextval('obj_part_id_seq'), (select id from obj_building_v where zip||'|'||street||'|'||name||'|'||volume = '5620|Kreuzmattstrasse 8|Feuerwehrlokal, SR und Wg.|5039.00'), 'P8', 6, 80, 2012,'Ablauf tw. undicht, KW/WW z.T. wenig Druck'),</v>
      </c>
    </row>
    <row r="1240" spans="1:8" x14ac:dyDescent="0.25">
      <c r="A1240" s="9" t="s">
        <v>1893</v>
      </c>
      <c r="B1240" s="9" t="s">
        <v>1155</v>
      </c>
      <c r="C1240">
        <v>0</v>
      </c>
      <c r="D1240" t="s">
        <v>4080</v>
      </c>
      <c r="E1240">
        <v>2012</v>
      </c>
      <c r="F1240" s="9"/>
      <c r="H1240" s="20" t="str">
        <f t="shared" si="19"/>
        <v>(nextval('obj_part_id_seq'), (select id from obj_building_v where zip||'|'||street||'|'||name||'|'||volume = '5620|Kreuzmattstrasse 8|Feuerwehrlokal, SR und Wg.|5039.00'), 'P56', 0, null, 2012,null),</v>
      </c>
    </row>
    <row r="1241" spans="1:8" x14ac:dyDescent="0.25">
      <c r="A1241" s="9" t="s">
        <v>1893</v>
      </c>
      <c r="B1241" s="9" t="s">
        <v>1138</v>
      </c>
      <c r="C1241">
        <v>8</v>
      </c>
      <c r="D1241">
        <v>90</v>
      </c>
      <c r="E1241">
        <v>2012</v>
      </c>
      <c r="F1241" s="9" t="s">
        <v>1902</v>
      </c>
      <c r="H1241" s="20" t="str">
        <f t="shared" si="19"/>
        <v>(nextval('obj_part_id_seq'), (select id from obj_building_v where zip||'|'||street||'|'||name||'|'||volume = '5620|Kreuzmattstrasse 8|Feuerwehrlokal, SR und Wg.|5039.00'), 'P57', 8, 90, 2012,'Türen i.O.'),</v>
      </c>
    </row>
    <row r="1242" spans="1:8" x14ac:dyDescent="0.25">
      <c r="A1242" s="9" t="s">
        <v>1893</v>
      </c>
      <c r="B1242" s="9" t="s">
        <v>1140</v>
      </c>
      <c r="C1242">
        <v>5</v>
      </c>
      <c r="D1242">
        <v>85</v>
      </c>
      <c r="E1242">
        <v>2012</v>
      </c>
      <c r="F1242" s="9" t="s">
        <v>1903</v>
      </c>
      <c r="H1242" s="20" t="str">
        <f t="shared" si="19"/>
        <v>(nextval('obj_part_id_seq'), (select id from obj_building_v where zip||'|'||street||'|'||name||'|'||volume = '5620|Kreuzmattstrasse 8|Feuerwehrlokal, SR und Wg.|5039.00'), 'P58', 5, 85, 2012,'D: in Wg. tw. Täfer, in EG Anstrich, tw. Heraklit, B: Hartbeton, in Wg. Teppich'),</v>
      </c>
    </row>
    <row r="1243" spans="1:8" x14ac:dyDescent="0.25">
      <c r="A1243" s="9" t="s">
        <v>1893</v>
      </c>
      <c r="B1243" s="9" t="s">
        <v>1142</v>
      </c>
      <c r="C1243">
        <v>0</v>
      </c>
      <c r="D1243" t="s">
        <v>4080</v>
      </c>
      <c r="E1243">
        <v>2012</v>
      </c>
      <c r="F1243" s="9"/>
      <c r="H1243" s="20" t="str">
        <f t="shared" si="19"/>
        <v>(nextval('obj_part_id_seq'), (select id from obj_building_v where zip||'|'||street||'|'||name||'|'||volume = '5620|Kreuzmattstrasse 8|Feuerwehrlokal, SR und Wg.|5039.00'), 'P60', 0, null, 2012,null),</v>
      </c>
    </row>
    <row r="1244" spans="1:8" x14ac:dyDescent="0.25">
      <c r="A1244" s="9" t="s">
        <v>1893</v>
      </c>
      <c r="B1244" s="9" t="s">
        <v>1143</v>
      </c>
      <c r="C1244">
        <v>2</v>
      </c>
      <c r="D1244">
        <v>90</v>
      </c>
      <c r="E1244">
        <v>2012</v>
      </c>
      <c r="F1244" s="9" t="s">
        <v>1904</v>
      </c>
      <c r="H1244" s="20" t="str">
        <f t="shared" si="19"/>
        <v>(nextval('obj_part_id_seq'), (select id from obj_building_v where zip||'|'||street||'|'||name||'|'||volume = '5620|Kreuzmattstrasse 8|Feuerwehrlokal, SR und Wg.|5039.00'), 'P61', 2, 90, 2012,'Druckluft (Kompr. ''09), Schlauchwaschanlage'),</v>
      </c>
    </row>
    <row r="1245" spans="1:8" x14ac:dyDescent="0.25">
      <c r="A1245" s="9" t="s">
        <v>1893</v>
      </c>
      <c r="B1245" s="9" t="s">
        <v>1144</v>
      </c>
      <c r="C1245">
        <v>0</v>
      </c>
      <c r="D1245" t="s">
        <v>4080</v>
      </c>
      <c r="E1245">
        <v>2012</v>
      </c>
      <c r="F1245" s="9"/>
      <c r="H1245" s="20" t="str">
        <f t="shared" si="19"/>
        <v>(nextval('obj_part_id_seq'), (select id from obj_building_v where zip||'|'||street||'|'||name||'|'||volume = '5620|Kreuzmattstrasse 8|Feuerwehrlokal, SR und Wg.|5039.00'), 'P62', 0, null, 2012,null),</v>
      </c>
    </row>
    <row r="1246" spans="1:8" x14ac:dyDescent="0.25">
      <c r="A1246" s="9" t="s">
        <v>1905</v>
      </c>
      <c r="B1246" s="9" t="s">
        <v>1127</v>
      </c>
      <c r="C1246">
        <v>23</v>
      </c>
      <c r="D1246">
        <v>70</v>
      </c>
      <c r="E1246">
        <v>2012</v>
      </c>
      <c r="F1246" s="9" t="s">
        <v>1906</v>
      </c>
      <c r="H1246" s="20" t="str">
        <f t="shared" si="19"/>
        <v>(nextval('obj_part_id_seq'), (select id from obj_building_v where zip||'|'||street||'|'||name||'|'||volume = '5620|Wohlerstrasse|Casino|8672.00'), 'P48', 23, 70, 2012,'Massiv, Boden Saal Holz'),</v>
      </c>
    </row>
    <row r="1247" spans="1:8" x14ac:dyDescent="0.25">
      <c r="A1247" s="9" t="s">
        <v>1905</v>
      </c>
      <c r="B1247" s="9" t="s">
        <v>1129</v>
      </c>
      <c r="C1247">
        <v>0</v>
      </c>
      <c r="D1247" t="s">
        <v>4080</v>
      </c>
      <c r="E1247">
        <v>2012</v>
      </c>
      <c r="F1247" s="9"/>
      <c r="H1247" s="20" t="str">
        <f t="shared" si="19"/>
        <v>(nextval('obj_part_id_seq'), (select id from obj_building_v where zip||'|'||street||'|'||name||'|'||volume = '5620|Wohlerstrasse|Casino|8672.00'), 'P49', 0, null, 2012,null),</v>
      </c>
    </row>
    <row r="1248" spans="1:8" x14ac:dyDescent="0.25">
      <c r="A1248" s="9" t="s">
        <v>1905</v>
      </c>
      <c r="B1248" s="9" t="s">
        <v>1097</v>
      </c>
      <c r="C1248">
        <v>14</v>
      </c>
      <c r="D1248">
        <v>80</v>
      </c>
      <c r="E1248">
        <v>2012</v>
      </c>
      <c r="F1248" s="9" t="s">
        <v>1907</v>
      </c>
      <c r="H1248" s="20" t="str">
        <f t="shared" si="19"/>
        <v>(nextval('obj_part_id_seq'), (select id from obj_building_v where zip||'|'||street||'|'||name||'|'||volume = '5620|Wohlerstrasse|Casino|8672.00'), 'P2', 14, 80, 2012,'Ziegeleindeckung'),</v>
      </c>
    </row>
    <row r="1249" spans="1:8" x14ac:dyDescent="0.25">
      <c r="A1249" s="9" t="s">
        <v>1905</v>
      </c>
      <c r="B1249" s="9" t="s">
        <v>1099</v>
      </c>
      <c r="C1249">
        <v>0</v>
      </c>
      <c r="D1249" t="s">
        <v>4080</v>
      </c>
      <c r="E1249">
        <v>2012</v>
      </c>
      <c r="F1249" s="9" t="s">
        <v>1908</v>
      </c>
      <c r="H1249" s="20" t="str">
        <f t="shared" si="19"/>
        <v>(nextval('obj_part_id_seq'), (select id from obj_building_v where zip||'|'||street||'|'||name||'|'||volume = '5620|Wohlerstrasse|Casino|8672.00'), 'P3', 0, null, 2012,'Blechdach; Hagelschaden, geflickt'),</v>
      </c>
    </row>
    <row r="1250" spans="1:8" x14ac:dyDescent="0.25">
      <c r="A1250" s="9" t="s">
        <v>1905</v>
      </c>
      <c r="B1250" s="9" t="s">
        <v>1100</v>
      </c>
      <c r="C1250">
        <v>10</v>
      </c>
      <c r="D1250">
        <v>80</v>
      </c>
      <c r="E1250">
        <v>2012</v>
      </c>
      <c r="F1250" s="9" t="s">
        <v>1909</v>
      </c>
      <c r="H1250" s="20" t="str">
        <f t="shared" si="19"/>
        <v>(nextval('obj_part_id_seq'), (select id from obj_building_v where zip||'|'||street||'|'||name||'|'||volume = '5620|Wohlerstrasse|Casino|8672.00'), 'P4', 10, 80, 2012,'Mauerwerk, verputzt, Dämmung ungenügend'),</v>
      </c>
    </row>
    <row r="1251" spans="1:8" x14ac:dyDescent="0.25">
      <c r="A1251" s="9" t="s">
        <v>1905</v>
      </c>
      <c r="B1251" s="9" t="s">
        <v>1102</v>
      </c>
      <c r="C1251">
        <v>12</v>
      </c>
      <c r="D1251">
        <v>80</v>
      </c>
      <c r="E1251">
        <v>2012</v>
      </c>
      <c r="F1251" s="9" t="s">
        <v>1910</v>
      </c>
      <c r="H1251" s="20" t="str">
        <f t="shared" si="19"/>
        <v>(nextval('obj_part_id_seq'), (select id from obj_building_v where zip||'|'||street||'|'||name||'|'||volume = '5620|Wohlerstrasse|Casino|8672.00'), 'P5', 12, 80, 2012,'DV, alt, Rolläden im OG und innere Verdunklung'),</v>
      </c>
    </row>
    <row r="1252" spans="1:8" x14ac:dyDescent="0.25">
      <c r="A1252" s="9" t="s">
        <v>1905</v>
      </c>
      <c r="B1252" s="9" t="s">
        <v>1110</v>
      </c>
      <c r="C1252">
        <v>4</v>
      </c>
      <c r="D1252">
        <v>70</v>
      </c>
      <c r="E1252">
        <v>2012</v>
      </c>
      <c r="F1252" s="9" t="s">
        <v>1911</v>
      </c>
      <c r="H1252" s="20" t="str">
        <f t="shared" si="19"/>
        <v>(nextval('obj_part_id_seq'), (select id from obj_building_v where zip||'|'||street||'|'||name||'|'||volume = '5620|Wohlerstrasse|Casino|8672.00'), 'P9', 4, 70, 2012,'genügende Absicherungen seit Ersatz, Bühnentechnik veraltet'),</v>
      </c>
    </row>
    <row r="1253" spans="1:8" x14ac:dyDescent="0.25">
      <c r="A1253" s="9" t="s">
        <v>1905</v>
      </c>
      <c r="B1253" s="9" t="s">
        <v>1104</v>
      </c>
      <c r="C1253">
        <v>0</v>
      </c>
      <c r="D1253" t="s">
        <v>4080</v>
      </c>
      <c r="E1253">
        <v>2012</v>
      </c>
      <c r="F1253" s="9" t="s">
        <v>1912</v>
      </c>
      <c r="H1253" s="20" t="str">
        <f t="shared" si="19"/>
        <v>(nextval('obj_part_id_seq'), (select id from obj_building_v where zip||'|'||street||'|'||name||'|'||volume = '5620|Wohlerstrasse|Casino|8672.00'), 'P6', 0, null, 2012,'Fernwärme, Lüftungsheizung'),</v>
      </c>
    </row>
    <row r="1254" spans="1:8" x14ac:dyDescent="0.25">
      <c r="A1254" s="9" t="s">
        <v>1905</v>
      </c>
      <c r="B1254" s="9" t="s">
        <v>1106</v>
      </c>
      <c r="C1254">
        <v>3</v>
      </c>
      <c r="D1254">
        <v>90</v>
      </c>
      <c r="E1254">
        <v>2012</v>
      </c>
      <c r="F1254" s="9" t="s">
        <v>1913</v>
      </c>
      <c r="H1254" s="20" t="str">
        <f t="shared" si="19"/>
        <v>(nextval('obj_part_id_seq'), (select id from obj_building_v where zip||'|'||street||'|'||name||'|'||volume = '5620|Wohlerstrasse|Casino|8672.00'), 'P7', 3, 90, 2012,'Bühnenteil kann nicht geheizt werden'),</v>
      </c>
    </row>
    <row r="1255" spans="1:8" x14ac:dyDescent="0.25">
      <c r="A1255" s="9" t="s">
        <v>1905</v>
      </c>
      <c r="B1255" s="9" t="s">
        <v>1403</v>
      </c>
      <c r="C1255">
        <v>4</v>
      </c>
      <c r="D1255">
        <v>50</v>
      </c>
      <c r="E1255">
        <v>2012</v>
      </c>
      <c r="F1255" s="9" t="s">
        <v>1914</v>
      </c>
      <c r="H1255" s="20" t="str">
        <f t="shared" si="19"/>
        <v>(nextval('obj_part_id_seq'), (select id from obj_building_v where zip||'|'||street||'|'||name||'|'||volume = '5620|Wohlerstrasse|Casino|8672.00'), 'P52', 4, 50, 2012,'Lüftung für UG und EG sep.'),</v>
      </c>
    </row>
    <row r="1256" spans="1:8" x14ac:dyDescent="0.25">
      <c r="A1256" s="9" t="s">
        <v>1905</v>
      </c>
      <c r="B1256" s="9" t="s">
        <v>1404</v>
      </c>
      <c r="C1256">
        <v>4</v>
      </c>
      <c r="D1256">
        <v>50</v>
      </c>
      <c r="E1256">
        <v>2012</v>
      </c>
      <c r="F1256" s="9"/>
      <c r="H1256" s="20" t="str">
        <f t="shared" si="19"/>
        <v>(nextval('obj_part_id_seq'), (select id from obj_building_v where zip||'|'||street||'|'||name||'|'||volume = '5620|Wohlerstrasse|Casino|8672.00'), 'P53', 4, 50, 2012,null),</v>
      </c>
    </row>
    <row r="1257" spans="1:8" x14ac:dyDescent="0.25">
      <c r="A1257" s="9" t="s">
        <v>1905</v>
      </c>
      <c r="B1257" s="9" t="s">
        <v>1108</v>
      </c>
      <c r="C1257">
        <v>5</v>
      </c>
      <c r="D1257">
        <v>90</v>
      </c>
      <c r="E1257">
        <v>2012</v>
      </c>
      <c r="F1257" s="9" t="s">
        <v>1915</v>
      </c>
      <c r="H1257" s="20" t="str">
        <f t="shared" si="19"/>
        <v>(nextval('obj_part_id_seq'), (select id from obj_building_v where zip||'|'||street||'|'||name||'|'||volume = '5620|Wohlerstrasse|Casino|8672.00'), 'P8', 5, 90, 2012,'Du/WC Garderoben i.O.'),</v>
      </c>
    </row>
    <row r="1258" spans="1:8" x14ac:dyDescent="0.25">
      <c r="A1258" s="9" t="s">
        <v>1905</v>
      </c>
      <c r="B1258" s="9" t="s">
        <v>1138</v>
      </c>
      <c r="C1258">
        <v>11</v>
      </c>
      <c r="D1258">
        <v>50</v>
      </c>
      <c r="E1258">
        <v>2012</v>
      </c>
      <c r="F1258" s="9" t="s">
        <v>1916</v>
      </c>
      <c r="H1258" s="20" t="str">
        <f t="shared" si="19"/>
        <v>(nextval('obj_part_id_seq'), (select id from obj_building_v where zip||'|'||street||'|'||name||'|'||volume = '5620|Wohlerstrasse|Casino|8672.00'), 'P57', 11, 50, 2012,'Bühne und Einrichtungen z.T. schadhaft und veraltet'),</v>
      </c>
    </row>
    <row r="1259" spans="1:8" x14ac:dyDescent="0.25">
      <c r="A1259" s="9" t="s">
        <v>1905</v>
      </c>
      <c r="B1259" s="9" t="s">
        <v>1140</v>
      </c>
      <c r="C1259">
        <v>4</v>
      </c>
      <c r="D1259">
        <v>85</v>
      </c>
      <c r="E1259">
        <v>2012</v>
      </c>
      <c r="F1259" s="9" t="s">
        <v>1917</v>
      </c>
      <c r="H1259" s="20" t="str">
        <f t="shared" si="19"/>
        <v>(nextval('obj_part_id_seq'), (select id from obj_building_v where zip||'|'||street||'|'||name||'|'||volume = '5620|Wohlerstrasse|Casino|8672.00'), 'P58', 4, 85, 2012,'B: Parkett, z.T. defekt'),</v>
      </c>
    </row>
    <row r="1260" spans="1:8" x14ac:dyDescent="0.25">
      <c r="A1260" s="9" t="s">
        <v>1905</v>
      </c>
      <c r="B1260" s="9" t="s">
        <v>1157</v>
      </c>
      <c r="C1260">
        <v>6</v>
      </c>
      <c r="D1260">
        <v>90</v>
      </c>
      <c r="E1260">
        <v>2012</v>
      </c>
      <c r="F1260" s="9" t="s">
        <v>1918</v>
      </c>
      <c r="H1260" s="20" t="str">
        <f t="shared" si="19"/>
        <v>(nextval('obj_part_id_seq'), (select id from obj_building_v where zip||'|'||street||'|'||name||'|'||volume = '5620|Wohlerstrasse|Casino|8672.00'), 'P59', 6, 90, 2012,'Küche i.O., jedoch nicht den Bedürfnissen angepasst'),</v>
      </c>
    </row>
    <row r="1261" spans="1:8" x14ac:dyDescent="0.25">
      <c r="A1261" s="9" t="s">
        <v>1905</v>
      </c>
      <c r="B1261" s="9" t="s">
        <v>1142</v>
      </c>
      <c r="C1261">
        <v>0</v>
      </c>
      <c r="D1261" t="s">
        <v>4080</v>
      </c>
      <c r="E1261">
        <v>2012</v>
      </c>
      <c r="F1261" s="9"/>
      <c r="H1261" s="20" t="str">
        <f t="shared" si="19"/>
        <v>(nextval('obj_part_id_seq'), (select id from obj_building_v where zip||'|'||street||'|'||name||'|'||volume = '5620|Wohlerstrasse|Casino|8672.00'), 'P60', 0, null, 2012,null),</v>
      </c>
    </row>
    <row r="1262" spans="1:8" x14ac:dyDescent="0.25">
      <c r="A1262" s="9" t="s">
        <v>1905</v>
      </c>
      <c r="B1262" s="9" t="s">
        <v>1143</v>
      </c>
      <c r="C1262">
        <v>0</v>
      </c>
      <c r="D1262" t="s">
        <v>4080</v>
      </c>
      <c r="E1262">
        <v>2012</v>
      </c>
      <c r="F1262" s="9"/>
      <c r="H1262" s="20" t="str">
        <f t="shared" si="19"/>
        <v>(nextval('obj_part_id_seq'), (select id from obj_building_v where zip||'|'||street||'|'||name||'|'||volume = '5620|Wohlerstrasse|Casino|8672.00'), 'P61', 0, null, 2012,null),</v>
      </c>
    </row>
    <row r="1263" spans="1:8" x14ac:dyDescent="0.25">
      <c r="A1263" s="9" t="s">
        <v>1905</v>
      </c>
      <c r="B1263" s="9" t="s">
        <v>1144</v>
      </c>
      <c r="C1263">
        <v>0</v>
      </c>
      <c r="D1263" t="s">
        <v>4080</v>
      </c>
      <c r="E1263">
        <v>2012</v>
      </c>
      <c r="F1263" s="9"/>
      <c r="H1263" s="20" t="str">
        <f t="shared" si="19"/>
        <v>(nextval('obj_part_id_seq'), (select id from obj_building_v where zip||'|'||street||'|'||name||'|'||volume = '5620|Wohlerstrasse|Casino|8672.00'), 'P62', 0, null, 2012,null),</v>
      </c>
    </row>
    <row r="1264" spans="1:8" x14ac:dyDescent="0.25">
      <c r="A1264" s="9" t="s">
        <v>1919</v>
      </c>
      <c r="B1264" s="9" t="s">
        <v>1127</v>
      </c>
      <c r="C1264">
        <v>40</v>
      </c>
      <c r="D1264">
        <v>90</v>
      </c>
      <c r="E1264">
        <v>2012</v>
      </c>
      <c r="F1264" s="9" t="s">
        <v>1920</v>
      </c>
      <c r="H1264" s="20" t="str">
        <f t="shared" si="19"/>
        <v>(nextval('obj_part_id_seq'), (select id from obj_building_v where zip||'|'||street||'|'||name||'|'||volume = '5620|Obertorplatz|Stadtschulhaus|17099.00'), 'P48', 40, 90, 2012,'massiv'),</v>
      </c>
    </row>
    <row r="1265" spans="1:8" x14ac:dyDescent="0.25">
      <c r="A1265" s="9" t="s">
        <v>1919</v>
      </c>
      <c r="B1265" s="9" t="s">
        <v>1129</v>
      </c>
      <c r="C1265">
        <v>0</v>
      </c>
      <c r="D1265" t="s">
        <v>4080</v>
      </c>
      <c r="E1265">
        <v>2012</v>
      </c>
      <c r="F1265" s="9"/>
      <c r="H1265" s="20" t="str">
        <f t="shared" si="19"/>
        <v>(nextval('obj_part_id_seq'), (select id from obj_building_v where zip||'|'||street||'|'||name||'|'||volume = '5620|Obertorplatz|Stadtschulhaus|17099.00'), 'P49', 0, null, 2012,null),</v>
      </c>
    </row>
    <row r="1266" spans="1:8" x14ac:dyDescent="0.25">
      <c r="A1266" s="9" t="s">
        <v>1919</v>
      </c>
      <c r="B1266" s="9" t="s">
        <v>1097</v>
      </c>
      <c r="C1266">
        <v>7</v>
      </c>
      <c r="D1266">
        <v>80</v>
      </c>
      <c r="E1266">
        <v>2012</v>
      </c>
      <c r="F1266" s="9" t="s">
        <v>1921</v>
      </c>
      <c r="H1266" s="20" t="str">
        <f t="shared" si="19"/>
        <v>(nextval('obj_part_id_seq'), (select id from obj_building_v where zip||'|'||street||'|'||name||'|'||volume = '5620|Obertorplatz|Stadtschulhaus|17099.00'), 'P2', 7, 80, 2012,'Eternitschindeldach, z.T. vermoost'),</v>
      </c>
    </row>
    <row r="1267" spans="1:8" x14ac:dyDescent="0.25">
      <c r="A1267" s="9" t="s">
        <v>1919</v>
      </c>
      <c r="B1267" s="9" t="s">
        <v>1099</v>
      </c>
      <c r="C1267">
        <v>1</v>
      </c>
      <c r="D1267">
        <v>90</v>
      </c>
      <c r="E1267">
        <v>2012</v>
      </c>
      <c r="F1267" s="9" t="s">
        <v>1922</v>
      </c>
      <c r="H1267" s="20" t="str">
        <f t="shared" si="19"/>
        <v>(nextval('obj_part_id_seq'), (select id from obj_building_v where zip||'|'||street||'|'||name||'|'||volume = '5620|Obertorplatz|Stadtschulhaus|17099.00'), 'P3', 1, 90, 2012,'im Bereich Treppenhaus Kiesklebedach mit Sarnafilfolie (spröde)'),</v>
      </c>
    </row>
    <row r="1268" spans="1:8" x14ac:dyDescent="0.25">
      <c r="A1268" s="9" t="s">
        <v>1919</v>
      </c>
      <c r="B1268" s="9" t="s">
        <v>1100</v>
      </c>
      <c r="C1268">
        <v>7</v>
      </c>
      <c r="D1268">
        <v>80</v>
      </c>
      <c r="E1268">
        <v>2012</v>
      </c>
      <c r="F1268" s="9" t="s">
        <v>1923</v>
      </c>
      <c r="H1268" s="20" t="str">
        <f t="shared" si="19"/>
        <v>(nextval('obj_part_id_seq'), (select id from obj_building_v where zip||'|'||street||'|'||name||'|'||volume = '5620|Obertorplatz|Stadtschulhaus|17099.00'), 'P4', 7, 80, 2012,'Naturstein/MW, verputzt, tw. Risse vorh.'),</v>
      </c>
    </row>
    <row r="1269" spans="1:8" x14ac:dyDescent="0.25">
      <c r="A1269" s="9" t="s">
        <v>1919</v>
      </c>
      <c r="B1269" s="9" t="s">
        <v>1102</v>
      </c>
      <c r="C1269">
        <v>10</v>
      </c>
      <c r="D1269">
        <v>90</v>
      </c>
      <c r="E1269">
        <v>2012</v>
      </c>
      <c r="F1269" s="9" t="s">
        <v>1924</v>
      </c>
      <c r="H1269" s="20" t="str">
        <f t="shared" si="19"/>
        <v>(nextval('obj_part_id_seq'), (select id from obj_building_v where zip||'|'||street||'|'||name||'|'||volume = '5620|Obertorplatz|Stadtschulhaus|17099.00'), 'P5', 10, 90, 2012,'IV-Gläser, Holz-Metall (1/90)'),</v>
      </c>
    </row>
    <row r="1270" spans="1:8" x14ac:dyDescent="0.25">
      <c r="A1270" s="9" t="s">
        <v>1919</v>
      </c>
      <c r="B1270" s="9" t="s">
        <v>1164</v>
      </c>
      <c r="C1270">
        <v>6</v>
      </c>
      <c r="D1270">
        <v>85</v>
      </c>
      <c r="E1270">
        <v>2012</v>
      </c>
      <c r="F1270" s="9" t="s">
        <v>1925</v>
      </c>
      <c r="H1270" s="20" t="str">
        <f t="shared" si="19"/>
        <v>(nextval('obj_part_id_seq'), (select id from obj_building_v where zip||'|'||street||'|'||name||'|'||volume = '5620|Obertorplatz|Stadtschulhaus|17099.00'), 'P50', 6, 85, 2012,'genügende Absicherungen, Beleuchtung z.T. ungenügend'),</v>
      </c>
    </row>
    <row r="1271" spans="1:8" x14ac:dyDescent="0.25">
      <c r="A1271" s="9" t="s">
        <v>1919</v>
      </c>
      <c r="B1271" s="9" t="s">
        <v>1166</v>
      </c>
      <c r="C1271">
        <v>1</v>
      </c>
      <c r="D1271">
        <v>90</v>
      </c>
      <c r="E1271">
        <v>2012</v>
      </c>
      <c r="F1271" s="9" t="s">
        <v>1926</v>
      </c>
      <c r="H1271" s="20" t="str">
        <f t="shared" si="19"/>
        <v>(nextval('obj_part_id_seq'), (select id from obj_building_v where zip||'|'||street||'|'||name||'|'||volume = '5620|Obertorplatz|Stadtschulhaus|17099.00'), 'P51', 1, 90, 2012,'Elostar-Schliessanlage'),</v>
      </c>
    </row>
    <row r="1272" spans="1:8" x14ac:dyDescent="0.25">
      <c r="A1272" s="9" t="s">
        <v>1919</v>
      </c>
      <c r="B1272" s="9" t="s">
        <v>1104</v>
      </c>
      <c r="C1272">
        <v>0</v>
      </c>
      <c r="D1272" t="s">
        <v>4080</v>
      </c>
      <c r="E1272">
        <v>2012</v>
      </c>
      <c r="F1272" s="9" t="s">
        <v>1235</v>
      </c>
      <c r="H1272" s="20" t="str">
        <f t="shared" si="19"/>
        <v>(nextval('obj_part_id_seq'), (select id from obj_building_v where zip||'|'||street||'|'||name||'|'||volume = '5620|Obertorplatz|Stadtschulhaus|17099.00'), 'P6', 0, null, 2012,'Fernwärme'),</v>
      </c>
    </row>
    <row r="1273" spans="1:8" x14ac:dyDescent="0.25">
      <c r="A1273" s="9" t="s">
        <v>1919</v>
      </c>
      <c r="B1273" s="9" t="s">
        <v>1106</v>
      </c>
      <c r="C1273">
        <v>4</v>
      </c>
      <c r="D1273">
        <v>90</v>
      </c>
      <c r="E1273">
        <v>2012</v>
      </c>
      <c r="F1273" s="9" t="s">
        <v>1107</v>
      </c>
      <c r="H1273" s="20" t="str">
        <f t="shared" si="19"/>
        <v>(nextval('obj_part_id_seq'), (select id from obj_building_v where zip||'|'||street||'|'||name||'|'||volume = '5620|Obertorplatz|Stadtschulhaus|17099.00'), 'P7', 4, 90, 2012,'Radiatoren mit Thermostaten'),</v>
      </c>
    </row>
    <row r="1274" spans="1:8" x14ac:dyDescent="0.25">
      <c r="A1274" s="9" t="s">
        <v>1919</v>
      </c>
      <c r="B1274" s="9" t="s">
        <v>1108</v>
      </c>
      <c r="C1274">
        <v>4</v>
      </c>
      <c r="D1274">
        <v>90</v>
      </c>
      <c r="E1274">
        <v>2012</v>
      </c>
      <c r="F1274" s="9" t="s">
        <v>1927</v>
      </c>
      <c r="H1274" s="20" t="str">
        <f t="shared" si="19"/>
        <v>(nextval('obj_part_id_seq'), (select id from obj_building_v where zip||'|'||street||'|'||name||'|'||volume = '5620|Obertorplatz|Stadtschulhaus|17099.00'), 'P8', 4, 90, 2012,'Wasser/Abwasser i.O.'),</v>
      </c>
    </row>
    <row r="1275" spans="1:8" x14ac:dyDescent="0.25">
      <c r="A1275" s="9" t="s">
        <v>1919</v>
      </c>
      <c r="B1275" s="9" t="s">
        <v>1138</v>
      </c>
      <c r="C1275">
        <v>11</v>
      </c>
      <c r="D1275">
        <v>85</v>
      </c>
      <c r="E1275">
        <v>2012</v>
      </c>
      <c r="F1275" s="9" t="s">
        <v>1928</v>
      </c>
      <c r="H1275" s="20" t="str">
        <f t="shared" si="19"/>
        <v>(nextval('obj_part_id_seq'), (select id from obj_building_v where zip||'|'||street||'|'||name||'|'||volume = '5620|Obertorplatz|Stadtschulhaus|17099.00'), 'P57', 11, 85, 2012,'Innentüren i.O., leichte Risse in Wänden MW'),</v>
      </c>
    </row>
    <row r="1276" spans="1:8" x14ac:dyDescent="0.25">
      <c r="A1276" s="9" t="s">
        <v>1919</v>
      </c>
      <c r="B1276" s="9" t="s">
        <v>1140</v>
      </c>
      <c r="C1276">
        <v>8</v>
      </c>
      <c r="D1276">
        <v>90</v>
      </c>
      <c r="E1276">
        <v>2012</v>
      </c>
      <c r="F1276" s="9" t="s">
        <v>1929</v>
      </c>
      <c r="H1276" s="20" t="str">
        <f t="shared" si="19"/>
        <v>(nextval('obj_part_id_seq'), (select id from obj_building_v where zip||'|'||street||'|'||name||'|'||volume = '5620|Obertorplatz|Stadtschulhaus|17099.00'), 'P58', 8, 90, 2012,'B: Teppich(OG), Linol (KZ), Kunststein, Parkett (Singsaal)'),</v>
      </c>
    </row>
    <row r="1277" spans="1:8" x14ac:dyDescent="0.25">
      <c r="A1277" s="9" t="s">
        <v>1919</v>
      </c>
      <c r="B1277" s="9" t="s">
        <v>1142</v>
      </c>
      <c r="C1277">
        <v>0</v>
      </c>
      <c r="D1277" t="s">
        <v>4080</v>
      </c>
      <c r="E1277">
        <v>2012</v>
      </c>
      <c r="F1277" s="9"/>
      <c r="H1277" s="20" t="str">
        <f t="shared" si="19"/>
        <v>(nextval('obj_part_id_seq'), (select id from obj_building_v where zip||'|'||street||'|'||name||'|'||volume = '5620|Obertorplatz|Stadtschulhaus|17099.00'), 'P60', 0, null, 2012,null),</v>
      </c>
    </row>
    <row r="1278" spans="1:8" x14ac:dyDescent="0.25">
      <c r="A1278" s="9" t="s">
        <v>1919</v>
      </c>
      <c r="B1278" s="9" t="s">
        <v>1143</v>
      </c>
      <c r="C1278">
        <v>0</v>
      </c>
      <c r="D1278">
        <v>100</v>
      </c>
      <c r="E1278">
        <v>2012</v>
      </c>
      <c r="F1278" s="9" t="s">
        <v>1930</v>
      </c>
      <c r="H1278" s="20" t="str">
        <f t="shared" si="19"/>
        <v>(nextval('obj_part_id_seq'), (select id from obj_building_v where zip||'|'||street||'|'||name||'|'||volume = '5620|Obertorplatz|Stadtschulhaus|17099.00'), 'P61', 0, 100, 2012,'Aufzugsanlage'),</v>
      </c>
    </row>
    <row r="1279" spans="1:8" x14ac:dyDescent="0.25">
      <c r="A1279" s="9" t="s">
        <v>1919</v>
      </c>
      <c r="B1279" s="9" t="s">
        <v>1144</v>
      </c>
      <c r="C1279">
        <v>0</v>
      </c>
      <c r="D1279" t="s">
        <v>4080</v>
      </c>
      <c r="E1279">
        <v>2012</v>
      </c>
      <c r="F1279" s="9"/>
      <c r="H1279" s="20" t="str">
        <f t="shared" si="19"/>
        <v>(nextval('obj_part_id_seq'), (select id from obj_building_v where zip||'|'||street||'|'||name||'|'||volume = '5620|Obertorplatz|Stadtschulhaus|17099.00'), 'P62', 0, null, 2012,null),</v>
      </c>
    </row>
    <row r="1280" spans="1:8" x14ac:dyDescent="0.25">
      <c r="A1280" s="9" t="s">
        <v>1931</v>
      </c>
      <c r="B1280" s="9" t="s">
        <v>1127</v>
      </c>
      <c r="C1280">
        <v>41</v>
      </c>
      <c r="D1280">
        <v>90</v>
      </c>
      <c r="E1280">
        <v>2012</v>
      </c>
      <c r="F1280" s="9" t="s">
        <v>1192</v>
      </c>
      <c r="H1280" s="20" t="str">
        <f t="shared" si="19"/>
        <v>(nextval('obj_part_id_seq'), (select id from obj_building_v where zip||'|'||street||'|'||name||'|'||volume = '5620|Promenade|Promendenschulhaus|10727.00'), 'P48', 41, 90, 2012,'Stahlbeton'),</v>
      </c>
    </row>
    <row r="1281" spans="1:8" x14ac:dyDescent="0.25">
      <c r="A1281" s="9" t="s">
        <v>1931</v>
      </c>
      <c r="B1281" s="9" t="s">
        <v>1129</v>
      </c>
      <c r="C1281">
        <v>0</v>
      </c>
      <c r="D1281" t="s">
        <v>4080</v>
      </c>
      <c r="E1281">
        <v>2012</v>
      </c>
      <c r="F1281" s="9"/>
      <c r="H1281" s="20" t="str">
        <f t="shared" si="19"/>
        <v>(nextval('obj_part_id_seq'), (select id from obj_building_v where zip||'|'||street||'|'||name||'|'||volume = '5620|Promenade|Promendenschulhaus|10727.00'), 'P49', 0, null, 2012,null),</v>
      </c>
    </row>
    <row r="1282" spans="1:8" x14ac:dyDescent="0.25">
      <c r="A1282" s="9" t="s">
        <v>1931</v>
      </c>
      <c r="B1282" s="9" t="s">
        <v>1097</v>
      </c>
      <c r="C1282">
        <v>0</v>
      </c>
      <c r="D1282" t="s">
        <v>4080</v>
      </c>
      <c r="E1282">
        <v>2012</v>
      </c>
      <c r="F1282" s="9"/>
      <c r="H1282" s="20" t="str">
        <f t="shared" si="19"/>
        <v>(nextval('obj_part_id_seq'), (select id from obj_building_v where zip||'|'||street||'|'||name||'|'||volume = '5620|Promenade|Promendenschulhaus|10727.00'), 'P2', 0, null, 2012,null),</v>
      </c>
    </row>
    <row r="1283" spans="1:8" x14ac:dyDescent="0.25">
      <c r="A1283" s="9" t="s">
        <v>1931</v>
      </c>
      <c r="B1283" s="9" t="s">
        <v>1099</v>
      </c>
      <c r="C1283">
        <v>8</v>
      </c>
      <c r="D1283">
        <v>90</v>
      </c>
      <c r="E1283">
        <v>2012</v>
      </c>
      <c r="F1283" s="9" t="s">
        <v>1932</v>
      </c>
      <c r="H1283" s="20" t="str">
        <f t="shared" si="19"/>
        <v>(nextval('obj_part_id_seq'), (select id from obj_building_v where zip||'|'||street||'|'||name||'|'||volume = '5620|Promenade|Promendenschulhaus|10727.00'), 'P3', 8, 90, 2012,'Kiesklebedach, bei Anbau begrünt (jährl. Kontrolle durch HW)'),</v>
      </c>
    </row>
    <row r="1284" spans="1:8" x14ac:dyDescent="0.25">
      <c r="A1284" s="9" t="s">
        <v>1931</v>
      </c>
      <c r="B1284" s="9" t="s">
        <v>1100</v>
      </c>
      <c r="C1284">
        <v>7</v>
      </c>
      <c r="D1284">
        <v>90</v>
      </c>
      <c r="E1284">
        <v>2012</v>
      </c>
      <c r="F1284" s="9" t="s">
        <v>1933</v>
      </c>
      <c r="H1284" s="20" t="str">
        <f t="shared" si="19"/>
        <v>(nextval('obj_part_id_seq'), (select id from obj_building_v where zip||'|'||street||'|'||name||'|'||volume = '5620|Promenade|Promendenschulhaus|10727.00'), 'P4', 7, 90, 2012,'Metall, hinterl.'),</v>
      </c>
    </row>
    <row r="1285" spans="1:8" x14ac:dyDescent="0.25">
      <c r="A1285" s="9" t="s">
        <v>1931</v>
      </c>
      <c r="B1285" s="9" t="s">
        <v>1102</v>
      </c>
      <c r="C1285">
        <v>10</v>
      </c>
      <c r="D1285">
        <v>80</v>
      </c>
      <c r="E1285">
        <v>2012</v>
      </c>
      <c r="F1285" s="9" t="s">
        <v>1934</v>
      </c>
      <c r="H1285" s="20" t="str">
        <f t="shared" ref="H1285:H1348" si="20">"(nextval('obj_part_id_seq'), (select id from obj_building_v where zip||'|'||street||'|'||name||'|'||volume = '"&amp;A1285&amp;"'), '"&amp;B1285&amp;"', "&amp;C1285&amp;", "&amp;D1285&amp;", "&amp;IF(ISBLANK(E1285),"null",E1285)&amp;","&amp;IF(ISBLANK(F1285),"null","'"&amp;F1285&amp;"'")&amp;"),"</f>
        <v>(nextval('obj_part_id_seq'), (select id from obj_building_v where zip||'|'||street||'|'||name||'|'||volume = '5620|Promenade|Promendenschulhaus|10727.00'), 'P5', 10, 80, 2012,'Holz-Metallf., Stoffstoren und Rafflamellen i.O., Anbau: Wassereintritt ''11 saniert, Rolladenkurbel: Schraube: undicht'),</v>
      </c>
    </row>
    <row r="1286" spans="1:8" x14ac:dyDescent="0.25">
      <c r="A1286" s="9" t="s">
        <v>1931</v>
      </c>
      <c r="B1286" s="9" t="s">
        <v>1164</v>
      </c>
      <c r="C1286">
        <v>6</v>
      </c>
      <c r="D1286">
        <v>80</v>
      </c>
      <c r="E1286">
        <v>2012</v>
      </c>
      <c r="F1286" s="9" t="s">
        <v>1898</v>
      </c>
      <c r="H1286" s="20" t="str">
        <f t="shared" si="20"/>
        <v>(nextval('obj_part_id_seq'), (select id from obj_building_v where zip||'|'||street||'|'||name||'|'||volume = '5620|Promenade|Promendenschulhaus|10727.00'), 'P50', 6, 80, 2012,'alte Sicherungen, Beleuchtung'),</v>
      </c>
    </row>
    <row r="1287" spans="1:8" x14ac:dyDescent="0.25">
      <c r="A1287" s="9" t="s">
        <v>1931</v>
      </c>
      <c r="B1287" s="9" t="s">
        <v>1166</v>
      </c>
      <c r="C1287">
        <v>1</v>
      </c>
      <c r="D1287">
        <v>90</v>
      </c>
      <c r="E1287">
        <v>2012</v>
      </c>
      <c r="F1287" s="9"/>
      <c r="H1287" s="20" t="str">
        <f t="shared" si="20"/>
        <v>(nextval('obj_part_id_seq'), (select id from obj_building_v where zip||'|'||street||'|'||name||'|'||volume = '5620|Promenade|Promendenschulhaus|10727.00'), 'P51', 1, 90, 2012,null),</v>
      </c>
    </row>
    <row r="1288" spans="1:8" x14ac:dyDescent="0.25">
      <c r="A1288" s="9" t="s">
        <v>1931</v>
      </c>
      <c r="B1288" s="9" t="s">
        <v>1104</v>
      </c>
      <c r="C1288">
        <v>0</v>
      </c>
      <c r="D1288" t="s">
        <v>4080</v>
      </c>
      <c r="E1288">
        <v>2012</v>
      </c>
      <c r="F1288" s="9" t="s">
        <v>1235</v>
      </c>
      <c r="H1288" s="20" t="str">
        <f t="shared" si="20"/>
        <v>(nextval('obj_part_id_seq'), (select id from obj_building_v where zip||'|'||street||'|'||name||'|'||volume = '5620|Promenade|Promendenschulhaus|10727.00'), 'P6', 0, null, 2012,'Fernwärme'),</v>
      </c>
    </row>
    <row r="1289" spans="1:8" x14ac:dyDescent="0.25">
      <c r="A1289" s="9" t="s">
        <v>1931</v>
      </c>
      <c r="B1289" s="9" t="s">
        <v>1106</v>
      </c>
      <c r="C1289">
        <v>4</v>
      </c>
      <c r="D1289">
        <v>90</v>
      </c>
      <c r="E1289">
        <v>2012</v>
      </c>
      <c r="F1289" s="9" t="s">
        <v>1935</v>
      </c>
      <c r="H1289" s="20" t="str">
        <f t="shared" si="20"/>
        <v>(nextval('obj_part_id_seq'), (select id from obj_building_v where zip||'|'||street||'|'||name||'|'||volume = '5620|Promenade|Promendenschulhaus|10727.00'), 'P7', 4, 90, 2012,'Radiatoren mit Thermostaten, alte Pumpen, i.O.'),</v>
      </c>
    </row>
    <row r="1290" spans="1:8" x14ac:dyDescent="0.25">
      <c r="A1290" s="9" t="s">
        <v>1931</v>
      </c>
      <c r="B1290" s="9" t="s">
        <v>1108</v>
      </c>
      <c r="C1290">
        <v>4</v>
      </c>
      <c r="D1290">
        <v>85</v>
      </c>
      <c r="E1290">
        <v>2012</v>
      </c>
      <c r="F1290" s="9" t="s">
        <v>1936</v>
      </c>
      <c r="H1290" s="20" t="str">
        <f t="shared" si="20"/>
        <v>(nextval('obj_part_id_seq'), (select id from obj_building_v where zip||'|'||street||'|'||name||'|'||volume = '5620|Promenade|Promendenschulhaus|10727.00'), 'P8', 4, 85, 2012,'Abwasserleitungen tw. mangelhaft'),</v>
      </c>
    </row>
    <row r="1291" spans="1:8" x14ac:dyDescent="0.25">
      <c r="A1291" s="9" t="s">
        <v>1931</v>
      </c>
      <c r="B1291" s="9" t="s">
        <v>1138</v>
      </c>
      <c r="C1291">
        <v>11</v>
      </c>
      <c r="D1291">
        <v>80</v>
      </c>
      <c r="E1291">
        <v>2012</v>
      </c>
      <c r="F1291" s="9" t="s">
        <v>1937</v>
      </c>
      <c r="H1291" s="20" t="str">
        <f t="shared" si="20"/>
        <v>(nextval('obj_part_id_seq'), (select id from obj_building_v where zip||'|'||street||'|'||name||'|'||volume = '5620|Promenade|Promendenschulhaus|10727.00'), 'P57', 11, 80, 2012,'Innere Verglasungen (BSG), Oblichter gg. KZ o. BSG'),</v>
      </c>
    </row>
    <row r="1292" spans="1:8" x14ac:dyDescent="0.25">
      <c r="A1292" s="9" t="s">
        <v>1931</v>
      </c>
      <c r="B1292" s="9" t="s">
        <v>1140</v>
      </c>
      <c r="C1292">
        <v>8</v>
      </c>
      <c r="D1292">
        <v>90</v>
      </c>
      <c r="E1292">
        <v>2012</v>
      </c>
      <c r="F1292" s="9" t="s">
        <v>1938</v>
      </c>
      <c r="H1292" s="20" t="str">
        <f t="shared" si="20"/>
        <v>(nextval('obj_part_id_seq'), (select id from obj_building_v where zip||'|'||street||'|'||name||'|'||volume = '5620|Promenade|Promendenschulhaus|10727.00'), 'P58', 8, 90, 2012,'B: Linol (KZ), Kunststein, W: Putz/Anstrich, D: Täfer, Putz'),</v>
      </c>
    </row>
    <row r="1293" spans="1:8" x14ac:dyDescent="0.25">
      <c r="A1293" s="9" t="s">
        <v>1931</v>
      </c>
      <c r="B1293" s="9" t="s">
        <v>1142</v>
      </c>
      <c r="C1293">
        <v>0</v>
      </c>
      <c r="D1293" t="s">
        <v>4080</v>
      </c>
      <c r="E1293">
        <v>2012</v>
      </c>
      <c r="F1293" s="9"/>
      <c r="H1293" s="20" t="str">
        <f t="shared" si="20"/>
        <v>(nextval('obj_part_id_seq'), (select id from obj_building_v where zip||'|'||street||'|'||name||'|'||volume = '5620|Promenade|Promendenschulhaus|10727.00'), 'P60', 0, null, 2012,null),</v>
      </c>
    </row>
    <row r="1294" spans="1:8" x14ac:dyDescent="0.25">
      <c r="A1294" s="9" t="s">
        <v>1931</v>
      </c>
      <c r="B1294" s="9" t="s">
        <v>1143</v>
      </c>
      <c r="C1294">
        <v>0</v>
      </c>
      <c r="D1294" t="s">
        <v>4080</v>
      </c>
      <c r="E1294">
        <v>2012</v>
      </c>
      <c r="F1294" s="9"/>
      <c r="H1294" s="20" t="str">
        <f t="shared" si="20"/>
        <v>(nextval('obj_part_id_seq'), (select id from obj_building_v where zip||'|'||street||'|'||name||'|'||volume = '5620|Promenade|Promendenschulhaus|10727.00'), 'P61', 0, null, 2012,null),</v>
      </c>
    </row>
    <row r="1295" spans="1:8" x14ac:dyDescent="0.25">
      <c r="A1295" s="9" t="s">
        <v>1931</v>
      </c>
      <c r="B1295" s="9" t="s">
        <v>1144</v>
      </c>
      <c r="C1295">
        <v>0</v>
      </c>
      <c r="D1295" t="s">
        <v>4080</v>
      </c>
      <c r="E1295">
        <v>2012</v>
      </c>
      <c r="F1295" s="9"/>
      <c r="H1295" s="20" t="str">
        <f t="shared" si="20"/>
        <v>(nextval('obj_part_id_seq'), (select id from obj_building_v where zip||'|'||street||'|'||name||'|'||volume = '5620|Promenade|Promendenschulhaus|10727.00'), 'P62', 0, null, 2012,null),</v>
      </c>
    </row>
    <row r="1296" spans="1:8" x14ac:dyDescent="0.25">
      <c r="A1296" s="9" t="s">
        <v>1939</v>
      </c>
      <c r="B1296" s="9" t="s">
        <v>1127</v>
      </c>
      <c r="C1296">
        <v>41</v>
      </c>
      <c r="D1296">
        <v>90</v>
      </c>
      <c r="E1296">
        <v>2012</v>
      </c>
      <c r="F1296" s="9" t="s">
        <v>1920</v>
      </c>
      <c r="H1296" s="20" t="str">
        <f t="shared" si="20"/>
        <v>(nextval('obj_part_id_seq'), (select id from obj_building_v where zip||'|'||street||'|'||name||'|'||volume = '5620|Gartenstrasse|Gartenschulhaus|3929.00'), 'P48', 41, 90, 2012,'massiv'),</v>
      </c>
    </row>
    <row r="1297" spans="1:8" x14ac:dyDescent="0.25">
      <c r="A1297" s="9" t="s">
        <v>1939</v>
      </c>
      <c r="B1297" s="9" t="s">
        <v>1129</v>
      </c>
      <c r="C1297">
        <v>0</v>
      </c>
      <c r="D1297" t="s">
        <v>4080</v>
      </c>
      <c r="E1297">
        <v>2012</v>
      </c>
      <c r="F1297" s="9"/>
      <c r="H1297" s="20" t="str">
        <f t="shared" si="20"/>
        <v>(nextval('obj_part_id_seq'), (select id from obj_building_v where zip||'|'||street||'|'||name||'|'||volume = '5620|Gartenstrasse|Gartenschulhaus|3929.00'), 'P49', 0, null, 2012,null),</v>
      </c>
    </row>
    <row r="1298" spans="1:8" x14ac:dyDescent="0.25">
      <c r="A1298" s="9" t="s">
        <v>1939</v>
      </c>
      <c r="B1298" s="9" t="s">
        <v>1097</v>
      </c>
      <c r="C1298">
        <v>0</v>
      </c>
      <c r="D1298" t="s">
        <v>4080</v>
      </c>
      <c r="E1298">
        <v>2012</v>
      </c>
      <c r="F1298" s="9"/>
      <c r="H1298" s="20" t="str">
        <f t="shared" si="20"/>
        <v>(nextval('obj_part_id_seq'), (select id from obj_building_v where zip||'|'||street||'|'||name||'|'||volume = '5620|Gartenstrasse|Gartenschulhaus|3929.00'), 'P2', 0, null, 2012,null),</v>
      </c>
    </row>
    <row r="1299" spans="1:8" x14ac:dyDescent="0.25">
      <c r="A1299" s="9" t="s">
        <v>1939</v>
      </c>
      <c r="B1299" s="9" t="s">
        <v>1099</v>
      </c>
      <c r="C1299">
        <v>8</v>
      </c>
      <c r="D1299">
        <v>90</v>
      </c>
      <c r="E1299">
        <v>2012</v>
      </c>
      <c r="F1299" s="9" t="s">
        <v>1874</v>
      </c>
      <c r="H1299" s="20" t="str">
        <f t="shared" si="20"/>
        <v>(nextval('obj_part_id_seq'), (select id from obj_building_v where zip||'|'||street||'|'||name||'|'||volume = '5620|Gartenstrasse|Gartenschulhaus|3929.00'), 'P3', 8, 90, 2012,'Kiesklebedach'),</v>
      </c>
    </row>
    <row r="1300" spans="1:8" x14ac:dyDescent="0.25">
      <c r="A1300" s="9" t="s">
        <v>1939</v>
      </c>
      <c r="B1300" s="9" t="s">
        <v>1100</v>
      </c>
      <c r="C1300">
        <v>7</v>
      </c>
      <c r="D1300">
        <v>85</v>
      </c>
      <c r="E1300">
        <v>2012</v>
      </c>
      <c r="F1300" s="9" t="s">
        <v>1940</v>
      </c>
      <c r="H1300" s="20" t="str">
        <f t="shared" si="20"/>
        <v>(nextval('obj_part_id_seq'), (select id from obj_building_v where zip||'|'||street||'|'||name||'|'||volume = '5620|Gartenstrasse|Gartenschulhaus|3929.00'), 'P4', 7, 85, 2012,'Eternit, hinterlüftet'),</v>
      </c>
    </row>
    <row r="1301" spans="1:8" x14ac:dyDescent="0.25">
      <c r="A1301" s="9" t="s">
        <v>1939</v>
      </c>
      <c r="B1301" s="9" t="s">
        <v>1102</v>
      </c>
      <c r="C1301">
        <v>10</v>
      </c>
      <c r="D1301">
        <v>90</v>
      </c>
      <c r="E1301">
        <v>2012</v>
      </c>
      <c r="F1301" s="9" t="s">
        <v>1941</v>
      </c>
      <c r="H1301" s="20" t="str">
        <f t="shared" si="20"/>
        <v>(nextval('obj_part_id_seq'), (select id from obj_building_v where zip||'|'||street||'|'||name||'|'||volume = '5620|Gartenstrasse|Gartenschulhaus|3929.00'), 'P5', 10, 90, 2012,'Holz-Metall und Holz-Schiebefenster'),</v>
      </c>
    </row>
    <row r="1302" spans="1:8" x14ac:dyDescent="0.25">
      <c r="A1302" s="9" t="s">
        <v>1939</v>
      </c>
      <c r="B1302" s="9" t="s">
        <v>1164</v>
      </c>
      <c r="C1302">
        <v>6</v>
      </c>
      <c r="D1302">
        <v>90</v>
      </c>
      <c r="E1302">
        <v>2012</v>
      </c>
      <c r="F1302" s="9" t="s">
        <v>1942</v>
      </c>
      <c r="H1302" s="20" t="str">
        <f t="shared" si="20"/>
        <v>(nextval('obj_part_id_seq'), (select id from obj_building_v where zip||'|'||street||'|'||name||'|'||volume = '5620|Gartenstrasse|Gartenschulhaus|3929.00'), 'P50', 6, 90, 2012,'neuere Leuchten'),</v>
      </c>
    </row>
    <row r="1303" spans="1:8" x14ac:dyDescent="0.25">
      <c r="A1303" s="9" t="s">
        <v>1939</v>
      </c>
      <c r="B1303" s="9" t="s">
        <v>1166</v>
      </c>
      <c r="C1303">
        <v>1</v>
      </c>
      <c r="D1303">
        <v>90</v>
      </c>
      <c r="E1303">
        <v>2012</v>
      </c>
      <c r="F1303" s="9"/>
      <c r="H1303" s="20" t="str">
        <f t="shared" si="20"/>
        <v>(nextval('obj_part_id_seq'), (select id from obj_building_v where zip||'|'||street||'|'||name||'|'||volume = '5620|Gartenstrasse|Gartenschulhaus|3929.00'), 'P51', 1, 90, 2012,null),</v>
      </c>
    </row>
    <row r="1304" spans="1:8" x14ac:dyDescent="0.25">
      <c r="A1304" s="9" t="s">
        <v>1939</v>
      </c>
      <c r="B1304" s="9" t="s">
        <v>1104</v>
      </c>
      <c r="C1304">
        <v>0</v>
      </c>
      <c r="D1304" t="s">
        <v>4080</v>
      </c>
      <c r="E1304">
        <v>2012</v>
      </c>
      <c r="F1304" s="9"/>
      <c r="H1304" s="20" t="str">
        <f t="shared" si="20"/>
        <v>(nextval('obj_part_id_seq'), (select id from obj_building_v where zip||'|'||street||'|'||name||'|'||volume = '5620|Gartenstrasse|Gartenschulhaus|3929.00'), 'P6', 0, null, 2012,null),</v>
      </c>
    </row>
    <row r="1305" spans="1:8" x14ac:dyDescent="0.25">
      <c r="A1305" s="9" t="s">
        <v>1939</v>
      </c>
      <c r="B1305" s="9" t="s">
        <v>1106</v>
      </c>
      <c r="C1305">
        <v>4</v>
      </c>
      <c r="D1305">
        <v>90</v>
      </c>
      <c r="E1305">
        <v>2012</v>
      </c>
      <c r="F1305" s="9"/>
      <c r="H1305" s="20" t="str">
        <f t="shared" si="20"/>
        <v>(nextval('obj_part_id_seq'), (select id from obj_building_v where zip||'|'||street||'|'||name||'|'||volume = '5620|Gartenstrasse|Gartenschulhaus|3929.00'), 'P7', 4, 90, 2012,null),</v>
      </c>
    </row>
    <row r="1306" spans="1:8" x14ac:dyDescent="0.25">
      <c r="A1306" s="9" t="s">
        <v>1939</v>
      </c>
      <c r="B1306" s="9" t="s">
        <v>1108</v>
      </c>
      <c r="C1306">
        <v>4</v>
      </c>
      <c r="D1306">
        <v>90</v>
      </c>
      <c r="E1306">
        <v>2012</v>
      </c>
      <c r="F1306" s="9"/>
      <c r="H1306" s="20" t="str">
        <f t="shared" si="20"/>
        <v>(nextval('obj_part_id_seq'), (select id from obj_building_v where zip||'|'||street||'|'||name||'|'||volume = '5620|Gartenstrasse|Gartenschulhaus|3929.00'), 'P8', 4, 90, 2012,null),</v>
      </c>
    </row>
    <row r="1307" spans="1:8" x14ac:dyDescent="0.25">
      <c r="A1307" s="9" t="s">
        <v>1939</v>
      </c>
      <c r="B1307" s="9" t="s">
        <v>1138</v>
      </c>
      <c r="C1307">
        <v>11</v>
      </c>
      <c r="D1307">
        <v>90</v>
      </c>
      <c r="E1307">
        <v>2012</v>
      </c>
      <c r="F1307" s="9" t="s">
        <v>1943</v>
      </c>
      <c r="H1307" s="20" t="str">
        <f t="shared" si="20"/>
        <v>(nextval('obj_part_id_seq'), (select id from obj_building_v where zip||'|'||street||'|'||name||'|'||volume = '5620|Gartenstrasse|Gartenschulhaus|3929.00'), 'P57', 11, 90, 2012,'tw. Akustikdecken'),</v>
      </c>
    </row>
    <row r="1308" spans="1:8" x14ac:dyDescent="0.25">
      <c r="A1308" s="9" t="s">
        <v>1939</v>
      </c>
      <c r="B1308" s="9" t="s">
        <v>1140</v>
      </c>
      <c r="C1308">
        <v>8</v>
      </c>
      <c r="D1308">
        <v>90</v>
      </c>
      <c r="E1308">
        <v>2012</v>
      </c>
      <c r="F1308" s="9"/>
      <c r="H1308" s="20" t="str">
        <f t="shared" si="20"/>
        <v>(nextval('obj_part_id_seq'), (select id from obj_building_v where zip||'|'||street||'|'||name||'|'||volume = '5620|Gartenstrasse|Gartenschulhaus|3929.00'), 'P58', 8, 90, 2012,null),</v>
      </c>
    </row>
    <row r="1309" spans="1:8" x14ac:dyDescent="0.25">
      <c r="A1309" s="9" t="s">
        <v>1939</v>
      </c>
      <c r="B1309" s="9" t="s">
        <v>1142</v>
      </c>
      <c r="C1309">
        <v>0</v>
      </c>
      <c r="D1309" t="s">
        <v>4080</v>
      </c>
      <c r="E1309">
        <v>2012</v>
      </c>
      <c r="F1309" s="9"/>
      <c r="H1309" s="20" t="str">
        <f t="shared" si="20"/>
        <v>(nextval('obj_part_id_seq'), (select id from obj_building_v where zip||'|'||street||'|'||name||'|'||volume = '5620|Gartenstrasse|Gartenschulhaus|3929.00'), 'P60', 0, null, 2012,null),</v>
      </c>
    </row>
    <row r="1310" spans="1:8" x14ac:dyDescent="0.25">
      <c r="A1310" s="9" t="s">
        <v>1939</v>
      </c>
      <c r="B1310" s="9" t="s">
        <v>1143</v>
      </c>
      <c r="C1310">
        <v>0</v>
      </c>
      <c r="D1310" t="s">
        <v>4080</v>
      </c>
      <c r="E1310">
        <v>2012</v>
      </c>
      <c r="F1310" s="9"/>
      <c r="H1310" s="20" t="str">
        <f t="shared" si="20"/>
        <v>(nextval('obj_part_id_seq'), (select id from obj_building_v where zip||'|'||street||'|'||name||'|'||volume = '5620|Gartenstrasse|Gartenschulhaus|3929.00'), 'P61', 0, null, 2012,null),</v>
      </c>
    </row>
    <row r="1311" spans="1:8" x14ac:dyDescent="0.25">
      <c r="A1311" s="9" t="s">
        <v>1939</v>
      </c>
      <c r="B1311" s="9" t="s">
        <v>1144</v>
      </c>
      <c r="C1311">
        <v>0</v>
      </c>
      <c r="D1311" t="s">
        <v>4080</v>
      </c>
      <c r="E1311">
        <v>2012</v>
      </c>
      <c r="F1311" s="9"/>
      <c r="H1311" s="20" t="str">
        <f t="shared" si="20"/>
        <v>(nextval('obj_part_id_seq'), (select id from obj_building_v where zip||'|'||street||'|'||name||'|'||volume = '5620|Gartenstrasse|Gartenschulhaus|3929.00'), 'P62', 0, null, 2012,null),</v>
      </c>
    </row>
    <row r="1312" spans="1:8" x14ac:dyDescent="0.25">
      <c r="A1312" s="9" t="s">
        <v>1944</v>
      </c>
      <c r="B1312" s="9" t="s">
        <v>1127</v>
      </c>
      <c r="C1312">
        <v>41</v>
      </c>
      <c r="D1312">
        <v>90</v>
      </c>
      <c r="E1312">
        <v>2012</v>
      </c>
      <c r="F1312" s="9" t="s">
        <v>1192</v>
      </c>
      <c r="H1312" s="20" t="str">
        <f t="shared" si="20"/>
        <v>(nextval('obj_part_id_seq'), (select id from obj_building_v where zip||'|'||street||'|'||name||'|'||volume = '5620|Sportstrasse|Turnhalle Bärenmatt|7866.00'), 'P48', 41, 90, 2012,'Stahlbeton'),</v>
      </c>
    </row>
    <row r="1313" spans="1:8" x14ac:dyDescent="0.25">
      <c r="A1313" s="9" t="s">
        <v>1944</v>
      </c>
      <c r="B1313" s="9" t="s">
        <v>1129</v>
      </c>
      <c r="C1313">
        <v>0</v>
      </c>
      <c r="D1313" t="s">
        <v>4080</v>
      </c>
      <c r="E1313">
        <v>2012</v>
      </c>
      <c r="F1313" s="9"/>
      <c r="H1313" s="20" t="str">
        <f t="shared" si="20"/>
        <v>(nextval('obj_part_id_seq'), (select id from obj_building_v where zip||'|'||street||'|'||name||'|'||volume = '5620|Sportstrasse|Turnhalle Bärenmatt|7866.00'), 'P49', 0, null, 2012,null),</v>
      </c>
    </row>
    <row r="1314" spans="1:8" x14ac:dyDescent="0.25">
      <c r="A1314" s="9" t="s">
        <v>1944</v>
      </c>
      <c r="B1314" s="9" t="s">
        <v>1097</v>
      </c>
      <c r="C1314">
        <v>0</v>
      </c>
      <c r="D1314" t="s">
        <v>4080</v>
      </c>
      <c r="E1314">
        <v>2012</v>
      </c>
      <c r="F1314" s="9"/>
      <c r="H1314" s="20" t="str">
        <f t="shared" si="20"/>
        <v>(nextval('obj_part_id_seq'), (select id from obj_building_v where zip||'|'||street||'|'||name||'|'||volume = '5620|Sportstrasse|Turnhalle Bärenmatt|7866.00'), 'P2', 0, null, 2012,null),</v>
      </c>
    </row>
    <row r="1315" spans="1:8" x14ac:dyDescent="0.25">
      <c r="A1315" s="9" t="s">
        <v>1944</v>
      </c>
      <c r="B1315" s="9" t="s">
        <v>1099</v>
      </c>
      <c r="C1315">
        <v>8</v>
      </c>
      <c r="D1315">
        <v>90</v>
      </c>
      <c r="E1315">
        <v>2012</v>
      </c>
      <c r="F1315" s="9" t="s">
        <v>1874</v>
      </c>
      <c r="H1315" s="20" t="str">
        <f t="shared" si="20"/>
        <v>(nextval('obj_part_id_seq'), (select id from obj_building_v where zip||'|'||street||'|'||name||'|'||volume = '5620|Sportstrasse|Turnhalle Bärenmatt|7866.00'), 'P3', 8, 90, 2012,'Kiesklebedach'),</v>
      </c>
    </row>
    <row r="1316" spans="1:8" x14ac:dyDescent="0.25">
      <c r="A1316" s="9" t="s">
        <v>1944</v>
      </c>
      <c r="B1316" s="9" t="s">
        <v>1100</v>
      </c>
      <c r="C1316">
        <v>7</v>
      </c>
      <c r="D1316">
        <v>90</v>
      </c>
      <c r="E1316">
        <v>2012</v>
      </c>
      <c r="F1316" s="9" t="s">
        <v>1698</v>
      </c>
      <c r="H1316" s="20" t="str">
        <f t="shared" si="20"/>
        <v>(nextval('obj_part_id_seq'), (select id from obj_building_v where zip||'|'||street||'|'||name||'|'||volume = '5620|Sportstrasse|Turnhalle Bärenmatt|7866.00'), 'P4', 7, 90, 2012,'Sichtbeton'),</v>
      </c>
    </row>
    <row r="1317" spans="1:8" x14ac:dyDescent="0.25">
      <c r="A1317" s="9" t="s">
        <v>1944</v>
      </c>
      <c r="B1317" s="9" t="s">
        <v>1102</v>
      </c>
      <c r="C1317">
        <v>10</v>
      </c>
      <c r="D1317">
        <v>80</v>
      </c>
      <c r="E1317">
        <v>2012</v>
      </c>
      <c r="F1317" s="9" t="s">
        <v>1945</v>
      </c>
      <c r="H1317" s="20" t="str">
        <f t="shared" si="20"/>
        <v>(nextval('obj_part_id_seq'), (select id from obj_building_v where zip||'|'||street||'|'||name||'|'||volume = '5620|Sportstrasse|Turnhalle Bärenmatt|7866.00'), 'P5', 10, 80, 2012,'Metallfenster, alt, o. Beschattung'),</v>
      </c>
    </row>
    <row r="1318" spans="1:8" x14ac:dyDescent="0.25">
      <c r="A1318" s="9" t="s">
        <v>1944</v>
      </c>
      <c r="B1318" s="9" t="s">
        <v>1164</v>
      </c>
      <c r="C1318">
        <v>6</v>
      </c>
      <c r="D1318">
        <v>80</v>
      </c>
      <c r="E1318">
        <v>2012</v>
      </c>
      <c r="F1318" s="9" t="s">
        <v>1946</v>
      </c>
      <c r="H1318" s="20" t="str">
        <f t="shared" si="20"/>
        <v>(nextval('obj_part_id_seq'), (select id from obj_building_v where zip||'|'||street||'|'||name||'|'||volume = '5620|Sportstrasse|Turnhalle Bärenmatt|7866.00'), 'P50', 6, 80, 2012,'alte Absicherungen und Beleuchtung, Elektro zu FC-Container n. regelkonform'),</v>
      </c>
    </row>
    <row r="1319" spans="1:8" x14ac:dyDescent="0.25">
      <c r="A1319" s="9" t="s">
        <v>1944</v>
      </c>
      <c r="B1319" s="9" t="s">
        <v>1166</v>
      </c>
      <c r="C1319">
        <v>1</v>
      </c>
      <c r="D1319">
        <v>90</v>
      </c>
      <c r="E1319">
        <v>2012</v>
      </c>
      <c r="F1319" s="9"/>
      <c r="H1319" s="20" t="str">
        <f t="shared" si="20"/>
        <v>(nextval('obj_part_id_seq'), (select id from obj_building_v where zip||'|'||street||'|'||name||'|'||volume = '5620|Sportstrasse|Turnhalle Bärenmatt|7866.00'), 'P51', 1, 90, 2012,null),</v>
      </c>
    </row>
    <row r="1320" spans="1:8" x14ac:dyDescent="0.25">
      <c r="A1320" s="9" t="s">
        <v>1944</v>
      </c>
      <c r="B1320" s="9" t="s">
        <v>1104</v>
      </c>
      <c r="C1320">
        <v>0</v>
      </c>
      <c r="D1320" t="s">
        <v>4080</v>
      </c>
      <c r="E1320">
        <v>2012</v>
      </c>
      <c r="F1320" s="9" t="s">
        <v>1235</v>
      </c>
      <c r="H1320" s="20" t="str">
        <f t="shared" si="20"/>
        <v>(nextval('obj_part_id_seq'), (select id from obj_building_v where zip||'|'||street||'|'||name||'|'||volume = '5620|Sportstrasse|Turnhalle Bärenmatt|7866.00'), 'P6', 0, null, 2012,'Fernwärme'),</v>
      </c>
    </row>
    <row r="1321" spans="1:8" x14ac:dyDescent="0.25">
      <c r="A1321" s="9" t="s">
        <v>1944</v>
      </c>
      <c r="B1321" s="9" t="s">
        <v>1106</v>
      </c>
      <c r="C1321">
        <v>4</v>
      </c>
      <c r="D1321">
        <v>90</v>
      </c>
      <c r="E1321">
        <v>2012</v>
      </c>
      <c r="F1321" s="9" t="s">
        <v>1375</v>
      </c>
      <c r="H1321" s="20" t="str">
        <f t="shared" si="20"/>
        <v>(nextval('obj_part_id_seq'), (select id from obj_building_v where zip||'|'||street||'|'||name||'|'||volume = '5620|Sportstrasse|Turnhalle Bärenmatt|7866.00'), 'P7', 4, 90, 2012,'Radiatoren m. Thermostaten'),</v>
      </c>
    </row>
    <row r="1322" spans="1:8" x14ac:dyDescent="0.25">
      <c r="A1322" s="9" t="s">
        <v>1944</v>
      </c>
      <c r="B1322" s="9" t="s">
        <v>1108</v>
      </c>
      <c r="C1322">
        <v>4</v>
      </c>
      <c r="D1322">
        <v>90</v>
      </c>
      <c r="E1322">
        <v>2012</v>
      </c>
      <c r="F1322" s="9" t="s">
        <v>1947</v>
      </c>
      <c r="H1322" s="20" t="str">
        <f t="shared" si="20"/>
        <v>(nextval('obj_part_id_seq'), (select id from obj_building_v where zip||'|'||street||'|'||name||'|'||volume = '5620|Sportstrasse|Turnhalle Bärenmatt|7866.00'), 'P8', 4, 90, 2012,'Du/WC i.O.'),</v>
      </c>
    </row>
    <row r="1323" spans="1:8" x14ac:dyDescent="0.25">
      <c r="A1323" s="9" t="s">
        <v>1944</v>
      </c>
      <c r="B1323" s="9" t="s">
        <v>1138</v>
      </c>
      <c r="C1323">
        <v>11</v>
      </c>
      <c r="D1323">
        <v>80</v>
      </c>
      <c r="E1323">
        <v>2012</v>
      </c>
      <c r="F1323" s="9" t="s">
        <v>1948</v>
      </c>
      <c r="H1323" s="20" t="str">
        <f t="shared" si="20"/>
        <v>(nextval('obj_part_id_seq'), (select id from obj_building_v where zip||'|'||street||'|'||name||'|'||volume = '5620|Sportstrasse|Turnhalle Bärenmatt|7866.00'), 'P57', 11, 80, 2012,'Hallenboden alt, aber i.O.'),</v>
      </c>
    </row>
    <row r="1324" spans="1:8" x14ac:dyDescent="0.25">
      <c r="A1324" s="9" t="s">
        <v>1944</v>
      </c>
      <c r="B1324" s="9" t="s">
        <v>1140</v>
      </c>
      <c r="C1324">
        <v>8</v>
      </c>
      <c r="D1324">
        <v>85</v>
      </c>
      <c r="E1324">
        <v>2012</v>
      </c>
      <c r="F1324" s="9" t="s">
        <v>1949</v>
      </c>
      <c r="H1324" s="20" t="str">
        <f t="shared" si="20"/>
        <v>(nextval('obj_part_id_seq'), (select id from obj_building_v where zip||'|'||street||'|'||name||'|'||volume = '5620|Sportstrasse|Turnhalle Bärenmatt|7866.00'), 'P58', 8, 85, 2012,'B: Kunststein, W: MW-Sicht/Keramik/Anstrich, D: Anstrich, Täfer'),</v>
      </c>
    </row>
    <row r="1325" spans="1:8" x14ac:dyDescent="0.25">
      <c r="A1325" s="9" t="s">
        <v>1944</v>
      </c>
      <c r="B1325" s="9" t="s">
        <v>1142</v>
      </c>
      <c r="C1325">
        <v>0</v>
      </c>
      <c r="D1325" t="s">
        <v>4080</v>
      </c>
      <c r="E1325">
        <v>2012</v>
      </c>
      <c r="F1325" s="9"/>
      <c r="H1325" s="20" t="str">
        <f t="shared" si="20"/>
        <v>(nextval('obj_part_id_seq'), (select id from obj_building_v where zip||'|'||street||'|'||name||'|'||volume = '5620|Sportstrasse|Turnhalle Bärenmatt|7866.00'), 'P60', 0, null, 2012,null),</v>
      </c>
    </row>
    <row r="1326" spans="1:8" x14ac:dyDescent="0.25">
      <c r="A1326" s="9" t="s">
        <v>1944</v>
      </c>
      <c r="B1326" s="9" t="s">
        <v>1143</v>
      </c>
      <c r="C1326">
        <v>0</v>
      </c>
      <c r="D1326" t="s">
        <v>4080</v>
      </c>
      <c r="E1326">
        <v>2012</v>
      </c>
      <c r="F1326" s="9"/>
      <c r="H1326" s="20" t="str">
        <f t="shared" si="20"/>
        <v>(nextval('obj_part_id_seq'), (select id from obj_building_v where zip||'|'||street||'|'||name||'|'||volume = '5620|Sportstrasse|Turnhalle Bärenmatt|7866.00'), 'P61', 0, null, 2012,null),</v>
      </c>
    </row>
    <row r="1327" spans="1:8" x14ac:dyDescent="0.25">
      <c r="A1327" s="9" t="s">
        <v>1944</v>
      </c>
      <c r="B1327" s="9" t="s">
        <v>1144</v>
      </c>
      <c r="C1327">
        <v>0</v>
      </c>
      <c r="D1327" t="s">
        <v>4080</v>
      </c>
      <c r="E1327">
        <v>2012</v>
      </c>
      <c r="F1327" s="9"/>
      <c r="H1327" s="20" t="str">
        <f t="shared" si="20"/>
        <v>(nextval('obj_part_id_seq'), (select id from obj_building_v where zip||'|'||street||'|'||name||'|'||volume = '5620|Sportstrasse|Turnhalle Bärenmatt|7866.00'), 'P62', 0, null, 2012,null),</v>
      </c>
    </row>
    <row r="1328" spans="1:8" x14ac:dyDescent="0.25">
      <c r="A1328" s="9" t="s">
        <v>1950</v>
      </c>
      <c r="B1328" s="9" t="s">
        <v>1127</v>
      </c>
      <c r="C1328">
        <v>41</v>
      </c>
      <c r="D1328">
        <v>90</v>
      </c>
      <c r="E1328">
        <v>2012</v>
      </c>
      <c r="F1328" s="9" t="s">
        <v>1951</v>
      </c>
      <c r="H1328" s="20" t="str">
        <f t="shared" si="20"/>
        <v>(nextval('obj_part_id_seq'), (select id from obj_building_v where zip||'|'||street||'|'||name||'|'||volume = '8556|Bernrainstr. 26|Kindergarten Haldengüetli|1487.00'), 'P48', 41, 90, 2012,'Wände Mauerwerk, Decken: Holz'),</v>
      </c>
    </row>
    <row r="1329" spans="1:8" x14ac:dyDescent="0.25">
      <c r="A1329" s="9" t="s">
        <v>1950</v>
      </c>
      <c r="B1329" s="9" t="s">
        <v>1129</v>
      </c>
      <c r="C1329">
        <v>0</v>
      </c>
      <c r="D1329" t="s">
        <v>4080</v>
      </c>
      <c r="E1329">
        <v>2012</v>
      </c>
      <c r="F1329" s="9"/>
      <c r="H1329" s="20" t="str">
        <f t="shared" si="20"/>
        <v>(nextval('obj_part_id_seq'), (select id from obj_building_v where zip||'|'||street||'|'||name||'|'||volume = '8556|Bernrainstr. 26|Kindergarten Haldengüetli|1487.00'), 'P49', 0, null, 2012,null),</v>
      </c>
    </row>
    <row r="1330" spans="1:8" x14ac:dyDescent="0.25">
      <c r="A1330" s="9" t="s">
        <v>1950</v>
      </c>
      <c r="B1330" s="9" t="s">
        <v>1097</v>
      </c>
      <c r="C1330">
        <v>8</v>
      </c>
      <c r="D1330">
        <v>80</v>
      </c>
      <c r="E1330">
        <v>2012</v>
      </c>
      <c r="F1330" s="9" t="s">
        <v>1952</v>
      </c>
      <c r="H1330" s="20" t="str">
        <f t="shared" si="20"/>
        <v>(nextval('obj_part_id_seq'), (select id from obj_building_v where zip||'|'||street||'|'||name||'|'||volume = '8556|Bernrainstr. 26|Kindergarten Haldengüetli|1487.00'), 'P2', 8, 80, 2012,'Ziegeldach mit Lukarnen'),</v>
      </c>
    </row>
    <row r="1331" spans="1:8" x14ac:dyDescent="0.25">
      <c r="A1331" s="9" t="s">
        <v>1950</v>
      </c>
      <c r="B1331" s="9" t="s">
        <v>1099</v>
      </c>
      <c r="C1331">
        <v>0</v>
      </c>
      <c r="D1331" t="s">
        <v>4080</v>
      </c>
      <c r="E1331">
        <v>2012</v>
      </c>
      <c r="F1331" s="9"/>
      <c r="H1331" s="20" t="str">
        <f t="shared" si="20"/>
        <v>(nextval('obj_part_id_seq'), (select id from obj_building_v where zip||'|'||street||'|'||name||'|'||volume = '8556|Bernrainstr. 26|Kindergarten Haldengüetli|1487.00'), 'P3', 0, null, 2012,null),</v>
      </c>
    </row>
    <row r="1332" spans="1:8" x14ac:dyDescent="0.25">
      <c r="A1332" s="9" t="s">
        <v>1950</v>
      </c>
      <c r="B1332" s="9" t="s">
        <v>1100</v>
      </c>
      <c r="C1332">
        <v>7</v>
      </c>
      <c r="D1332">
        <v>90</v>
      </c>
      <c r="E1332">
        <v>2012</v>
      </c>
      <c r="F1332" s="9" t="s">
        <v>1953</v>
      </c>
      <c r="H1332" s="20" t="str">
        <f t="shared" si="20"/>
        <v>(nextval('obj_part_id_seq'), (select id from obj_building_v where zip||'|'||street||'|'||name||'|'||volume = '8556|Bernrainstr. 26|Kindergarten Haldengüetli|1487.00'), 'P4', 7, 90, 2012,'MW, verputzt'),</v>
      </c>
    </row>
    <row r="1333" spans="1:8" x14ac:dyDescent="0.25">
      <c r="A1333" s="9" t="s">
        <v>1950</v>
      </c>
      <c r="B1333" s="9" t="s">
        <v>1102</v>
      </c>
      <c r="C1333">
        <v>10</v>
      </c>
      <c r="D1333">
        <v>85</v>
      </c>
      <c r="E1333">
        <v>2012</v>
      </c>
      <c r="F1333" s="9" t="s">
        <v>1954</v>
      </c>
      <c r="H1333" s="20" t="str">
        <f t="shared" si="20"/>
        <v>(nextval('obj_part_id_seq'), (select id from obj_building_v where zip||'|'||street||'|'||name||'|'||volume = '8556|Bernrainstr. 26|Kindergarten Haldengüetli|1487.00'), 'P5', 10, 85, 2012,'Holz-/Metallfenster mit IV'),</v>
      </c>
    </row>
    <row r="1334" spans="1:8" x14ac:dyDescent="0.25">
      <c r="A1334" s="9" t="s">
        <v>1950</v>
      </c>
      <c r="B1334" s="9" t="s">
        <v>1164</v>
      </c>
      <c r="C1334">
        <v>6</v>
      </c>
      <c r="D1334">
        <v>85</v>
      </c>
      <c r="E1334">
        <v>2012</v>
      </c>
      <c r="F1334" s="9" t="s">
        <v>1955</v>
      </c>
      <c r="H1334" s="20" t="str">
        <f t="shared" si="20"/>
        <v>(nextval('obj_part_id_seq'), (select id from obj_building_v where zip||'|'||street||'|'||name||'|'||volume = '8556|Bernrainstr. 26|Kindergarten Haldengüetli|1487.00'), 'P50', 6, 85, 2012,'Beleuchtung tw. ungenügend'),</v>
      </c>
    </row>
    <row r="1335" spans="1:8" x14ac:dyDescent="0.25">
      <c r="A1335" s="9" t="s">
        <v>1950</v>
      </c>
      <c r="B1335" s="9" t="s">
        <v>1166</v>
      </c>
      <c r="C1335">
        <v>1</v>
      </c>
      <c r="D1335">
        <v>90</v>
      </c>
      <c r="E1335">
        <v>2012</v>
      </c>
      <c r="F1335" s="9" t="s">
        <v>1956</v>
      </c>
      <c r="H1335" s="20" t="str">
        <f t="shared" si="20"/>
        <v>(nextval('obj_part_id_seq'), (select id from obj_building_v where zip||'|'||street||'|'||name||'|'||volume = '8556|Bernrainstr. 26|Kindergarten Haldengüetli|1487.00'), 'P51', 1, 90, 2012,'Tel. / EDV'),</v>
      </c>
    </row>
    <row r="1336" spans="1:8" x14ac:dyDescent="0.25">
      <c r="A1336" s="9" t="s">
        <v>1950</v>
      </c>
      <c r="B1336" s="9" t="s">
        <v>1104</v>
      </c>
      <c r="C1336">
        <v>1</v>
      </c>
      <c r="D1336">
        <v>90</v>
      </c>
      <c r="E1336">
        <v>2012</v>
      </c>
      <c r="F1336" s="9" t="s">
        <v>1134</v>
      </c>
      <c r="H1336" s="20" t="str">
        <f t="shared" si="20"/>
        <v>(nextval('obj_part_id_seq'), (select id from obj_building_v where zip||'|'||street||'|'||name||'|'||volume = '8556|Bernrainstr. 26|Kindergarten Haldengüetli|1487.00'), 'P6', 1, 90, 2012,'Gasheizung'),</v>
      </c>
    </row>
    <row r="1337" spans="1:8" x14ac:dyDescent="0.25">
      <c r="A1337" s="9" t="s">
        <v>1950</v>
      </c>
      <c r="B1337" s="9" t="s">
        <v>1106</v>
      </c>
      <c r="C1337">
        <v>3</v>
      </c>
      <c r="D1337">
        <v>80</v>
      </c>
      <c r="E1337">
        <v>2012</v>
      </c>
      <c r="F1337" s="9" t="s">
        <v>1957</v>
      </c>
      <c r="H1337" s="20" t="str">
        <f t="shared" si="20"/>
        <v>(nextval('obj_part_id_seq'), (select id from obj_building_v where zip||'|'||street||'|'||name||'|'||volume = '8556|Bernrainstr. 26|Kindergarten Haldengüetli|1487.00'), 'P7', 3, 80, 2012,'Bodenheiz./Radiatoren im Treppenhaus EG'),</v>
      </c>
    </row>
    <row r="1338" spans="1:8" x14ac:dyDescent="0.25">
      <c r="A1338" s="9" t="s">
        <v>1950</v>
      </c>
      <c r="B1338" s="9" t="s">
        <v>1108</v>
      </c>
      <c r="C1338">
        <v>4</v>
      </c>
      <c r="D1338">
        <v>90</v>
      </c>
      <c r="E1338">
        <v>2012</v>
      </c>
      <c r="F1338" s="9" t="s">
        <v>1958</v>
      </c>
      <c r="H1338" s="20" t="str">
        <f t="shared" si="20"/>
        <v>(nextval('obj_part_id_seq'), (select id from obj_building_v where zip||'|'||street||'|'||name||'|'||volume = '8556|Bernrainstr. 26|Kindergarten Haldengüetli|1487.00'), 'P8', 4, 90, 2012,'Leitungen i.O., App. alt'),</v>
      </c>
    </row>
    <row r="1339" spans="1:8" x14ac:dyDescent="0.25">
      <c r="A1339" s="9" t="s">
        <v>1950</v>
      </c>
      <c r="B1339" s="9" t="s">
        <v>1138</v>
      </c>
      <c r="C1339">
        <v>11</v>
      </c>
      <c r="D1339">
        <v>85</v>
      </c>
      <c r="E1339">
        <v>2012</v>
      </c>
      <c r="F1339" s="9" t="s">
        <v>1959</v>
      </c>
      <c r="H1339" s="20" t="str">
        <f t="shared" si="20"/>
        <v>(nextval('obj_part_id_seq'), (select id from obj_building_v where zip||'|'||street||'|'||name||'|'||volume = '8556|Bernrainstr. 26|Kindergarten Haldengüetli|1487.00'), 'P57', 11, 85, 2012,'D: zw. Balken: Gipskarton, Einbauschränke, Simse aus Holz'),</v>
      </c>
    </row>
    <row r="1340" spans="1:8" x14ac:dyDescent="0.25">
      <c r="A1340" s="9" t="s">
        <v>1950</v>
      </c>
      <c r="B1340" s="9" t="s">
        <v>1140</v>
      </c>
      <c r="C1340">
        <v>8</v>
      </c>
      <c r="D1340">
        <v>85</v>
      </c>
      <c r="E1340">
        <v>2012</v>
      </c>
      <c r="F1340" s="9" t="s">
        <v>1960</v>
      </c>
      <c r="H1340" s="20" t="str">
        <f t="shared" si="20"/>
        <v>(nextval('obj_part_id_seq'), (select id from obj_building_v where zip||'|'||street||'|'||name||'|'||volume = '8556|Bernrainstr. 26|Kindergarten Haldengüetli|1487.00'), 'P58', 8, 85, 2012,'Boden KG: Holzkork, Wände verputzt, gestr., Decken: verputzt, gestr.'),</v>
      </c>
    </row>
    <row r="1341" spans="1:8" x14ac:dyDescent="0.25">
      <c r="A1341" s="9" t="s">
        <v>1950</v>
      </c>
      <c r="B1341" s="9" t="s">
        <v>1142</v>
      </c>
      <c r="C1341">
        <v>0</v>
      </c>
      <c r="D1341" t="s">
        <v>4080</v>
      </c>
      <c r="E1341">
        <v>2012</v>
      </c>
      <c r="F1341" s="9"/>
      <c r="H1341" s="20" t="str">
        <f t="shared" si="20"/>
        <v>(nextval('obj_part_id_seq'), (select id from obj_building_v where zip||'|'||street||'|'||name||'|'||volume = '8556|Bernrainstr. 26|Kindergarten Haldengüetli|1487.00'), 'P60', 0, null, 2012,null),</v>
      </c>
    </row>
    <row r="1342" spans="1:8" x14ac:dyDescent="0.25">
      <c r="A1342" s="9" t="s">
        <v>1950</v>
      </c>
      <c r="B1342" s="9" t="s">
        <v>1143</v>
      </c>
      <c r="C1342">
        <v>0</v>
      </c>
      <c r="D1342" t="s">
        <v>4080</v>
      </c>
      <c r="E1342">
        <v>2012</v>
      </c>
      <c r="F1342" s="9"/>
      <c r="H1342" s="20" t="str">
        <f t="shared" si="20"/>
        <v>(nextval('obj_part_id_seq'), (select id from obj_building_v where zip||'|'||street||'|'||name||'|'||volume = '8556|Bernrainstr. 26|Kindergarten Haldengüetli|1487.00'), 'P61', 0, null, 2012,null),</v>
      </c>
    </row>
    <row r="1343" spans="1:8" x14ac:dyDescent="0.25">
      <c r="A1343" s="9" t="s">
        <v>1950</v>
      </c>
      <c r="B1343" s="9" t="s">
        <v>1144</v>
      </c>
      <c r="C1343">
        <v>0</v>
      </c>
      <c r="D1343" t="s">
        <v>4080</v>
      </c>
      <c r="E1343">
        <v>2012</v>
      </c>
      <c r="F1343" s="9"/>
      <c r="H1343" s="20" t="str">
        <f t="shared" si="20"/>
        <v>(nextval('obj_part_id_seq'), (select id from obj_building_v where zip||'|'||street||'|'||name||'|'||volume = '8556|Bernrainstr. 26|Kindergarten Haldengüetli|1487.00'), 'P62', 0, null, 2012,null),</v>
      </c>
    </row>
    <row r="1344" spans="1:8" x14ac:dyDescent="0.25">
      <c r="A1344" s="9" t="s">
        <v>1961</v>
      </c>
      <c r="B1344" s="9" t="s">
        <v>1127</v>
      </c>
      <c r="C1344">
        <v>41</v>
      </c>
      <c r="D1344">
        <v>80</v>
      </c>
      <c r="E1344">
        <v>2012</v>
      </c>
      <c r="F1344" s="9" t="s">
        <v>1962</v>
      </c>
      <c r="H1344" s="20" t="str">
        <f t="shared" si="20"/>
        <v>(nextval('obj_part_id_seq'), (select id from obj_building_v where zip||'|'||street||'|'||name||'|'||volume = '8355|Käsernstrasse 1|Kindergarten Käsernstrasse|2957.00'), 'P48', 41, 80, 2012,'Stahlbetonbau, tw. Risse in Mauerwerk'),</v>
      </c>
    </row>
    <row r="1345" spans="1:8" x14ac:dyDescent="0.25">
      <c r="A1345" s="9" t="s">
        <v>1961</v>
      </c>
      <c r="B1345" s="9" t="s">
        <v>1129</v>
      </c>
      <c r="C1345">
        <v>0</v>
      </c>
      <c r="D1345" t="s">
        <v>4080</v>
      </c>
      <c r="E1345">
        <v>2012</v>
      </c>
      <c r="F1345" s="9"/>
      <c r="H1345" s="20" t="str">
        <f t="shared" si="20"/>
        <v>(nextval('obj_part_id_seq'), (select id from obj_building_v where zip||'|'||street||'|'||name||'|'||volume = '8355|Käsernstrasse 1|Kindergarten Käsernstrasse|2957.00'), 'P49', 0, null, 2012,null),</v>
      </c>
    </row>
    <row r="1346" spans="1:8" x14ac:dyDescent="0.25">
      <c r="A1346" s="9" t="s">
        <v>1961</v>
      </c>
      <c r="B1346" s="9" t="s">
        <v>1097</v>
      </c>
      <c r="C1346">
        <v>0</v>
      </c>
      <c r="D1346" t="s">
        <v>4080</v>
      </c>
      <c r="E1346">
        <v>2012</v>
      </c>
      <c r="F1346" s="9"/>
      <c r="H1346" s="20" t="str">
        <f t="shared" si="20"/>
        <v>(nextval('obj_part_id_seq'), (select id from obj_building_v where zip||'|'||street||'|'||name||'|'||volume = '8355|Käsernstrasse 1|Kindergarten Käsernstrasse|2957.00'), 'P2', 0, null, 2012,null),</v>
      </c>
    </row>
    <row r="1347" spans="1:8" x14ac:dyDescent="0.25">
      <c r="A1347" s="9" t="s">
        <v>1961</v>
      </c>
      <c r="B1347" s="9" t="s">
        <v>1099</v>
      </c>
      <c r="C1347">
        <v>8</v>
      </c>
      <c r="D1347">
        <v>90</v>
      </c>
      <c r="E1347">
        <v>2012</v>
      </c>
      <c r="F1347" s="9" t="s">
        <v>1963</v>
      </c>
      <c r="H1347" s="20" t="str">
        <f t="shared" si="20"/>
        <v>(nextval('obj_part_id_seq'), (select id from obj_building_v where zip||'|'||street||'|'||name||'|'||volume = '8355|Käsernstrasse 1|Kindergarten Käsernstrasse|2957.00'), 'P3', 8, 90, 2012,'Kiesklebedach, bituminös'),</v>
      </c>
    </row>
    <row r="1348" spans="1:8" x14ac:dyDescent="0.25">
      <c r="A1348" s="9" t="s">
        <v>1961</v>
      </c>
      <c r="B1348" s="9" t="s">
        <v>1100</v>
      </c>
      <c r="C1348">
        <v>8</v>
      </c>
      <c r="D1348">
        <v>60</v>
      </c>
      <c r="E1348">
        <v>2012</v>
      </c>
      <c r="F1348" s="9" t="s">
        <v>1964</v>
      </c>
      <c r="H1348" s="20" t="str">
        <f t="shared" si="20"/>
        <v>(nextval('obj_part_id_seq'), (select id from obj_building_v where zip||'|'||street||'|'||name||'|'||volume = '8355|Käsernstrasse 1|Kindergarten Käsernstrasse|2957.00'), 'P4', 8, 60, 2012,'Beton/Mauerwerk, verputzt, doppelschalig, 4cm WD, z.T. Eternitschindeln, hinterlüftet'),</v>
      </c>
    </row>
    <row r="1349" spans="1:8" x14ac:dyDescent="0.25">
      <c r="A1349" s="9" t="s">
        <v>1961</v>
      </c>
      <c r="B1349" s="9" t="s">
        <v>1102</v>
      </c>
      <c r="C1349">
        <v>10</v>
      </c>
      <c r="D1349">
        <v>90</v>
      </c>
      <c r="E1349">
        <v>2012</v>
      </c>
      <c r="F1349" s="9" t="s">
        <v>1965</v>
      </c>
      <c r="H1349" s="20" t="str">
        <f t="shared" ref="H1349:H1412" si="21">"(nextval('obj_part_id_seq'), (select id from obj_building_v where zip||'|'||street||'|'||name||'|'||volume = '"&amp;A1349&amp;"'), '"&amp;B1349&amp;"', "&amp;C1349&amp;", "&amp;D1349&amp;", "&amp;IF(ISBLANK(E1349),"null",E1349)&amp;","&amp;IF(ISBLANK(F1349),"null","'"&amp;F1349&amp;"'")&amp;"),"</f>
        <v>(nextval('obj_part_id_seq'), (select id from obj_building_v where zip||'|'||street||'|'||name||'|'||volume = '8355|Käsernstrasse 1|Kindergarten Käsernstrasse|2957.00'), 'P5', 10, 90, 2012,'Kunststofffenster, Stahltüre Eingang'),</v>
      </c>
    </row>
    <row r="1350" spans="1:8" x14ac:dyDescent="0.25">
      <c r="A1350" s="9" t="s">
        <v>1961</v>
      </c>
      <c r="B1350" s="9" t="s">
        <v>1164</v>
      </c>
      <c r="C1350">
        <v>6</v>
      </c>
      <c r="D1350">
        <v>90</v>
      </c>
      <c r="E1350">
        <v>2012</v>
      </c>
      <c r="F1350" s="9" t="s">
        <v>1966</v>
      </c>
      <c r="H1350" s="20" t="str">
        <f t="shared" si="21"/>
        <v>(nextval('obj_part_id_seq'), (select id from obj_building_v where zip||'|'||street||'|'||name||'|'||volume = '8355|Käsernstrasse 1|Kindergarten Käsernstrasse|2957.00'), 'P50', 6, 90, 2012,'alte Absicherungen'),</v>
      </c>
    </row>
    <row r="1351" spans="1:8" x14ac:dyDescent="0.25">
      <c r="A1351" s="9" t="s">
        <v>1961</v>
      </c>
      <c r="B1351" s="9" t="s">
        <v>1166</v>
      </c>
      <c r="C1351">
        <v>1</v>
      </c>
      <c r="D1351">
        <v>90</v>
      </c>
      <c r="E1351">
        <v>2012</v>
      </c>
      <c r="F1351" s="9" t="s">
        <v>1967</v>
      </c>
      <c r="H1351" s="20" t="str">
        <f t="shared" si="21"/>
        <v>(nextval('obj_part_id_seq'), (select id from obj_building_v where zip||'|'||street||'|'||name||'|'||volume = '8355|Käsernstrasse 1|Kindergarten Käsernstrasse|2957.00'), 'P51', 1, 90, 2012,'Sonnerie, Telefon, TV'),</v>
      </c>
    </row>
    <row r="1352" spans="1:8" x14ac:dyDescent="0.25">
      <c r="A1352" s="9" t="s">
        <v>1961</v>
      </c>
      <c r="B1352" s="9" t="s">
        <v>1104</v>
      </c>
      <c r="C1352">
        <v>0</v>
      </c>
      <c r="D1352">
        <v>90</v>
      </c>
      <c r="E1352">
        <v>2012</v>
      </c>
      <c r="F1352" s="9" t="s">
        <v>1235</v>
      </c>
      <c r="H1352" s="20" t="str">
        <f t="shared" si="21"/>
        <v>(nextval('obj_part_id_seq'), (select id from obj_building_v where zip||'|'||street||'|'||name||'|'||volume = '8355|Käsernstrasse 1|Kindergarten Käsernstrasse|2957.00'), 'P6', 0, 90, 2012,'Fernwärme'),</v>
      </c>
    </row>
    <row r="1353" spans="1:8" x14ac:dyDescent="0.25">
      <c r="A1353" s="9" t="s">
        <v>1961</v>
      </c>
      <c r="B1353" s="9" t="s">
        <v>1106</v>
      </c>
      <c r="C1353">
        <v>3</v>
      </c>
      <c r="D1353">
        <v>90</v>
      </c>
      <c r="E1353">
        <v>2012</v>
      </c>
      <c r="F1353" s="9" t="s">
        <v>1107</v>
      </c>
      <c r="H1353" s="20" t="str">
        <f t="shared" si="21"/>
        <v>(nextval('obj_part_id_seq'), (select id from obj_building_v where zip||'|'||street||'|'||name||'|'||volume = '8355|Käsernstrasse 1|Kindergarten Käsernstrasse|2957.00'), 'P7', 3, 90, 2012,'Radiatoren mit Thermostaten'),</v>
      </c>
    </row>
    <row r="1354" spans="1:8" x14ac:dyDescent="0.25">
      <c r="A1354" s="9" t="s">
        <v>1961</v>
      </c>
      <c r="B1354" s="9" t="s">
        <v>1108</v>
      </c>
      <c r="C1354">
        <v>4</v>
      </c>
      <c r="D1354">
        <v>80</v>
      </c>
      <c r="E1354">
        <v>2012</v>
      </c>
      <c r="F1354" s="9" t="s">
        <v>1968</v>
      </c>
      <c r="H1354" s="20" t="str">
        <f t="shared" si="21"/>
        <v>(nextval('obj_part_id_seq'), (select id from obj_building_v where zip||'|'||street||'|'||name||'|'||volume = '8355|Käsernstrasse 1|Kindergarten Käsernstrasse|2957.00'), 'P8', 4, 80, 2012,'Durchfluss reduziert (KW im EG)'),</v>
      </c>
    </row>
    <row r="1355" spans="1:8" x14ac:dyDescent="0.25">
      <c r="A1355" s="9" t="s">
        <v>1961</v>
      </c>
      <c r="B1355" s="9" t="s">
        <v>1138</v>
      </c>
      <c r="C1355">
        <v>11</v>
      </c>
      <c r="D1355">
        <v>90</v>
      </c>
      <c r="E1355">
        <v>2012</v>
      </c>
      <c r="F1355" s="9" t="s">
        <v>1969</v>
      </c>
      <c r="H1355" s="20" t="str">
        <f t="shared" si="21"/>
        <v>(nextval('obj_part_id_seq'), (select id from obj_building_v where zip||'|'||street||'|'||name||'|'||volume = '8355|Käsernstrasse 1|Kindergarten Käsernstrasse|2957.00'), 'P57', 11, 90, 2012,'Holztüren, Einbauschränke'),</v>
      </c>
    </row>
    <row r="1356" spans="1:8" x14ac:dyDescent="0.25">
      <c r="A1356" s="9" t="s">
        <v>1961</v>
      </c>
      <c r="B1356" s="9" t="s">
        <v>1140</v>
      </c>
      <c r="C1356">
        <v>8</v>
      </c>
      <c r="D1356">
        <v>90</v>
      </c>
      <c r="E1356">
        <v>2012</v>
      </c>
      <c r="F1356" s="9" t="s">
        <v>1970</v>
      </c>
      <c r="H1356" s="20" t="str">
        <f t="shared" si="21"/>
        <v>(nextval('obj_part_id_seq'), (select id from obj_building_v where zip||'|'||street||'|'||name||'|'||volume = '8355|Käsernstrasse 1|Kindergarten Käsernstrasse|2957.00'), 'P58', 8, 90, 2012,'Linol-/Kunststein- und Keramikböden, Akustikdecken, Wände verputzt'),</v>
      </c>
    </row>
    <row r="1357" spans="1:8" x14ac:dyDescent="0.25">
      <c r="A1357" s="9" t="s">
        <v>1961</v>
      </c>
      <c r="B1357" s="9" t="s">
        <v>1142</v>
      </c>
      <c r="C1357">
        <v>0</v>
      </c>
      <c r="D1357" t="s">
        <v>4080</v>
      </c>
      <c r="E1357">
        <v>2012</v>
      </c>
      <c r="F1357" s="9"/>
      <c r="H1357" s="20" t="str">
        <f t="shared" si="21"/>
        <v>(nextval('obj_part_id_seq'), (select id from obj_building_v where zip||'|'||street||'|'||name||'|'||volume = '8355|Käsernstrasse 1|Kindergarten Käsernstrasse|2957.00'), 'P60', 0, null, 2012,null),</v>
      </c>
    </row>
    <row r="1358" spans="1:8" x14ac:dyDescent="0.25">
      <c r="A1358" s="9" t="s">
        <v>1961</v>
      </c>
      <c r="B1358" s="9" t="s">
        <v>1143</v>
      </c>
      <c r="C1358">
        <v>0</v>
      </c>
      <c r="D1358" t="s">
        <v>4080</v>
      </c>
      <c r="E1358">
        <v>2012</v>
      </c>
      <c r="F1358" s="9"/>
      <c r="H1358" s="20" t="str">
        <f t="shared" si="21"/>
        <v>(nextval('obj_part_id_seq'), (select id from obj_building_v where zip||'|'||street||'|'||name||'|'||volume = '8355|Käsernstrasse 1|Kindergarten Käsernstrasse|2957.00'), 'P61', 0, null, 2012,null),</v>
      </c>
    </row>
    <row r="1359" spans="1:8" x14ac:dyDescent="0.25">
      <c r="A1359" s="9" t="s">
        <v>1961</v>
      </c>
      <c r="B1359" s="9" t="s">
        <v>1144</v>
      </c>
      <c r="C1359">
        <v>0</v>
      </c>
      <c r="D1359" t="s">
        <v>4080</v>
      </c>
      <c r="E1359">
        <v>2012</v>
      </c>
      <c r="F1359" s="9"/>
      <c r="H1359" s="20" t="str">
        <f t="shared" si="21"/>
        <v>(nextval('obj_part_id_seq'), (select id from obj_building_v where zip||'|'||street||'|'||name||'|'||volume = '8355|Käsernstrasse 1|Kindergarten Käsernstrasse|2957.00'), 'P62', 0, null, 2012,null),</v>
      </c>
    </row>
    <row r="1360" spans="1:8" x14ac:dyDescent="0.25">
      <c r="A1360" s="9" t="s">
        <v>1971</v>
      </c>
      <c r="B1360" s="9" t="s">
        <v>1127</v>
      </c>
      <c r="C1360">
        <v>24</v>
      </c>
      <c r="D1360">
        <v>80</v>
      </c>
      <c r="E1360">
        <v>2012</v>
      </c>
      <c r="F1360" s="9" t="s">
        <v>1972</v>
      </c>
      <c r="H1360" s="20" t="str">
        <f t="shared" si="21"/>
        <v>(nextval('obj_part_id_seq'), (select id from obj_building_v where zip||'|'||street||'|'||name||'|'||volume = '8355|Schulstrasse 9|Altes Schulhaus Kindergarten|3170.00'), 'P48', 24, 80, 2012,'Massivbau, Mauerwerk, Holzdecken, Feuchtigkeit im Kellerraum (Werkstatt)'),</v>
      </c>
    </row>
    <row r="1361" spans="1:8" x14ac:dyDescent="0.25">
      <c r="A1361" s="9" t="s">
        <v>1971</v>
      </c>
      <c r="B1361" s="9" t="s">
        <v>1129</v>
      </c>
      <c r="C1361">
        <v>0</v>
      </c>
      <c r="D1361" t="s">
        <v>4080</v>
      </c>
      <c r="E1361">
        <v>2012</v>
      </c>
      <c r="F1361" s="9"/>
      <c r="H1361" s="20" t="str">
        <f t="shared" si="21"/>
        <v>(nextval('obj_part_id_seq'), (select id from obj_building_v where zip||'|'||street||'|'||name||'|'||volume = '8355|Schulstrasse 9|Altes Schulhaus Kindergarten|3170.00'), 'P49', 0, null, 2012,null),</v>
      </c>
    </row>
    <row r="1362" spans="1:8" x14ac:dyDescent="0.25">
      <c r="A1362" s="9" t="s">
        <v>1971</v>
      </c>
      <c r="B1362" s="9" t="s">
        <v>1097</v>
      </c>
      <c r="C1362">
        <v>20</v>
      </c>
      <c r="D1362">
        <v>90</v>
      </c>
      <c r="E1362">
        <v>2012</v>
      </c>
      <c r="F1362" s="9" t="s">
        <v>1973</v>
      </c>
      <c r="H1362" s="20" t="str">
        <f t="shared" si="21"/>
        <v>(nextval('obj_part_id_seq'), (select id from obj_building_v where zip||'|'||street||'|'||name||'|'||volume = '8355|Schulstrasse 9|Altes Schulhaus Kindergarten|3170.00'), 'P2', 20, 90, 2012,'Ziegeldach, Untersichten i.O.'),</v>
      </c>
    </row>
    <row r="1363" spans="1:8" x14ac:dyDescent="0.25">
      <c r="A1363" s="9" t="s">
        <v>1971</v>
      </c>
      <c r="B1363" s="9" t="s">
        <v>1099</v>
      </c>
      <c r="C1363">
        <v>0</v>
      </c>
      <c r="D1363" t="s">
        <v>4080</v>
      </c>
      <c r="E1363">
        <v>2012</v>
      </c>
      <c r="F1363" s="9"/>
      <c r="H1363" s="20" t="str">
        <f t="shared" si="21"/>
        <v>(nextval('obj_part_id_seq'), (select id from obj_building_v where zip||'|'||street||'|'||name||'|'||volume = '8355|Schulstrasse 9|Altes Schulhaus Kindergarten|3170.00'), 'P3', 0, null, 2012,null),</v>
      </c>
    </row>
    <row r="1364" spans="1:8" x14ac:dyDescent="0.25">
      <c r="A1364" s="9" t="s">
        <v>1971</v>
      </c>
      <c r="B1364" s="9" t="s">
        <v>1100</v>
      </c>
      <c r="C1364">
        <v>8</v>
      </c>
      <c r="D1364">
        <v>90</v>
      </c>
      <c r="E1364">
        <v>2012</v>
      </c>
      <c r="F1364" s="9" t="s">
        <v>1974</v>
      </c>
      <c r="H1364" s="20" t="str">
        <f t="shared" si="21"/>
        <v>(nextval('obj_part_id_seq'), (select id from obj_building_v where zip||'|'||street||'|'||name||'|'||volume = '8355|Schulstrasse 9|Altes Schulhaus Kindergarten|3170.00'), 'P4', 8, 90, 2012,'Mauerwerk, verputzt, Gewände und Sockel Kunststein, gestrichen'),</v>
      </c>
    </row>
    <row r="1365" spans="1:8" x14ac:dyDescent="0.25">
      <c r="A1365" s="9" t="s">
        <v>1971</v>
      </c>
      <c r="B1365" s="9" t="s">
        <v>1102</v>
      </c>
      <c r="C1365">
        <v>14</v>
      </c>
      <c r="D1365">
        <v>90</v>
      </c>
      <c r="E1365">
        <v>2012</v>
      </c>
      <c r="F1365" s="9" t="s">
        <v>1975</v>
      </c>
      <c r="H1365" s="20" t="str">
        <f t="shared" si="21"/>
        <v>(nextval('obj_part_id_seq'), (select id from obj_building_v where zip||'|'||street||'|'||name||'|'||volume = '8355|Schulstrasse 9|Altes Schulhaus Kindergarten|3170.00'), 'P5', 14, 90, 2012,'Holz-/Metallfenster (''00), Fensterläden in Holz, gestrichen'),</v>
      </c>
    </row>
    <row r="1366" spans="1:8" x14ac:dyDescent="0.25">
      <c r="A1366" s="9" t="s">
        <v>1971</v>
      </c>
      <c r="B1366" s="9" t="s">
        <v>1110</v>
      </c>
      <c r="C1366">
        <v>4</v>
      </c>
      <c r="D1366">
        <v>90</v>
      </c>
      <c r="E1366">
        <v>2012</v>
      </c>
      <c r="F1366" s="9" t="s">
        <v>1976</v>
      </c>
      <c r="H1366" s="20" t="str">
        <f t="shared" si="21"/>
        <v>(nextval('obj_part_id_seq'), (select id from obj_building_v where zip||'|'||street||'|'||name||'|'||volume = '8355|Schulstrasse 9|Altes Schulhaus Kindergarten|3170.00'), 'P9', 4, 90, 2012,'neue Sicherungen'),</v>
      </c>
    </row>
    <row r="1367" spans="1:8" x14ac:dyDescent="0.25">
      <c r="A1367" s="9" t="s">
        <v>1971</v>
      </c>
      <c r="B1367" s="9" t="s">
        <v>1104</v>
      </c>
      <c r="C1367">
        <v>3</v>
      </c>
      <c r="D1367">
        <v>90</v>
      </c>
      <c r="E1367">
        <v>2012</v>
      </c>
      <c r="F1367" s="9" t="s">
        <v>1977</v>
      </c>
      <c r="H1367" s="20" t="str">
        <f t="shared" si="21"/>
        <v>(nextval('obj_part_id_seq'), (select id from obj_building_v where zip||'|'||street||'|'||name||'|'||volume = '8355|Schulstrasse 9|Altes Schulhaus Kindergarten|3170.00'), 'P6', 3, 90, 2012,'Oelheizung'),</v>
      </c>
    </row>
    <row r="1368" spans="1:8" x14ac:dyDescent="0.25">
      <c r="A1368" s="9" t="s">
        <v>1971</v>
      </c>
      <c r="B1368" s="9" t="s">
        <v>1106</v>
      </c>
      <c r="C1368">
        <v>3</v>
      </c>
      <c r="D1368">
        <v>90</v>
      </c>
      <c r="E1368">
        <v>2012</v>
      </c>
      <c r="F1368" s="9" t="s">
        <v>1107</v>
      </c>
      <c r="H1368" s="20" t="str">
        <f t="shared" si="21"/>
        <v>(nextval('obj_part_id_seq'), (select id from obj_building_v where zip||'|'||street||'|'||name||'|'||volume = '8355|Schulstrasse 9|Altes Schulhaus Kindergarten|3170.00'), 'P7', 3, 90, 2012,'Radiatoren mit Thermostaten'),</v>
      </c>
    </row>
    <row r="1369" spans="1:8" x14ac:dyDescent="0.25">
      <c r="A1369" s="9" t="s">
        <v>1971</v>
      </c>
      <c r="B1369" s="9" t="s">
        <v>1135</v>
      </c>
      <c r="C1369">
        <v>1</v>
      </c>
      <c r="D1369">
        <v>90</v>
      </c>
      <c r="E1369">
        <v>2012</v>
      </c>
      <c r="F1369" s="9" t="s">
        <v>1978</v>
      </c>
      <c r="H1369" s="20" t="str">
        <f t="shared" si="21"/>
        <v>(nextval('obj_part_id_seq'), (select id from obj_building_v where zip||'|'||street||'|'||name||'|'||volume = '8355|Schulstrasse 9|Altes Schulhaus Kindergarten|3170.00'), 'P54', 1, 90, 2012,'neuere Apparate, ohne sichtbare Mängel'),</v>
      </c>
    </row>
    <row r="1370" spans="1:8" x14ac:dyDescent="0.25">
      <c r="A1370" s="9" t="s">
        <v>1971</v>
      </c>
      <c r="B1370" s="9" t="s">
        <v>1137</v>
      </c>
      <c r="C1370">
        <v>3</v>
      </c>
      <c r="D1370">
        <v>90</v>
      </c>
      <c r="E1370">
        <v>2012</v>
      </c>
      <c r="F1370" s="9" t="s">
        <v>1650</v>
      </c>
      <c r="H1370" s="20" t="str">
        <f t="shared" si="21"/>
        <v>(nextval('obj_part_id_seq'), (select id from obj_building_v where zip||'|'||street||'|'||name||'|'||volume = '8355|Schulstrasse 9|Altes Schulhaus Kindergarten|3170.00'), 'P55', 3, 90, 2012,'Durchfluss gewährleistet'),</v>
      </c>
    </row>
    <row r="1371" spans="1:8" x14ac:dyDescent="0.25">
      <c r="A1371" s="9" t="s">
        <v>1971</v>
      </c>
      <c r="B1371" s="9" t="s">
        <v>1138</v>
      </c>
      <c r="C1371">
        <v>17</v>
      </c>
      <c r="D1371">
        <v>90</v>
      </c>
      <c r="E1371">
        <v>2012</v>
      </c>
      <c r="F1371" s="9" t="s">
        <v>1979</v>
      </c>
      <c r="H1371" s="20" t="str">
        <f t="shared" si="21"/>
        <v>(nextval('obj_part_id_seq'), (select id from obj_building_v where zip||'|'||street||'|'||name||'|'||volume = '8355|Schulstrasse 9|Altes Schulhaus Kindergarten|3170.00'), 'P57', 17, 90, 2012,'Einbauschränke, Garderoben, Innentüren aus Holz, Simse in gutem Zustand'),</v>
      </c>
    </row>
    <row r="1372" spans="1:8" x14ac:dyDescent="0.25">
      <c r="A1372" s="9" t="s">
        <v>1971</v>
      </c>
      <c r="B1372" s="9" t="s">
        <v>1140</v>
      </c>
      <c r="C1372">
        <v>3</v>
      </c>
      <c r="D1372">
        <v>90</v>
      </c>
      <c r="E1372">
        <v>2012</v>
      </c>
      <c r="F1372" s="9" t="s">
        <v>1980</v>
      </c>
      <c r="H1372" s="20" t="str">
        <f t="shared" si="21"/>
        <v>(nextval('obj_part_id_seq'), (select id from obj_building_v where zip||'|'||street||'|'||name||'|'||volume = '8355|Schulstrasse 9|Altes Schulhaus Kindergarten|3170.00'), 'P58', 3, 90, 2012,'Böden: PVC, Keramik'),</v>
      </c>
    </row>
    <row r="1373" spans="1:8" x14ac:dyDescent="0.25">
      <c r="A1373" s="9" t="s">
        <v>1971</v>
      </c>
      <c r="B1373" s="9" t="s">
        <v>1142</v>
      </c>
      <c r="C1373">
        <v>0</v>
      </c>
      <c r="D1373" t="s">
        <v>4080</v>
      </c>
      <c r="E1373">
        <v>2012</v>
      </c>
      <c r="F1373" s="9"/>
      <c r="H1373" s="20" t="str">
        <f t="shared" si="21"/>
        <v>(nextval('obj_part_id_seq'), (select id from obj_building_v where zip||'|'||street||'|'||name||'|'||volume = '8355|Schulstrasse 9|Altes Schulhaus Kindergarten|3170.00'), 'P60', 0, null, 2012,null),</v>
      </c>
    </row>
    <row r="1374" spans="1:8" x14ac:dyDescent="0.25">
      <c r="A1374" s="9" t="s">
        <v>1971</v>
      </c>
      <c r="B1374" s="9" t="s">
        <v>1143</v>
      </c>
      <c r="C1374">
        <v>0</v>
      </c>
      <c r="D1374" t="s">
        <v>4080</v>
      </c>
      <c r="E1374">
        <v>2012</v>
      </c>
      <c r="F1374" s="9"/>
      <c r="H1374" s="20" t="str">
        <f t="shared" si="21"/>
        <v>(nextval('obj_part_id_seq'), (select id from obj_building_v where zip||'|'||street||'|'||name||'|'||volume = '8355|Schulstrasse 9|Altes Schulhaus Kindergarten|3170.00'), 'P61', 0, null, 2012,null),</v>
      </c>
    </row>
    <row r="1375" spans="1:8" x14ac:dyDescent="0.25">
      <c r="A1375" s="9" t="s">
        <v>1971</v>
      </c>
      <c r="B1375" s="9" t="s">
        <v>1144</v>
      </c>
      <c r="C1375">
        <v>0</v>
      </c>
      <c r="D1375" t="s">
        <v>4080</v>
      </c>
      <c r="E1375">
        <v>2012</v>
      </c>
      <c r="F1375" s="9"/>
      <c r="H1375" s="20" t="str">
        <f t="shared" si="21"/>
        <v>(nextval('obj_part_id_seq'), (select id from obj_building_v where zip||'|'||street||'|'||name||'|'||volume = '8355|Schulstrasse 9|Altes Schulhaus Kindergarten|3170.00'), 'P62', 0, null, 2012,null),</v>
      </c>
    </row>
    <row r="1376" spans="1:8" x14ac:dyDescent="0.25">
      <c r="A1376" s="9" t="s">
        <v>1981</v>
      </c>
      <c r="B1376" s="9" t="s">
        <v>1127</v>
      </c>
      <c r="C1376">
        <v>41</v>
      </c>
      <c r="D1376">
        <v>80</v>
      </c>
      <c r="E1376">
        <v>2012</v>
      </c>
      <c r="F1376" s="9" t="s">
        <v>1982</v>
      </c>
      <c r="H1376" s="20" t="str">
        <f t="shared" si="21"/>
        <v>(nextval('obj_part_id_seq'), (select id from obj_building_v where zip||'|'||street||'|'||name||'|'||volume = '3049|Staatsstrasse 76|Schulhaus/Hausw.whg./Turnhalle/ZS|9300.00'), 'P48', 41, 80, 2012,'Mauerwerk, Holzbalkendecken, Betonstützen, Stahlbetonw. (Risse), KS-Wände, Kunststeintreppe'),</v>
      </c>
    </row>
    <row r="1377" spans="1:8" x14ac:dyDescent="0.25">
      <c r="A1377" s="9" t="s">
        <v>1981</v>
      </c>
      <c r="B1377" s="9" t="s">
        <v>1129</v>
      </c>
      <c r="C1377">
        <v>0</v>
      </c>
      <c r="D1377" t="s">
        <v>4080</v>
      </c>
      <c r="E1377">
        <v>2012</v>
      </c>
      <c r="F1377" s="9"/>
      <c r="H1377" s="20" t="str">
        <f t="shared" si="21"/>
        <v>(nextval('obj_part_id_seq'), (select id from obj_building_v where zip||'|'||street||'|'||name||'|'||volume = '3049|Staatsstrasse 76|Schulhaus/Hausw.whg./Turnhalle/ZS|9300.00'), 'P49', 0, null, 2012,null),</v>
      </c>
    </row>
    <row r="1378" spans="1:8" x14ac:dyDescent="0.25">
      <c r="A1378" s="9" t="s">
        <v>1981</v>
      </c>
      <c r="B1378" s="9" t="s">
        <v>1097</v>
      </c>
      <c r="C1378">
        <v>6</v>
      </c>
      <c r="D1378">
        <v>50</v>
      </c>
      <c r="E1378">
        <v>2012</v>
      </c>
      <c r="F1378" s="9" t="s">
        <v>1983</v>
      </c>
      <c r="H1378" s="20" t="str">
        <f t="shared" si="21"/>
        <v>(nextval('obj_part_id_seq'), (select id from obj_building_v where zip||'|'||street||'|'||name||'|'||volume = '3049|Staatsstrasse 76|Schulhaus/Hausw.whg./Turnhalle/ZS|9300.00'), 'P2', 6, 50, 2012,'Ziegel-Walmdach m. Lukarne, WElleternit, Boden Dachraum isol.'),</v>
      </c>
    </row>
    <row r="1379" spans="1:8" x14ac:dyDescent="0.25">
      <c r="A1379" s="9" t="s">
        <v>1981</v>
      </c>
      <c r="B1379" s="9" t="s">
        <v>1099</v>
      </c>
      <c r="C1379">
        <v>2</v>
      </c>
      <c r="D1379">
        <v>90</v>
      </c>
      <c r="E1379">
        <v>2012</v>
      </c>
      <c r="F1379" s="9" t="s">
        <v>1984</v>
      </c>
      <c r="H1379" s="20" t="str">
        <f t="shared" si="21"/>
        <v>(nextval('obj_part_id_seq'), (select id from obj_building_v where zip||'|'||street||'|'||name||'|'||volume = '3049|Staatsstrasse 76|Schulhaus/Hausw.whg./Turnhalle/ZS|9300.00'), 'P3', 2, 90, 2012,'Im Zwischenbau Kiesklebedach mit Oblichter'),</v>
      </c>
    </row>
    <row r="1380" spans="1:8" x14ac:dyDescent="0.25">
      <c r="A1380" s="9" t="s">
        <v>1981</v>
      </c>
      <c r="B1380" s="9" t="s">
        <v>1100</v>
      </c>
      <c r="C1380">
        <v>7</v>
      </c>
      <c r="D1380">
        <v>90</v>
      </c>
      <c r="E1380">
        <v>2012</v>
      </c>
      <c r="F1380" s="9" t="s">
        <v>1985</v>
      </c>
      <c r="H1380" s="20" t="str">
        <f t="shared" si="21"/>
        <v>(nextval('obj_part_id_seq'), (select id from obj_building_v where zip||'|'||street||'|'||name||'|'||volume = '3049|Staatsstrasse 76|Schulhaus/Hausw.whg./Turnhalle/ZS|9300.00'), 'P4', 7, 90, 2012,'Mauerwerk verp., Fachwerk, WElleternit'),</v>
      </c>
    </row>
    <row r="1381" spans="1:8" x14ac:dyDescent="0.25">
      <c r="A1381" s="9" t="s">
        <v>1981</v>
      </c>
      <c r="B1381" s="9" t="s">
        <v>1102</v>
      </c>
      <c r="C1381">
        <v>10</v>
      </c>
      <c r="D1381">
        <v>80</v>
      </c>
      <c r="E1381">
        <v>2012</v>
      </c>
      <c r="F1381" s="9" t="s">
        <v>1986</v>
      </c>
      <c r="H1381" s="20" t="str">
        <f t="shared" si="21"/>
        <v>(nextval('obj_part_id_seq'), (select id from obj_building_v where zip||'|'||street||'|'||name||'|'||volume = '3049|Staatsstrasse 76|Schulhaus/Hausw.whg./Turnhalle/ZS|9300.00'), 'P5', 10, 80, 2012,'Holzfenster mit Sprossen, 2-fach-Vergl., Sonnenstoren neu, Metallf. im Anbau (TH)'),</v>
      </c>
    </row>
    <row r="1382" spans="1:8" x14ac:dyDescent="0.25">
      <c r="A1382" s="9" t="s">
        <v>1981</v>
      </c>
      <c r="B1382" s="9" t="s">
        <v>1164</v>
      </c>
      <c r="C1382">
        <v>6</v>
      </c>
      <c r="D1382">
        <v>90</v>
      </c>
      <c r="E1382">
        <v>2012</v>
      </c>
      <c r="F1382" s="9"/>
      <c r="H1382" s="20" t="str">
        <f t="shared" si="21"/>
        <v>(nextval('obj_part_id_seq'), (select id from obj_building_v where zip||'|'||street||'|'||name||'|'||volume = '3049|Staatsstrasse 76|Schulhaus/Hausw.whg./Turnhalle/ZS|9300.00'), 'P50', 6, 90, 2012,null),</v>
      </c>
    </row>
    <row r="1383" spans="1:8" x14ac:dyDescent="0.25">
      <c r="A1383" s="9" t="s">
        <v>1981</v>
      </c>
      <c r="B1383" s="9" t="s">
        <v>1166</v>
      </c>
      <c r="C1383">
        <v>1</v>
      </c>
      <c r="D1383">
        <v>90</v>
      </c>
      <c r="E1383">
        <v>2012</v>
      </c>
      <c r="F1383" s="9" t="s">
        <v>1987</v>
      </c>
      <c r="H1383" s="20" t="str">
        <f t="shared" si="21"/>
        <v>(nextval('obj_part_id_seq'), (select id from obj_building_v where zip||'|'||street||'|'||name||'|'||volume = '3049|Staatsstrasse 76|Schulhaus/Hausw.whg./Turnhalle/ZS|9300.00'), 'P51', 1, 90, 2012,'Tel., Gong'),</v>
      </c>
    </row>
    <row r="1384" spans="1:8" x14ac:dyDescent="0.25">
      <c r="A1384" s="9" t="s">
        <v>1981</v>
      </c>
      <c r="B1384" s="9" t="s">
        <v>1104</v>
      </c>
      <c r="C1384">
        <v>1</v>
      </c>
      <c r="D1384">
        <v>90</v>
      </c>
      <c r="E1384">
        <v>2012</v>
      </c>
      <c r="F1384" s="9" t="s">
        <v>1988</v>
      </c>
      <c r="H1384" s="20" t="str">
        <f t="shared" si="21"/>
        <v>(nextval('obj_part_id_seq'), (select id from obj_building_v where zip||'|'||street||'|'||name||'|'||volume = '3049|Staatsstrasse 76|Schulhaus/Hausw.whg./Turnhalle/ZS|9300.00'), 'P6', 1, 90, 2012,'Holzschnitzelfeuerungsanlage, Sonnenkollektoren mit Speicher, Oelheiz. ''03'),</v>
      </c>
    </row>
    <row r="1385" spans="1:8" x14ac:dyDescent="0.25">
      <c r="A1385" s="9" t="s">
        <v>1981</v>
      </c>
      <c r="B1385" s="9" t="s">
        <v>1106</v>
      </c>
      <c r="C1385">
        <v>3</v>
      </c>
      <c r="D1385">
        <v>90</v>
      </c>
      <c r="E1385">
        <v>2012</v>
      </c>
      <c r="F1385" s="9" t="s">
        <v>1107</v>
      </c>
      <c r="H1385" s="20" t="str">
        <f t="shared" si="21"/>
        <v>(nextval('obj_part_id_seq'), (select id from obj_building_v where zip||'|'||street||'|'||name||'|'||volume = '3049|Staatsstrasse 76|Schulhaus/Hausw.whg./Turnhalle/ZS|9300.00'), 'P7', 3, 90, 2012,'Radiatoren mit Thermostaten'),</v>
      </c>
    </row>
    <row r="1386" spans="1:8" x14ac:dyDescent="0.25">
      <c r="A1386" s="9" t="s">
        <v>1981</v>
      </c>
      <c r="B1386" s="9" t="s">
        <v>1108</v>
      </c>
      <c r="C1386">
        <v>4</v>
      </c>
      <c r="D1386">
        <v>90</v>
      </c>
      <c r="E1386">
        <v>2012</v>
      </c>
      <c r="F1386" s="9" t="s">
        <v>1989</v>
      </c>
      <c r="H1386" s="20" t="str">
        <f t="shared" si="21"/>
        <v>(nextval('obj_part_id_seq'), (select id from obj_building_v where zip||'|'||street||'|'||name||'|'||volume = '3049|Staatsstrasse 76|Schulhaus/Hausw.whg./Turnhalle/ZS|9300.00'), 'P8', 4, 90, 2012,'Ablaufrohre aus Gusseisen, Duschen nicht merh in Betrieb (neue Du eingebaut), Küche im Zw.bau und im DG'),</v>
      </c>
    </row>
    <row r="1387" spans="1:8" x14ac:dyDescent="0.25">
      <c r="A1387" s="9" t="s">
        <v>1981</v>
      </c>
      <c r="B1387" s="9" t="s">
        <v>1138</v>
      </c>
      <c r="C1387">
        <v>11</v>
      </c>
      <c r="D1387">
        <v>90</v>
      </c>
      <c r="E1387">
        <v>2012</v>
      </c>
      <c r="F1387" s="9" t="s">
        <v>1990</v>
      </c>
      <c r="H1387" s="20" t="str">
        <f t="shared" si="21"/>
        <v>(nextval('obj_part_id_seq'), (select id from obj_building_v where zip||'|'||street||'|'||name||'|'||volume = '3049|Staatsstrasse 76|Schulhaus/Hausw.whg./Turnhalle/ZS|9300.00'), 'P57', 11, 90, 2012,'Einabuschränke, Glastrennwwand, Garderobe, Vitrinen, Holzfaltwand'),</v>
      </c>
    </row>
    <row r="1388" spans="1:8" x14ac:dyDescent="0.25">
      <c r="A1388" s="9" t="s">
        <v>1981</v>
      </c>
      <c r="B1388" s="9" t="s">
        <v>1140</v>
      </c>
      <c r="C1388">
        <v>8</v>
      </c>
      <c r="D1388">
        <v>90</v>
      </c>
      <c r="E1388">
        <v>2012</v>
      </c>
      <c r="F1388" s="9" t="s">
        <v>1991</v>
      </c>
      <c r="H1388" s="20" t="str">
        <f t="shared" si="21"/>
        <v>(nextval('obj_part_id_seq'), (select id from obj_building_v where zip||'|'||street||'|'||name||'|'||volume = '3049|Staatsstrasse 76|Schulhaus/Hausw.whg./Turnhalle/ZS|9300.00'), 'P58', 8, 90, 2012,'B: Parkett, Gumminoppen, Porphyrpl., Teppich, TH: Boden neu, punktelastisch, Dielenb. im UG&lt;br&gt;W: Putz, Täfer, Plattenschilder&lt;br&gt;D: Spritzputz'),</v>
      </c>
    </row>
    <row r="1389" spans="1:8" x14ac:dyDescent="0.25">
      <c r="A1389" s="9" t="s">
        <v>1981</v>
      </c>
      <c r="B1389" s="9" t="s">
        <v>1142</v>
      </c>
      <c r="C1389">
        <v>0</v>
      </c>
      <c r="D1389" t="s">
        <v>4080</v>
      </c>
      <c r="E1389">
        <v>2012</v>
      </c>
      <c r="F1389" s="9"/>
      <c r="H1389" s="20" t="str">
        <f t="shared" si="21"/>
        <v>(nextval('obj_part_id_seq'), (select id from obj_building_v where zip||'|'||street||'|'||name||'|'||volume = '3049|Staatsstrasse 76|Schulhaus/Hausw.whg./Turnhalle/ZS|9300.00'), 'P60', 0, null, 2012,null),</v>
      </c>
    </row>
    <row r="1390" spans="1:8" x14ac:dyDescent="0.25">
      <c r="A1390" s="9" t="s">
        <v>1981</v>
      </c>
      <c r="B1390" s="9" t="s">
        <v>1143</v>
      </c>
      <c r="C1390">
        <v>0</v>
      </c>
      <c r="D1390" t="s">
        <v>4080</v>
      </c>
      <c r="E1390">
        <v>2012</v>
      </c>
      <c r="F1390" s="9"/>
      <c r="H1390" s="20" t="str">
        <f t="shared" si="21"/>
        <v>(nextval('obj_part_id_seq'), (select id from obj_building_v where zip||'|'||street||'|'||name||'|'||volume = '3049|Staatsstrasse 76|Schulhaus/Hausw.whg./Turnhalle/ZS|9300.00'), 'P61', 0, null, 2012,null),</v>
      </c>
    </row>
    <row r="1391" spans="1:8" x14ac:dyDescent="0.25">
      <c r="A1391" s="9" t="s">
        <v>1981</v>
      </c>
      <c r="B1391" s="9" t="s">
        <v>1144</v>
      </c>
      <c r="C1391">
        <v>0</v>
      </c>
      <c r="D1391" t="s">
        <v>4080</v>
      </c>
      <c r="E1391">
        <v>2012</v>
      </c>
      <c r="F1391" s="9"/>
      <c r="H1391" s="20" t="str">
        <f t="shared" si="21"/>
        <v>(nextval('obj_part_id_seq'), (select id from obj_building_v where zip||'|'||street||'|'||name||'|'||volume = '3049|Staatsstrasse 76|Schulhaus/Hausw.whg./Turnhalle/ZS|9300.00'), 'P62', 0, null, 2012,null),</v>
      </c>
    </row>
    <row r="1392" spans="1:8" x14ac:dyDescent="0.25">
      <c r="A1392" s="9" t="s">
        <v>1992</v>
      </c>
      <c r="B1392" s="9" t="s">
        <v>1127</v>
      </c>
      <c r="C1392">
        <v>21</v>
      </c>
      <c r="D1392">
        <v>90</v>
      </c>
      <c r="E1392">
        <v>2012</v>
      </c>
      <c r="F1392" s="9" t="s">
        <v>1993</v>
      </c>
      <c r="H1392" s="20" t="str">
        <f t="shared" si="21"/>
        <v>(nextval('obj_part_id_seq'), (select id from obj_building_v where zip||'|'||street||'|'||name||'|'||volume = '3043|Lindenstrasse 4|Kulturelles Zentrum Reberhaus|5500.00'), 'P48', 21, 90, 2012,'Stahlskelettbau, KS-Wämde, Bohlenständerbau, alter Teil m. Fachwerk, Gewölbekeller'),</v>
      </c>
    </row>
    <row r="1393" spans="1:8" x14ac:dyDescent="0.25">
      <c r="A1393" s="9" t="s">
        <v>1992</v>
      </c>
      <c r="B1393" s="9" t="s">
        <v>1129</v>
      </c>
      <c r="C1393">
        <v>0</v>
      </c>
      <c r="D1393" t="s">
        <v>4080</v>
      </c>
      <c r="E1393">
        <v>2012</v>
      </c>
      <c r="F1393" s="9"/>
      <c r="H1393" s="20" t="str">
        <f t="shared" si="21"/>
        <v>(nextval('obj_part_id_seq'), (select id from obj_building_v where zip||'|'||street||'|'||name||'|'||volume = '3043|Lindenstrasse 4|Kulturelles Zentrum Reberhaus|5500.00'), 'P49', 0, null, 2012,null),</v>
      </c>
    </row>
    <row r="1394" spans="1:8" x14ac:dyDescent="0.25">
      <c r="A1394" s="9" t="s">
        <v>1992</v>
      </c>
      <c r="B1394" s="9" t="s">
        <v>1097</v>
      </c>
      <c r="C1394">
        <v>14</v>
      </c>
      <c r="D1394">
        <v>90</v>
      </c>
      <c r="E1394">
        <v>2012</v>
      </c>
      <c r="F1394" s="9" t="s">
        <v>1994</v>
      </c>
      <c r="H1394" s="20" t="str">
        <f t="shared" si="21"/>
        <v>(nextval('obj_part_id_seq'), (select id from obj_building_v where zip||'|'||street||'|'||name||'|'||volume = '3043|Lindenstrasse 4|Kulturelles Zentrum Reberhaus|5500.00'), 'P2', 14, 90, 2012,'Pfettendach m. Falzziegel, Walmdach m. Gaupen'),</v>
      </c>
    </row>
    <row r="1395" spans="1:8" x14ac:dyDescent="0.25">
      <c r="A1395" s="9" t="s">
        <v>1992</v>
      </c>
      <c r="B1395" s="9" t="s">
        <v>1099</v>
      </c>
      <c r="C1395">
        <v>0</v>
      </c>
      <c r="D1395" t="s">
        <v>4080</v>
      </c>
      <c r="E1395">
        <v>2012</v>
      </c>
      <c r="F1395" s="9"/>
      <c r="H1395" s="20" t="str">
        <f t="shared" si="21"/>
        <v>(nextval('obj_part_id_seq'), (select id from obj_building_v where zip||'|'||street||'|'||name||'|'||volume = '3043|Lindenstrasse 4|Kulturelles Zentrum Reberhaus|5500.00'), 'P3', 0, null, 2012,null),</v>
      </c>
    </row>
    <row r="1396" spans="1:8" x14ac:dyDescent="0.25">
      <c r="A1396" s="9" t="s">
        <v>1992</v>
      </c>
      <c r="B1396" s="9" t="s">
        <v>1100</v>
      </c>
      <c r="C1396">
        <v>10</v>
      </c>
      <c r="D1396">
        <v>90</v>
      </c>
      <c r="E1396">
        <v>2012</v>
      </c>
      <c r="F1396" s="9" t="s">
        <v>1995</v>
      </c>
      <c r="H1396" s="20" t="str">
        <f t="shared" si="21"/>
        <v>(nextval('obj_part_id_seq'), (select id from obj_building_v where zip||'|'||street||'|'||name||'|'||volume = '3043|Lindenstrasse 4|Kulturelles Zentrum Reberhaus|5500.00'), 'P4', 10, 90, 2012,'KS-Wände, Bohlen, Lauben, Betonsockel, Natursteinsockel'),</v>
      </c>
    </row>
    <row r="1397" spans="1:8" x14ac:dyDescent="0.25">
      <c r="A1397" s="9" t="s">
        <v>1992</v>
      </c>
      <c r="B1397" s="9" t="s">
        <v>1102</v>
      </c>
      <c r="C1397">
        <v>12</v>
      </c>
      <c r="D1397">
        <v>85</v>
      </c>
      <c r="E1397">
        <v>2012</v>
      </c>
      <c r="F1397" s="9" t="s">
        <v>1996</v>
      </c>
      <c r="H1397" s="20" t="str">
        <f t="shared" si="21"/>
        <v>(nextval('obj_part_id_seq'), (select id from obj_building_v where zip||'|'||street||'|'||name||'|'||volume = '3043|Lindenstrasse 4|Kulturelles Zentrum Reberhaus|5500.00'), 'P5', 12, 85, 2012,'Stahl-/Glasfassade, Metallf., Holzf. m. IV -&gt; grosse Holzfenster lassen sich nicht mehr gut schliessen'),</v>
      </c>
    </row>
    <row r="1398" spans="1:8" x14ac:dyDescent="0.25">
      <c r="A1398" s="9" t="s">
        <v>1992</v>
      </c>
      <c r="B1398" s="9" t="s">
        <v>1110</v>
      </c>
      <c r="C1398">
        <v>4</v>
      </c>
      <c r="D1398">
        <v>80</v>
      </c>
      <c r="E1398">
        <v>2012</v>
      </c>
      <c r="F1398" s="9" t="s">
        <v>1997</v>
      </c>
      <c r="H1398" s="20" t="str">
        <f t="shared" si="21"/>
        <v>(nextval('obj_part_id_seq'), (select id from obj_building_v where zip||'|'||street||'|'||name||'|'||volume = '3043|Lindenstrasse 4|Kulturelles Zentrum Reberhaus|5500.00'), 'P9', 4, 80, 2012,'Fass.beleuchtung, BMA, Tel., Bühnenbeleuchtung und -technik wird revidiert, Beamer, Audioanlage'),</v>
      </c>
    </row>
    <row r="1399" spans="1:8" x14ac:dyDescent="0.25">
      <c r="A1399" s="9" t="s">
        <v>1992</v>
      </c>
      <c r="B1399" s="9" t="s">
        <v>1104</v>
      </c>
      <c r="C1399">
        <v>1</v>
      </c>
      <c r="D1399">
        <v>90</v>
      </c>
      <c r="E1399">
        <v>2012</v>
      </c>
      <c r="F1399" s="9" t="s">
        <v>1998</v>
      </c>
      <c r="H1399" s="20" t="str">
        <f t="shared" si="21"/>
        <v>(nextval('obj_part_id_seq'), (select id from obj_building_v where zip||'|'||street||'|'||name||'|'||volume = '3043|Lindenstrasse 4|Kulturelles Zentrum Reberhaus|5500.00'), 'P6', 1, 90, 2012,'Luftwärmepumpe wurde vor ca. 4-5 Jahren ersetzt, dez. Boiler im DG, Ölheizung'),</v>
      </c>
    </row>
    <row r="1400" spans="1:8" x14ac:dyDescent="0.25">
      <c r="A1400" s="9" t="s">
        <v>1992</v>
      </c>
      <c r="B1400" s="9" t="s">
        <v>1106</v>
      </c>
      <c r="C1400">
        <v>4</v>
      </c>
      <c r="D1400">
        <v>90</v>
      </c>
      <c r="E1400">
        <v>2012</v>
      </c>
      <c r="F1400" s="9" t="s">
        <v>1999</v>
      </c>
      <c r="H1400" s="20" t="str">
        <f t="shared" si="21"/>
        <v>(nextval('obj_part_id_seq'), (select id from obj_building_v where zip||'|'||street||'|'||name||'|'||volume = '3043|Lindenstrasse 4|Kulturelles Zentrum Reberhaus|5500.00'), 'P7', 4, 90, 2012,'Radiatoren o. Thermostaten, Bodenheizung'),</v>
      </c>
    </row>
    <row r="1401" spans="1:8" x14ac:dyDescent="0.25">
      <c r="A1401" s="9" t="s">
        <v>1992</v>
      </c>
      <c r="B1401" s="9" t="s">
        <v>1403</v>
      </c>
      <c r="C1401">
        <v>3</v>
      </c>
      <c r="D1401">
        <v>90</v>
      </c>
      <c r="E1401">
        <v>2012</v>
      </c>
      <c r="F1401" s="9" t="s">
        <v>2000</v>
      </c>
      <c r="H1401" s="20" t="str">
        <f t="shared" si="21"/>
        <v>(nextval('obj_part_id_seq'), (select id from obj_building_v where zip||'|'||street||'|'||name||'|'||volume = '3043|Lindenstrasse 4|Kulturelles Zentrum Reberhaus|5500.00'), 'P52', 3, 90, 2012,'Saallüftung'),</v>
      </c>
    </row>
    <row r="1402" spans="1:8" x14ac:dyDescent="0.25">
      <c r="A1402" s="9" t="s">
        <v>1992</v>
      </c>
      <c r="B1402" s="9" t="s">
        <v>1404</v>
      </c>
      <c r="C1402">
        <v>3</v>
      </c>
      <c r="D1402">
        <v>90</v>
      </c>
      <c r="E1402">
        <v>2012</v>
      </c>
      <c r="F1402" s="9" t="s">
        <v>2001</v>
      </c>
      <c r="H1402" s="20" t="str">
        <f t="shared" si="21"/>
        <v>(nextval('obj_part_id_seq'), (select id from obj_building_v where zip||'|'||street||'|'||name||'|'||volume = '3043|Lindenstrasse 4|Kulturelles Zentrum Reberhaus|5500.00'), 'P53', 3, 90, 2012,'Küchenabluft'),</v>
      </c>
    </row>
    <row r="1403" spans="1:8" x14ac:dyDescent="0.25">
      <c r="A1403" s="9" t="s">
        <v>1992</v>
      </c>
      <c r="B1403" s="9" t="s">
        <v>1108</v>
      </c>
      <c r="C1403">
        <v>5</v>
      </c>
      <c r="D1403">
        <v>90</v>
      </c>
      <c r="E1403">
        <v>2012</v>
      </c>
      <c r="F1403" s="9" t="s">
        <v>2002</v>
      </c>
      <c r="H1403" s="20" t="str">
        <f t="shared" si="21"/>
        <v>(nextval('obj_part_id_seq'), (select id from obj_building_v where zip||'|'||street||'|'||name||'|'||volume = '3043|Lindenstrasse 4|Kulturelles Zentrum Reberhaus|5500.00'), 'P8', 5, 90, 2012,'Leitungen i.O. (rel. gross dim. im DG)'),</v>
      </c>
    </row>
    <row r="1404" spans="1:8" x14ac:dyDescent="0.25">
      <c r="A1404" s="9" t="s">
        <v>1992</v>
      </c>
      <c r="B1404" s="9" t="s">
        <v>1138</v>
      </c>
      <c r="C1404">
        <v>11</v>
      </c>
      <c r="D1404">
        <v>90</v>
      </c>
      <c r="E1404">
        <v>2012</v>
      </c>
      <c r="F1404" s="9" t="s">
        <v>2003</v>
      </c>
      <c r="H1404" s="20" t="str">
        <f t="shared" si="21"/>
        <v>(nextval('obj_part_id_seq'), (select id from obj_building_v where zip||'|'||street||'|'||name||'|'||volume = '3043|Lindenstrasse 4|Kulturelles Zentrum Reberhaus|5500.00'), 'P57', 11, 90, 2012,'Einbauschränke, Garderoben, Schiebewand im Saal'),</v>
      </c>
    </row>
    <row r="1405" spans="1:8" x14ac:dyDescent="0.25">
      <c r="A1405" s="9" t="s">
        <v>1992</v>
      </c>
      <c r="B1405" s="9" t="s">
        <v>1140</v>
      </c>
      <c r="C1405">
        <v>4</v>
      </c>
      <c r="D1405">
        <v>90</v>
      </c>
      <c r="E1405">
        <v>2012</v>
      </c>
      <c r="F1405" s="9" t="s">
        <v>2004</v>
      </c>
      <c r="H1405" s="20" t="str">
        <f t="shared" si="21"/>
        <v>(nextval('obj_part_id_seq'), (select id from obj_building_v where zip||'|'||street||'|'||name||'|'||volume = '3043|Lindenstrasse 4|Kulturelles Zentrum Reberhaus|5500.00'), 'P58', 4, 90, 2012,'B: Keramik, Parkett, Dielen Empore&lt;br&gt;W: KS roh, Täfer&lt;br&gt;D: Täfer lasiert'),</v>
      </c>
    </row>
    <row r="1406" spans="1:8" x14ac:dyDescent="0.25">
      <c r="A1406" s="9" t="s">
        <v>1992</v>
      </c>
      <c r="B1406" s="9" t="s">
        <v>1157</v>
      </c>
      <c r="C1406">
        <v>6</v>
      </c>
      <c r="D1406">
        <v>90</v>
      </c>
      <c r="E1406">
        <v>2012</v>
      </c>
      <c r="F1406" s="9"/>
      <c r="H1406" s="20" t="str">
        <f t="shared" si="21"/>
        <v>(nextval('obj_part_id_seq'), (select id from obj_building_v where zip||'|'||street||'|'||name||'|'||volume = '3043|Lindenstrasse 4|Kulturelles Zentrum Reberhaus|5500.00'), 'P59', 6, 90, 2012,null),</v>
      </c>
    </row>
    <row r="1407" spans="1:8" x14ac:dyDescent="0.25">
      <c r="A1407" s="9" t="s">
        <v>1992</v>
      </c>
      <c r="B1407" s="9" t="s">
        <v>1142</v>
      </c>
      <c r="C1407">
        <v>0</v>
      </c>
      <c r="D1407" t="s">
        <v>4080</v>
      </c>
      <c r="E1407">
        <v>2012</v>
      </c>
      <c r="F1407" s="9"/>
      <c r="H1407" s="20" t="str">
        <f t="shared" si="21"/>
        <v>(nextval('obj_part_id_seq'), (select id from obj_building_v where zip||'|'||street||'|'||name||'|'||volume = '3043|Lindenstrasse 4|Kulturelles Zentrum Reberhaus|5500.00'), 'P60', 0, null, 2012,null),</v>
      </c>
    </row>
    <row r="1408" spans="1:8" x14ac:dyDescent="0.25">
      <c r="A1408" s="9" t="s">
        <v>1992</v>
      </c>
      <c r="B1408" s="9" t="s">
        <v>1143</v>
      </c>
      <c r="C1408">
        <v>2</v>
      </c>
      <c r="D1408">
        <v>90</v>
      </c>
      <c r="E1408">
        <v>2012</v>
      </c>
      <c r="F1408" s="9" t="s">
        <v>2005</v>
      </c>
      <c r="H1408" s="20" t="str">
        <f t="shared" si="21"/>
        <v>(nextval('obj_part_id_seq'), (select id from obj_building_v where zip||'|'||street||'|'||name||'|'||volume = '3043|Lindenstrasse 4|Kulturelles Zentrum Reberhaus|5500.00'), 'P61', 2, 90, 2012,'Aufzug nachgerüstet m. Innenkab.'),</v>
      </c>
    </row>
    <row r="1409" spans="1:8" x14ac:dyDescent="0.25">
      <c r="A1409" s="9" t="s">
        <v>1992</v>
      </c>
      <c r="B1409" s="9" t="s">
        <v>1144</v>
      </c>
      <c r="C1409">
        <v>0</v>
      </c>
      <c r="D1409" t="s">
        <v>4080</v>
      </c>
      <c r="E1409">
        <v>2012</v>
      </c>
      <c r="F1409" s="9"/>
      <c r="H1409" s="20" t="str">
        <f t="shared" si="21"/>
        <v>(nextval('obj_part_id_seq'), (select id from obj_building_v where zip||'|'||street||'|'||name||'|'||volume = '3043|Lindenstrasse 4|Kulturelles Zentrum Reberhaus|5500.00'), 'P62', 0, null, 2012,null),</v>
      </c>
    </row>
    <row r="1410" spans="1:8" x14ac:dyDescent="0.25">
      <c r="A1410" s="9" t="s">
        <v>2006</v>
      </c>
      <c r="B1410" s="9" t="s">
        <v>1095</v>
      </c>
      <c r="C1410">
        <v>35</v>
      </c>
      <c r="D1410">
        <v>90</v>
      </c>
      <c r="E1410">
        <v>2012</v>
      </c>
      <c r="F1410" s="9" t="s">
        <v>2007</v>
      </c>
      <c r="H1410" s="20" t="str">
        <f t="shared" si="21"/>
        <v>(nextval('obj_part_id_seq'), (select id from obj_building_v where zip||'|'||street||'|'||name||'|'||volume = '3043|Ahornweg 7|Feuerwehrmagazin/Schulungsraum|1600.00'), 'P1', 35, 90, 2012,'Zweischalen-KS-MW, Stahlstützen, Holzkonstr.'),</v>
      </c>
    </row>
    <row r="1411" spans="1:8" x14ac:dyDescent="0.25">
      <c r="A1411" s="9" t="s">
        <v>2006</v>
      </c>
      <c r="B1411" s="9" t="s">
        <v>1097</v>
      </c>
      <c r="C1411">
        <v>8</v>
      </c>
      <c r="D1411">
        <v>90</v>
      </c>
      <c r="E1411">
        <v>2012</v>
      </c>
      <c r="F1411" s="9" t="s">
        <v>2008</v>
      </c>
      <c r="H1411" s="20" t="str">
        <f t="shared" si="21"/>
        <v>(nextval('obj_part_id_seq'), (select id from obj_building_v where zip||'|'||street||'|'||name||'|'||volume = '3043|Ahornweg 7|Feuerwehrmagazin/Schulungsraum|1600.00'), 'P2', 8, 90, 2012,'Wellblechvordach und -dach'),</v>
      </c>
    </row>
    <row r="1412" spans="1:8" x14ac:dyDescent="0.25">
      <c r="A1412" s="9" t="s">
        <v>2006</v>
      </c>
      <c r="B1412" s="9" t="s">
        <v>1099</v>
      </c>
      <c r="C1412">
        <v>0</v>
      </c>
      <c r="D1412" t="s">
        <v>4080</v>
      </c>
      <c r="E1412">
        <v>2012</v>
      </c>
      <c r="F1412" s="9"/>
      <c r="H1412" s="20" t="str">
        <f t="shared" si="21"/>
        <v>(nextval('obj_part_id_seq'), (select id from obj_building_v where zip||'|'||street||'|'||name||'|'||volume = '3043|Ahornweg 7|Feuerwehrmagazin/Schulungsraum|1600.00'), 'P3', 0, null, 2012,null),</v>
      </c>
    </row>
    <row r="1413" spans="1:8" x14ac:dyDescent="0.25">
      <c r="A1413" s="9" t="s">
        <v>2006</v>
      </c>
      <c r="B1413" s="9" t="s">
        <v>1100</v>
      </c>
      <c r="C1413">
        <v>8</v>
      </c>
      <c r="D1413">
        <v>90</v>
      </c>
      <c r="E1413">
        <v>2012</v>
      </c>
      <c r="F1413" s="9" t="s">
        <v>2009</v>
      </c>
      <c r="H1413" s="20" t="str">
        <f t="shared" ref="H1413:H1476" si="22">"(nextval('obj_part_id_seq'), (select id from obj_building_v where zip||'|'||street||'|'||name||'|'||volume = '"&amp;A1413&amp;"'), '"&amp;B1413&amp;"', "&amp;C1413&amp;", "&amp;D1413&amp;", "&amp;IF(ISBLANK(E1413),"null",E1413)&amp;","&amp;IF(ISBLANK(F1413),"null","'"&amp;F1413&amp;"'")&amp;"),"</f>
        <v>(nextval('obj_part_id_seq'), (select id from obj_building_v where zip||'|'||street||'|'||name||'|'||volume = '3043|Ahornweg 7|Feuerwehrmagazin/Schulungsraum|1600.00'), 'P4', 8, 90, 2012,'KS-MW'),</v>
      </c>
    </row>
    <row r="1414" spans="1:8" x14ac:dyDescent="0.25">
      <c r="A1414" s="9" t="s">
        <v>2006</v>
      </c>
      <c r="B1414" s="9" t="s">
        <v>1102</v>
      </c>
      <c r="C1414">
        <v>9</v>
      </c>
      <c r="D1414">
        <v>90</v>
      </c>
      <c r="E1414">
        <v>2012</v>
      </c>
      <c r="F1414" s="9" t="s">
        <v>2010</v>
      </c>
      <c r="H1414" s="20" t="str">
        <f t="shared" si="22"/>
        <v>(nextval('obj_part_id_seq'), (select id from obj_building_v where zip||'|'||street||'|'||name||'|'||volume = '3043|Ahornweg 7|Feuerwehrmagazin/Schulungsraum|1600.00'), 'P5', 9, 90, 2012,'Stahltore m. IV'),</v>
      </c>
    </row>
    <row r="1415" spans="1:8" x14ac:dyDescent="0.25">
      <c r="A1415" s="9" t="s">
        <v>2006</v>
      </c>
      <c r="B1415" s="9" t="s">
        <v>1104</v>
      </c>
      <c r="C1415">
        <v>0</v>
      </c>
      <c r="D1415" t="s">
        <v>4080</v>
      </c>
      <c r="E1415">
        <v>2012</v>
      </c>
      <c r="F1415" s="9" t="s">
        <v>2011</v>
      </c>
      <c r="H1415" s="20" t="str">
        <f t="shared" si="22"/>
        <v>(nextval('obj_part_id_seq'), (select id from obj_building_v where zip||'|'||street||'|'||name||'|'||volume = '3043|Ahornweg 7|Feuerwehrmagazin/Schulungsraum|1600.00'), 'P6', 0, null, 2012,'Fernwärme, Lüftungsheizung für Feuerwehr'),</v>
      </c>
    </row>
    <row r="1416" spans="1:8" x14ac:dyDescent="0.25">
      <c r="A1416" s="9" t="s">
        <v>2006</v>
      </c>
      <c r="B1416" s="9" t="s">
        <v>1106</v>
      </c>
      <c r="C1416">
        <v>2</v>
      </c>
      <c r="D1416">
        <v>90</v>
      </c>
      <c r="E1416">
        <v>2012</v>
      </c>
      <c r="F1416" s="9" t="s">
        <v>1375</v>
      </c>
      <c r="H1416" s="20" t="str">
        <f t="shared" si="22"/>
        <v>(nextval('obj_part_id_seq'), (select id from obj_building_v where zip||'|'||street||'|'||name||'|'||volume = '3043|Ahornweg 7|Feuerwehrmagazin/Schulungsraum|1600.00'), 'P7', 2, 90, 2012,'Radiatoren m. Thermostaten'),</v>
      </c>
    </row>
    <row r="1417" spans="1:8" x14ac:dyDescent="0.25">
      <c r="A1417" s="9" t="s">
        <v>2006</v>
      </c>
      <c r="B1417" s="9" t="s">
        <v>1108</v>
      </c>
      <c r="C1417">
        <v>6</v>
      </c>
      <c r="D1417">
        <v>90</v>
      </c>
      <c r="E1417">
        <v>2012</v>
      </c>
      <c r="F1417" s="9" t="s">
        <v>2012</v>
      </c>
      <c r="H1417" s="20" t="str">
        <f t="shared" si="22"/>
        <v>(nextval('obj_part_id_seq'), (select id from obj_building_v where zip||'|'||street||'|'||name||'|'||volume = '3043|Ahornweg 7|Feuerwehrmagazin/Schulungsraum|1600.00'), 'P8', 6, 90, 2012,'Leitungen i.O., Küche'),</v>
      </c>
    </row>
    <row r="1418" spans="1:8" x14ac:dyDescent="0.25">
      <c r="A1418" s="9" t="s">
        <v>2006</v>
      </c>
      <c r="B1418" s="9" t="s">
        <v>1110</v>
      </c>
      <c r="C1418">
        <v>6</v>
      </c>
      <c r="D1418">
        <v>90</v>
      </c>
      <c r="E1418">
        <v>2012</v>
      </c>
      <c r="F1418" s="9" t="s">
        <v>1295</v>
      </c>
      <c r="H1418" s="20" t="str">
        <f t="shared" si="22"/>
        <v>(nextval('obj_part_id_seq'), (select id from obj_building_v where zip||'|'||street||'|'||name||'|'||volume = '3043|Ahornweg 7|Feuerwehrmagazin/Schulungsraum|1600.00'), 'P9', 6, 90, 2012,'Beleuchtung'),</v>
      </c>
    </row>
    <row r="1419" spans="1:8" x14ac:dyDescent="0.25">
      <c r="A1419" s="9" t="s">
        <v>2006</v>
      </c>
      <c r="B1419" s="9" t="s">
        <v>1112</v>
      </c>
      <c r="C1419">
        <v>3</v>
      </c>
      <c r="D1419">
        <v>80</v>
      </c>
      <c r="E1419">
        <v>2012</v>
      </c>
      <c r="F1419" s="9" t="s">
        <v>2013</v>
      </c>
      <c r="H1419" s="20" t="str">
        <f t="shared" si="22"/>
        <v>(nextval('obj_part_id_seq'), (select id from obj_building_v where zip||'|'||street||'|'||name||'|'||volume = '3043|Ahornweg 7|Feuerwehrmagazin/Schulungsraum|1600.00'), 'P10', 3, 80, 2012,'Kompressor, etc.'),</v>
      </c>
    </row>
    <row r="1420" spans="1:8" x14ac:dyDescent="0.25">
      <c r="A1420" s="9" t="s">
        <v>2006</v>
      </c>
      <c r="B1420" s="9" t="s">
        <v>1114</v>
      </c>
      <c r="C1420">
        <v>23</v>
      </c>
      <c r="D1420">
        <v>90</v>
      </c>
      <c r="E1420">
        <v>2012</v>
      </c>
      <c r="F1420" s="9" t="s">
        <v>2014</v>
      </c>
      <c r="H1420" s="20" t="str">
        <f t="shared" si="22"/>
        <v>(nextval('obj_part_id_seq'), (select id from obj_building_v where zip||'|'||street||'|'||name||'|'||volume = '3043|Ahornweg 7|Feuerwehrmagazin/Schulungsraum|1600.00'), 'P11', 23, 90, 2012,'Einbauschränke'),</v>
      </c>
    </row>
    <row r="1421" spans="1:8" x14ac:dyDescent="0.25">
      <c r="A1421" s="9" t="s">
        <v>2006</v>
      </c>
      <c r="B1421" s="9" t="s">
        <v>1114</v>
      </c>
      <c r="C1421">
        <v>0</v>
      </c>
      <c r="D1421" t="s">
        <v>4080</v>
      </c>
      <c r="E1421">
        <v>2012</v>
      </c>
      <c r="F1421" s="9" t="s">
        <v>2015</v>
      </c>
      <c r="H1421" s="20" t="str">
        <f t="shared" si="22"/>
        <v>(nextval('obj_part_id_seq'), (select id from obj_building_v where zip||'|'||street||'|'||name||'|'||volume = '3043|Ahornweg 7|Feuerwehrmagazin/Schulungsraum|1600.00'), 'P11', 0, null, 2012,'B: Hartbeton, PVC im OG, Spanplatten, Teppich, W: roh, D: Pavatex'),</v>
      </c>
    </row>
    <row r="1422" spans="1:8" x14ac:dyDescent="0.25">
      <c r="A1422" s="9" t="s">
        <v>2006</v>
      </c>
      <c r="B1422" s="9" t="s">
        <v>1116</v>
      </c>
      <c r="C1422">
        <v>0</v>
      </c>
      <c r="D1422" t="s">
        <v>4080</v>
      </c>
      <c r="E1422">
        <v>2012</v>
      </c>
      <c r="F1422" s="9"/>
      <c r="H1422" s="20" t="str">
        <f t="shared" si="22"/>
        <v>(nextval('obj_part_id_seq'), (select id from obj_building_v where zip||'|'||street||'|'||name||'|'||volume = '3043|Ahornweg 7|Feuerwehrmagazin/Schulungsraum|1600.00'), 'P12', 0, null, 2012,null),</v>
      </c>
    </row>
    <row r="1423" spans="1:8" x14ac:dyDescent="0.25">
      <c r="A1423" s="9" t="s">
        <v>2016</v>
      </c>
      <c r="B1423" s="9" t="s">
        <v>1127</v>
      </c>
      <c r="C1423">
        <v>42</v>
      </c>
      <c r="D1423">
        <v>85</v>
      </c>
      <c r="E1423">
        <v>2013</v>
      </c>
      <c r="F1423" s="9" t="s">
        <v>2017</v>
      </c>
      <c r="H1423" s="20" t="str">
        <f t="shared" si="22"/>
        <v>(nextval('obj_part_id_seq'), (select id from obj_building_v where zip||'|'||street||'|'||name||'|'||volume = '9470|Schulhausstrasse 4|Wohnhaus (Musikschule)|2231.00'), 'P48', 42, 85, 2013,'Mauerwerk, massiv mit Holzbalkendecken, Feuchtigkeit im Keller'),</v>
      </c>
    </row>
    <row r="1424" spans="1:8" x14ac:dyDescent="0.25">
      <c r="A1424" s="9" t="s">
        <v>2016</v>
      </c>
      <c r="B1424" s="9" t="s">
        <v>1129</v>
      </c>
      <c r="C1424">
        <v>0</v>
      </c>
      <c r="D1424" t="s">
        <v>4080</v>
      </c>
      <c r="E1424">
        <v>2013</v>
      </c>
      <c r="F1424" s="9"/>
      <c r="H1424" s="20" t="str">
        <f t="shared" si="22"/>
        <v>(nextval('obj_part_id_seq'), (select id from obj_building_v where zip||'|'||street||'|'||name||'|'||volume = '9470|Schulhausstrasse 4|Wohnhaus (Musikschule)|2231.00'), 'P49', 0, null, 2013,null),</v>
      </c>
    </row>
    <row r="1425" spans="1:8" x14ac:dyDescent="0.25">
      <c r="A1425" s="9" t="s">
        <v>2016</v>
      </c>
      <c r="B1425" s="9" t="s">
        <v>1097</v>
      </c>
      <c r="C1425">
        <v>8</v>
      </c>
      <c r="D1425">
        <v>90</v>
      </c>
      <c r="E1425">
        <v>2013</v>
      </c>
      <c r="F1425" s="9" t="s">
        <v>2018</v>
      </c>
      <c r="H1425" s="20" t="str">
        <f t="shared" si="22"/>
        <v>(nextval('obj_part_id_seq'), (select id from obj_building_v where zip||'|'||street||'|'||name||'|'||volume = '9470|Schulhausstrasse 4|Wohnhaus (Musikschule)|2231.00'), 'P2', 8, 90, 2013,'Walmdach mit Schleppgauben, Biberschwanzziegel, DF-Fenster'),</v>
      </c>
    </row>
    <row r="1426" spans="1:8" x14ac:dyDescent="0.25">
      <c r="A1426" s="9" t="s">
        <v>2016</v>
      </c>
      <c r="B1426" s="9" t="s">
        <v>1099</v>
      </c>
      <c r="C1426">
        <v>0</v>
      </c>
      <c r="D1426" t="s">
        <v>4080</v>
      </c>
      <c r="E1426">
        <v>2013</v>
      </c>
      <c r="F1426" s="9"/>
      <c r="H1426" s="20" t="str">
        <f t="shared" si="22"/>
        <v>(nextval('obj_part_id_seq'), (select id from obj_building_v where zip||'|'||street||'|'||name||'|'||volume = '9470|Schulhausstrasse 4|Wohnhaus (Musikschule)|2231.00'), 'P3', 0, null, 2013,null),</v>
      </c>
    </row>
    <row r="1427" spans="1:8" x14ac:dyDescent="0.25">
      <c r="A1427" s="9" t="s">
        <v>2016</v>
      </c>
      <c r="B1427" s="9" t="s">
        <v>1100</v>
      </c>
      <c r="C1427">
        <v>7</v>
      </c>
      <c r="D1427">
        <v>85</v>
      </c>
      <c r="E1427">
        <v>2013</v>
      </c>
      <c r="F1427" s="9" t="s">
        <v>2019</v>
      </c>
      <c r="H1427" s="20" t="str">
        <f t="shared" si="22"/>
        <v>(nextval('obj_part_id_seq'), (select id from obj_building_v where zip||'|'||street||'|'||name||'|'||volume = '9470|Schulhausstrasse 4|Wohnhaus (Musikschule)|2231.00'), 'P4', 7, 85, 2013,'MW verputzt, Kunststeingewände, Natursteinsockel, Balkon mit Wintergarten-Verglasung'),</v>
      </c>
    </row>
    <row r="1428" spans="1:8" x14ac:dyDescent="0.25">
      <c r="A1428" s="9" t="s">
        <v>2016</v>
      </c>
      <c r="B1428" s="9" t="s">
        <v>1102</v>
      </c>
      <c r="C1428">
        <v>10</v>
      </c>
      <c r="D1428">
        <v>85</v>
      </c>
      <c r="E1428">
        <v>2013</v>
      </c>
      <c r="F1428" s="9" t="s">
        <v>2020</v>
      </c>
      <c r="H1428" s="20" t="str">
        <f t="shared" si="22"/>
        <v>(nextval('obj_part_id_seq'), (select id from obj_building_v where zip||'|'||street||'|'||name||'|'||volume = '9470|Schulhausstrasse 4|Wohnhaus (Musikschule)|2231.00'), 'P5', 10, 85, 2013,'Holzfenster IV (''95) / Kunststofffenster (''96), Stoffstoren bei Balkon, RL-Storen im EG und DG + Metallfenster/-türe im UG, Metallläden'),</v>
      </c>
    </row>
    <row r="1429" spans="1:8" x14ac:dyDescent="0.25">
      <c r="A1429" s="9" t="s">
        <v>2016</v>
      </c>
      <c r="B1429" s="9" t="s">
        <v>1164</v>
      </c>
      <c r="C1429">
        <v>6</v>
      </c>
      <c r="D1429">
        <v>85</v>
      </c>
      <c r="E1429">
        <v>2013</v>
      </c>
      <c r="F1429" s="9" t="s">
        <v>2021</v>
      </c>
      <c r="H1429" s="20" t="str">
        <f t="shared" si="22"/>
        <v>(nextval('obj_part_id_seq'), (select id from obj_building_v where zip||'|'||street||'|'||name||'|'||volume = '9470|Schulhausstrasse 4|Wohnhaus (Musikschule)|2231.00'), 'P50', 6, 85, 2013,'neuere Sicherungen, Beleuchtung DG, OG (Downlights und andere)'),</v>
      </c>
    </row>
    <row r="1430" spans="1:8" x14ac:dyDescent="0.25">
      <c r="A1430" s="9" t="s">
        <v>2016</v>
      </c>
      <c r="B1430" s="9" t="s">
        <v>1166</v>
      </c>
      <c r="C1430">
        <v>1</v>
      </c>
      <c r="D1430">
        <v>90</v>
      </c>
      <c r="E1430">
        <v>2013</v>
      </c>
      <c r="F1430" s="9" t="s">
        <v>2022</v>
      </c>
      <c r="H1430" s="20" t="str">
        <f t="shared" si="22"/>
        <v>(nextval('obj_part_id_seq'), (select id from obj_building_v where zip||'|'||street||'|'||name||'|'||volume = '9470|Schulhausstrasse 4|Wohnhaus (Musikschule)|2231.00'), 'P51', 1, 90, 2013,'Gong, Telefon, TV, Internet, EDV-Server und -Leitungen'),</v>
      </c>
    </row>
    <row r="1431" spans="1:8" x14ac:dyDescent="0.25">
      <c r="A1431" s="9" t="s">
        <v>2016</v>
      </c>
      <c r="B1431" s="9" t="s">
        <v>1104</v>
      </c>
      <c r="C1431">
        <v>0</v>
      </c>
      <c r="D1431" t="s">
        <v>4080</v>
      </c>
      <c r="E1431">
        <v>2013</v>
      </c>
      <c r="F1431" s="9" t="s">
        <v>1235</v>
      </c>
      <c r="H1431" s="20" t="str">
        <f t="shared" si="22"/>
        <v>(nextval('obj_part_id_seq'), (select id from obj_building_v where zip||'|'||street||'|'||name||'|'||volume = '9470|Schulhausstrasse 4|Wohnhaus (Musikschule)|2231.00'), 'P6', 0, null, 2013,'Fernwärme'),</v>
      </c>
    </row>
    <row r="1432" spans="1:8" x14ac:dyDescent="0.25">
      <c r="A1432" s="9" t="s">
        <v>2016</v>
      </c>
      <c r="B1432" s="9" t="s">
        <v>1106</v>
      </c>
      <c r="C1432">
        <v>3</v>
      </c>
      <c r="D1432">
        <v>90</v>
      </c>
      <c r="E1432">
        <v>2013</v>
      </c>
      <c r="F1432" s="9" t="s">
        <v>1107</v>
      </c>
      <c r="H1432" s="20" t="str">
        <f t="shared" si="22"/>
        <v>(nextval('obj_part_id_seq'), (select id from obj_building_v where zip||'|'||street||'|'||name||'|'||volume = '9470|Schulhausstrasse 4|Wohnhaus (Musikschule)|2231.00'), 'P7', 3, 90, 2013,'Radiatoren mit Thermostaten'),</v>
      </c>
    </row>
    <row r="1433" spans="1:8" x14ac:dyDescent="0.25">
      <c r="A1433" s="9" t="s">
        <v>2016</v>
      </c>
      <c r="B1433" s="9" t="s">
        <v>1108</v>
      </c>
      <c r="C1433">
        <v>4</v>
      </c>
      <c r="D1433">
        <v>80</v>
      </c>
      <c r="E1433">
        <v>2013</v>
      </c>
      <c r="F1433" s="9" t="s">
        <v>2023</v>
      </c>
      <c r="H1433" s="20" t="str">
        <f t="shared" si="22"/>
        <v>(nextval('obj_part_id_seq'), (select id from obj_building_v where zip||'|'||street||'|'||name||'|'||volume = '9470|Schulhausstrasse 4|Wohnhaus (Musikschule)|2231.00'), 'P8', 4, 80, 2013,'Apparate funktionstüchtig, Leitungen rostig'),</v>
      </c>
    </row>
    <row r="1434" spans="1:8" x14ac:dyDescent="0.25">
      <c r="A1434" s="9" t="s">
        <v>2016</v>
      </c>
      <c r="B1434" s="9" t="s">
        <v>1138</v>
      </c>
      <c r="C1434">
        <v>11</v>
      </c>
      <c r="D1434">
        <v>90</v>
      </c>
      <c r="E1434">
        <v>2013</v>
      </c>
      <c r="F1434" s="9" t="s">
        <v>2024</v>
      </c>
      <c r="H1434" s="20" t="str">
        <f t="shared" si="22"/>
        <v>(nextval('obj_part_id_seq'), (select id from obj_building_v where zip||'|'||street||'|'||name||'|'||volume = '9470|Schulhausstrasse 4|Wohnhaus (Musikschule)|2231.00'), 'P57', 11, 90, 2013,'Holzfensterbretter, Innentüren, Glastüre, Glaswand Sekretariat, Windfang EG aus Glas, Kaffeeküche, ausgebauter Kellerraum für Schlagzeug Ausbau aus Holz ( Fächli)'),</v>
      </c>
    </row>
    <row r="1435" spans="1:8" x14ac:dyDescent="0.25">
      <c r="A1435" s="9" t="s">
        <v>2016</v>
      </c>
      <c r="B1435" s="9" t="s">
        <v>1140</v>
      </c>
      <c r="C1435">
        <v>8</v>
      </c>
      <c r="D1435">
        <v>90</v>
      </c>
      <c r="E1435">
        <v>2013</v>
      </c>
      <c r="F1435" s="9" t="s">
        <v>2025</v>
      </c>
      <c r="H1435" s="20" t="str">
        <f t="shared" si="22"/>
        <v>(nextval('obj_part_id_seq'), (select id from obj_building_v where zip||'|'||street||'|'||name||'|'||volume = '9470|Schulhausstrasse 4|Wohnhaus (Musikschule)|2231.00'), 'P58', 8, 90, 2013,'B: Parkett (Langriemen), Kork, Zement im Keller, gestrichen, Keramikplatten, W: verputzt, gestrichen, feine Risse im OG,  D: Täfer, Akustikd., Gipskartonplatten'),</v>
      </c>
    </row>
    <row r="1436" spans="1:8" x14ac:dyDescent="0.25">
      <c r="A1436" s="9" t="s">
        <v>2016</v>
      </c>
      <c r="B1436" s="9" t="s">
        <v>1142</v>
      </c>
      <c r="C1436">
        <v>0</v>
      </c>
      <c r="D1436" t="s">
        <v>4080</v>
      </c>
      <c r="E1436">
        <v>2013</v>
      </c>
      <c r="F1436" s="9"/>
      <c r="H1436" s="20" t="str">
        <f t="shared" si="22"/>
        <v>(nextval('obj_part_id_seq'), (select id from obj_building_v where zip||'|'||street||'|'||name||'|'||volume = '9470|Schulhausstrasse 4|Wohnhaus (Musikschule)|2231.00'), 'P60', 0, null, 2013,null),</v>
      </c>
    </row>
    <row r="1437" spans="1:8" x14ac:dyDescent="0.25">
      <c r="A1437" s="9" t="s">
        <v>2016</v>
      </c>
      <c r="B1437" s="9" t="s">
        <v>1143</v>
      </c>
      <c r="C1437">
        <v>0</v>
      </c>
      <c r="D1437" t="s">
        <v>4080</v>
      </c>
      <c r="E1437">
        <v>2013</v>
      </c>
      <c r="F1437" s="9"/>
      <c r="H1437" s="20" t="str">
        <f t="shared" si="22"/>
        <v>(nextval('obj_part_id_seq'), (select id from obj_building_v where zip||'|'||street||'|'||name||'|'||volume = '9470|Schulhausstrasse 4|Wohnhaus (Musikschule)|2231.00'), 'P61', 0, null, 2013,null),</v>
      </c>
    </row>
    <row r="1438" spans="1:8" x14ac:dyDescent="0.25">
      <c r="A1438" s="9" t="s">
        <v>2016</v>
      </c>
      <c r="B1438" s="9" t="s">
        <v>1144</v>
      </c>
      <c r="C1438">
        <v>0</v>
      </c>
      <c r="D1438" t="s">
        <v>4080</v>
      </c>
      <c r="E1438">
        <v>2013</v>
      </c>
      <c r="F1438" s="9"/>
      <c r="H1438" s="20" t="str">
        <f t="shared" si="22"/>
        <v>(nextval('obj_part_id_seq'), (select id from obj_building_v where zip||'|'||street||'|'||name||'|'||volume = '9470|Schulhausstrasse 4|Wohnhaus (Musikschule)|2231.00'), 'P62', 0, null, 2013,null),</v>
      </c>
    </row>
    <row r="1439" spans="1:8" x14ac:dyDescent="0.25">
      <c r="A1439" s="9" t="s">
        <v>2026</v>
      </c>
      <c r="B1439" s="9" t="s">
        <v>1127</v>
      </c>
      <c r="C1439">
        <v>42</v>
      </c>
      <c r="D1439">
        <v>90</v>
      </c>
      <c r="E1439">
        <v>2013</v>
      </c>
      <c r="F1439" s="9" t="s">
        <v>2027</v>
      </c>
      <c r="H1439" s="20" t="str">
        <f t="shared" si="22"/>
        <v>(nextval('obj_part_id_seq'), (select id from obj_building_v where zip||'|'||street||'|'||name||'|'||volume = '9470|Schulhausstrasse 10|Schulhaus Grof|6964.00'), 'P48', 42, 90, 2013,'Bruchsteinmauerwerk, Innenisol., Holzbalkendecken'),</v>
      </c>
    </row>
    <row r="1440" spans="1:8" x14ac:dyDescent="0.25">
      <c r="A1440" s="9" t="s">
        <v>2026</v>
      </c>
      <c r="B1440" s="9" t="s">
        <v>1129</v>
      </c>
      <c r="C1440">
        <v>0</v>
      </c>
      <c r="D1440" t="s">
        <v>4080</v>
      </c>
      <c r="E1440">
        <v>2013</v>
      </c>
      <c r="F1440" s="9"/>
      <c r="H1440" s="20" t="str">
        <f t="shared" si="22"/>
        <v>(nextval('obj_part_id_seq'), (select id from obj_building_v where zip||'|'||street||'|'||name||'|'||volume = '9470|Schulhausstrasse 10|Schulhaus Grof|6964.00'), 'P49', 0, null, 2013,null),</v>
      </c>
    </row>
    <row r="1441" spans="1:8" x14ac:dyDescent="0.25">
      <c r="A1441" s="9" t="s">
        <v>2026</v>
      </c>
      <c r="B1441" s="9" t="s">
        <v>1097</v>
      </c>
      <c r="C1441">
        <v>5</v>
      </c>
      <c r="D1441">
        <v>90</v>
      </c>
      <c r="E1441">
        <v>2013</v>
      </c>
      <c r="F1441" s="9" t="s">
        <v>2028</v>
      </c>
      <c r="H1441" s="20" t="str">
        <f t="shared" si="22"/>
        <v>(nextval('obj_part_id_seq'), (select id from obj_building_v where zip||'|'||street||'|'||name||'|'||volume = '9470|Schulhausstrasse 10|Schulhaus Grof|6964.00'), 'P2', 5, 90, 2013,'tw. Glasdach, Giebeldach mit Falzziegel, Feuchtigkeitsflecken im Unterdach'),</v>
      </c>
    </row>
    <row r="1442" spans="1:8" x14ac:dyDescent="0.25">
      <c r="A1442" s="9" t="s">
        <v>2026</v>
      </c>
      <c r="B1442" s="9" t="s">
        <v>1099</v>
      </c>
      <c r="C1442">
        <v>3</v>
      </c>
      <c r="D1442">
        <v>80</v>
      </c>
      <c r="E1442">
        <v>2013</v>
      </c>
      <c r="F1442" s="9" t="s">
        <v>2029</v>
      </c>
      <c r="H1442" s="20" t="str">
        <f t="shared" si="22"/>
        <v>(nextval('obj_part_id_seq'), (select id from obj_building_v where zip||'|'||street||'|'||name||'|'||volume = '9470|Schulhausstrasse 10|Schulhaus Grof|6964.00'), 'P3', 3, 80, 2013,'Kiesdach Anbau und tw. Altbau, Überdeckung der Dichtungsschicht beim Altbau mangelhaft'),</v>
      </c>
    </row>
    <row r="1443" spans="1:8" x14ac:dyDescent="0.25">
      <c r="A1443" s="9" t="s">
        <v>2026</v>
      </c>
      <c r="B1443" s="9" t="s">
        <v>1100</v>
      </c>
      <c r="C1443">
        <v>7</v>
      </c>
      <c r="D1443">
        <v>80</v>
      </c>
      <c r="E1443">
        <v>2013</v>
      </c>
      <c r="F1443" s="9" t="s">
        <v>2030</v>
      </c>
      <c r="H1443" s="20" t="str">
        <f t="shared" si="22"/>
        <v>(nextval('obj_part_id_seq'), (select id from obj_building_v where zip||'|'||street||'|'||name||'|'||volume = '9470|Schulhausstrasse 10|Schulhaus Grof|6964.00'), 'P4', 7, 80, 2013,'Bruchsteinmauerwerk verputzt, Natursteingewände/Eternit im Anbau, Verschmutzungen, Risse und Verfärbungen im Sockelbereich'),</v>
      </c>
    </row>
    <row r="1444" spans="1:8" x14ac:dyDescent="0.25">
      <c r="A1444" s="9" t="s">
        <v>2026</v>
      </c>
      <c r="B1444" s="9" t="s">
        <v>1102</v>
      </c>
      <c r="C1444">
        <v>10</v>
      </c>
      <c r="D1444">
        <v>90</v>
      </c>
      <c r="E1444">
        <v>2013</v>
      </c>
      <c r="F1444" s="9" t="s">
        <v>2031</v>
      </c>
      <c r="H1444" s="20" t="str">
        <f t="shared" si="22"/>
        <v>(nextval('obj_part_id_seq'), (select id from obj_building_v where zip||'|'||street||'|'||name||'|'||volume = '9470|Schulhausstrasse 10|Schulhaus Grof|6964.00'), 'P5', 10, 90, 2013,'Kunststoff (''99), RL elektr., innere Verdunkelungen'),</v>
      </c>
    </row>
    <row r="1445" spans="1:8" x14ac:dyDescent="0.25">
      <c r="A1445" s="9" t="s">
        <v>2026</v>
      </c>
      <c r="B1445" s="9" t="s">
        <v>1164</v>
      </c>
      <c r="C1445">
        <v>6</v>
      </c>
      <c r="D1445">
        <v>90</v>
      </c>
      <c r="E1445">
        <v>2013</v>
      </c>
      <c r="F1445" s="9" t="s">
        <v>2032</v>
      </c>
      <c r="H1445" s="20" t="str">
        <f t="shared" si="22"/>
        <v>(nextval('obj_part_id_seq'), (select id from obj_building_v where zip||'|'||street||'|'||name||'|'||volume = '9470|Schulhausstrasse 10|Schulhaus Grof|6964.00'), 'P50', 6, 90, 2013,'Beleuchtung, Schalter ok, Aufputzleitungen, teilweise alte Keramiksicherungen'),</v>
      </c>
    </row>
    <row r="1446" spans="1:8" x14ac:dyDescent="0.25">
      <c r="A1446" s="9" t="s">
        <v>2026</v>
      </c>
      <c r="B1446" s="9" t="s">
        <v>1166</v>
      </c>
      <c r="C1446">
        <v>1</v>
      </c>
      <c r="D1446">
        <v>90</v>
      </c>
      <c r="E1446">
        <v>2013</v>
      </c>
      <c r="F1446" s="9" t="s">
        <v>2033</v>
      </c>
      <c r="H1446" s="20" t="str">
        <f t="shared" si="22"/>
        <v>(nextval('obj_part_id_seq'), (select id from obj_building_v where zip||'|'||street||'|'||name||'|'||volume = '9470|Schulhausstrasse 10|Schulhaus Grof|6964.00'), 'P51', 1, 90, 2013,'Bewegungsmelder, Server, Funktelefon, Storensteuerung, EDV'),</v>
      </c>
    </row>
    <row r="1447" spans="1:8" x14ac:dyDescent="0.25">
      <c r="A1447" s="9" t="s">
        <v>2026</v>
      </c>
      <c r="B1447" s="9" t="s">
        <v>1104</v>
      </c>
      <c r="C1447">
        <v>0</v>
      </c>
      <c r="D1447" t="s">
        <v>4080</v>
      </c>
      <c r="E1447">
        <v>2013</v>
      </c>
      <c r="F1447" s="9" t="s">
        <v>1235</v>
      </c>
      <c r="H1447" s="20" t="str">
        <f t="shared" si="22"/>
        <v>(nextval('obj_part_id_seq'), (select id from obj_building_v where zip||'|'||street||'|'||name||'|'||volume = '9470|Schulhausstrasse 10|Schulhaus Grof|6964.00'), 'P6', 0, null, 2013,'Fernwärme'),</v>
      </c>
    </row>
    <row r="1448" spans="1:8" x14ac:dyDescent="0.25">
      <c r="A1448" s="9" t="s">
        <v>2026</v>
      </c>
      <c r="B1448" s="9" t="s">
        <v>1106</v>
      </c>
      <c r="C1448">
        <v>3</v>
      </c>
      <c r="D1448">
        <v>80</v>
      </c>
      <c r="E1448">
        <v>2013</v>
      </c>
      <c r="F1448" s="9" t="s">
        <v>1107</v>
      </c>
      <c r="H1448" s="20" t="str">
        <f t="shared" si="22"/>
        <v>(nextval('obj_part_id_seq'), (select id from obj_building_v where zip||'|'||street||'|'||name||'|'||volume = '9470|Schulhausstrasse 10|Schulhaus Grof|6964.00'), 'P7', 3, 80, 2013,'Radiatoren mit Thermostaten'),</v>
      </c>
    </row>
    <row r="1449" spans="1:8" x14ac:dyDescent="0.25">
      <c r="A1449" s="9" t="s">
        <v>2026</v>
      </c>
      <c r="B1449" s="9" t="s">
        <v>1108</v>
      </c>
      <c r="C1449">
        <v>4</v>
      </c>
      <c r="D1449">
        <v>80</v>
      </c>
      <c r="E1449">
        <v>2013</v>
      </c>
      <c r="F1449" s="9" t="s">
        <v>2034</v>
      </c>
      <c r="H1449" s="20" t="str">
        <f t="shared" si="22"/>
        <v>(nextval('obj_part_id_seq'), (select id from obj_building_v where zip||'|'||street||'|'||name||'|'||volume = '9470|Schulhausstrasse 10|Schulhaus Grof|6964.00'), 'P8', 4, 80, 2013,'Warmwasserleitungen: schwacher Druck, (wurde gem. Ang. HW reduziert), Apparate + Armaturen alt, jedoch funktionstüchtig'),</v>
      </c>
    </row>
    <row r="1450" spans="1:8" x14ac:dyDescent="0.25">
      <c r="A1450" s="9" t="s">
        <v>2026</v>
      </c>
      <c r="B1450" s="9" t="s">
        <v>1138</v>
      </c>
      <c r="C1450">
        <v>11</v>
      </c>
      <c r="D1450">
        <v>90</v>
      </c>
      <c r="E1450">
        <v>2013</v>
      </c>
      <c r="F1450" s="9" t="s">
        <v>2035</v>
      </c>
      <c r="H1450" s="20" t="str">
        <f t="shared" si="22"/>
        <v>(nextval('obj_part_id_seq'), (select id from obj_building_v where zip||'|'||street||'|'||name||'|'||volume = '9470|Schulhausstrasse 10|Schulhaus Grof|6964.00'), 'P57', 11, 90, 2013,'Einbauten aus Holz, Teeküche, Garderoben, Einbauschränke'),</v>
      </c>
    </row>
    <row r="1451" spans="1:8" x14ac:dyDescent="0.25">
      <c r="A1451" s="9" t="s">
        <v>2026</v>
      </c>
      <c r="B1451" s="9" t="s">
        <v>1140</v>
      </c>
      <c r="C1451">
        <v>8</v>
      </c>
      <c r="D1451">
        <v>80</v>
      </c>
      <c r="E1451">
        <v>2013</v>
      </c>
      <c r="F1451" s="9" t="s">
        <v>2036</v>
      </c>
      <c r="H1451" s="20" t="str">
        <f t="shared" si="22"/>
        <v>(nextval('obj_part_id_seq'), (select id from obj_building_v where zip||'|'||street||'|'||name||'|'||volume = '9470|Schulhausstrasse 10|Schulhaus Grof|6964.00'), 'P58', 8, 80, 2013,'B: Keramik, Naturstein, Parkett, PVC, Gumminoppen im UG, Teppich in LZ, D: Anbau Gips, Akustikplatten, Faserzement, Täferdecke in LZ W: Gipskarton verputzt, gestrichen, Tapete, getrichen, Täfer, tw. Risse an den Innenwänden'),</v>
      </c>
    </row>
    <row r="1452" spans="1:8" x14ac:dyDescent="0.25">
      <c r="A1452" s="9" t="s">
        <v>2026</v>
      </c>
      <c r="B1452" s="9" t="s">
        <v>1142</v>
      </c>
      <c r="C1452">
        <v>0</v>
      </c>
      <c r="D1452" t="s">
        <v>4080</v>
      </c>
      <c r="E1452">
        <v>2013</v>
      </c>
      <c r="F1452" s="9"/>
      <c r="H1452" s="20" t="str">
        <f t="shared" si="22"/>
        <v>(nextval('obj_part_id_seq'), (select id from obj_building_v where zip||'|'||street||'|'||name||'|'||volume = '9470|Schulhausstrasse 10|Schulhaus Grof|6964.00'), 'P60', 0, null, 2013,null),</v>
      </c>
    </row>
    <row r="1453" spans="1:8" x14ac:dyDescent="0.25">
      <c r="A1453" s="9" t="s">
        <v>2026</v>
      </c>
      <c r="B1453" s="9" t="s">
        <v>1143</v>
      </c>
      <c r="C1453">
        <v>0</v>
      </c>
      <c r="D1453" t="s">
        <v>4080</v>
      </c>
      <c r="E1453">
        <v>2013</v>
      </c>
      <c r="F1453" s="9"/>
      <c r="H1453" s="20" t="str">
        <f t="shared" si="22"/>
        <v>(nextval('obj_part_id_seq'), (select id from obj_building_v where zip||'|'||street||'|'||name||'|'||volume = '9470|Schulhausstrasse 10|Schulhaus Grof|6964.00'), 'P61', 0, null, 2013,null),</v>
      </c>
    </row>
    <row r="1454" spans="1:8" x14ac:dyDescent="0.25">
      <c r="A1454" s="9" t="s">
        <v>2026</v>
      </c>
      <c r="B1454" s="9" t="s">
        <v>1144</v>
      </c>
      <c r="C1454">
        <v>0</v>
      </c>
      <c r="D1454" t="s">
        <v>4080</v>
      </c>
      <c r="E1454">
        <v>2013</v>
      </c>
      <c r="F1454" s="9"/>
      <c r="H1454" s="20" t="str">
        <f t="shared" si="22"/>
        <v>(nextval('obj_part_id_seq'), (select id from obj_building_v where zip||'|'||street||'|'||name||'|'||volume = '9470|Schulhausstrasse 10|Schulhaus Grof|6964.00'), 'P62', 0, null, 2013,null),</v>
      </c>
    </row>
    <row r="1455" spans="1:8" x14ac:dyDescent="0.25">
      <c r="A1455" s="9" t="s">
        <v>2037</v>
      </c>
      <c r="B1455" s="9" t="s">
        <v>1127</v>
      </c>
      <c r="C1455">
        <v>42</v>
      </c>
      <c r="D1455">
        <v>90</v>
      </c>
      <c r="E1455">
        <v>2013</v>
      </c>
      <c r="F1455" s="9" t="s">
        <v>2038</v>
      </c>
      <c r="H1455" s="20" t="str">
        <f t="shared" si="22"/>
        <v>(nextval('obj_part_id_seq'), (select id from obj_building_v where zip||'|'||street||'|'||name||'|'||volume = '9470|Schulhausstrasse 30|OZ Grof Neubau|12416.00'), 'P48', 42, 90, 2013,'Stahlbeton, Mauerwerk, Stahlskelettbau im Zwischenbau,'),</v>
      </c>
    </row>
    <row r="1456" spans="1:8" x14ac:dyDescent="0.25">
      <c r="A1456" s="9" t="s">
        <v>2037</v>
      </c>
      <c r="B1456" s="9" t="s">
        <v>1129</v>
      </c>
      <c r="C1456">
        <v>0</v>
      </c>
      <c r="D1456" t="s">
        <v>4080</v>
      </c>
      <c r="E1456">
        <v>2013</v>
      </c>
      <c r="F1456" s="9"/>
      <c r="H1456" s="20" t="str">
        <f t="shared" si="22"/>
        <v>(nextval('obj_part_id_seq'), (select id from obj_building_v where zip||'|'||street||'|'||name||'|'||volume = '9470|Schulhausstrasse 30|OZ Grof Neubau|12416.00'), 'P49', 0, null, 2013,null),</v>
      </c>
    </row>
    <row r="1457" spans="1:8" x14ac:dyDescent="0.25">
      <c r="A1457" s="9" t="s">
        <v>2037</v>
      </c>
      <c r="B1457" s="9" t="s">
        <v>1097</v>
      </c>
      <c r="C1457">
        <v>6</v>
      </c>
      <c r="D1457">
        <v>85</v>
      </c>
      <c r="E1457">
        <v>2013</v>
      </c>
      <c r="F1457" s="9" t="s">
        <v>2039</v>
      </c>
      <c r="H1457" s="20" t="str">
        <f t="shared" si="22"/>
        <v>(nextval('obj_part_id_seq'), (select id from obj_building_v where zip||'|'||street||'|'||name||'|'||volume = '9470|Schulhausstrasse 30|OZ Grof Neubau|12416.00'), 'P2', 6, 85, 2013,'Eternit-/Schindeldach, Rostflecken an Untersicht SO-Ecke (s. Bem.)'),</v>
      </c>
    </row>
    <row r="1458" spans="1:8" x14ac:dyDescent="0.25">
      <c r="A1458" s="9" t="s">
        <v>2037</v>
      </c>
      <c r="B1458" s="9" t="s">
        <v>1099</v>
      </c>
      <c r="C1458">
        <v>2</v>
      </c>
      <c r="D1458">
        <v>90</v>
      </c>
      <c r="E1458">
        <v>2013</v>
      </c>
      <c r="F1458" s="9" t="s">
        <v>2040</v>
      </c>
      <c r="H1458" s="20" t="str">
        <f t="shared" si="22"/>
        <v>(nextval('obj_part_id_seq'), (select id from obj_building_v where zip||'|'||street||'|'||name||'|'||volume = '9470|Schulhausstrasse 30|OZ Grof Neubau|12416.00'), 'P3', 2, 90, 2013,'tw. Kiesdach, tw. Extensivbegrünung'),</v>
      </c>
    </row>
    <row r="1459" spans="1:8" x14ac:dyDescent="0.25">
      <c r="A1459" s="9" t="s">
        <v>2037</v>
      </c>
      <c r="B1459" s="9" t="s">
        <v>1100</v>
      </c>
      <c r="C1459">
        <v>7</v>
      </c>
      <c r="D1459">
        <v>70</v>
      </c>
      <c r="E1459">
        <v>2013</v>
      </c>
      <c r="F1459" s="9" t="s">
        <v>2041</v>
      </c>
      <c r="H1459" s="20" t="str">
        <f t="shared" si="22"/>
        <v>(nextval('obj_part_id_seq'), (select id from obj_building_v where zip||'|'||street||'|'||name||'|'||volume = '9470|Schulhausstrasse 30|OZ Grof Neubau|12416.00'), 'P4', 7, 70, 2013,'verputztes Mauerwerk , Verputz blättert tw. ab, Verfärbungen und Plattenstösse zeichnen sich ab'),</v>
      </c>
    </row>
    <row r="1460" spans="1:8" x14ac:dyDescent="0.25">
      <c r="A1460" s="9" t="s">
        <v>2037</v>
      </c>
      <c r="B1460" s="9" t="s">
        <v>1102</v>
      </c>
      <c r="C1460">
        <v>10</v>
      </c>
      <c r="D1460">
        <v>80</v>
      </c>
      <c r="E1460">
        <v>2013</v>
      </c>
      <c r="F1460" s="9" t="s">
        <v>2042</v>
      </c>
      <c r="H1460" s="20" t="str">
        <f t="shared" si="22"/>
        <v>(nextval('obj_part_id_seq'), (select id from obj_building_v where zip||'|'||street||'|'||name||'|'||volume = '9470|Schulhausstrasse 30|OZ Grof Neubau|12416.00'), 'P5', 10, 80, 2013,'Metall-/Holzfenster (''98), tw. undicht'),</v>
      </c>
    </row>
    <row r="1461" spans="1:8" x14ac:dyDescent="0.25">
      <c r="A1461" s="9" t="s">
        <v>2037</v>
      </c>
      <c r="B1461" s="9" t="s">
        <v>1164</v>
      </c>
      <c r="C1461">
        <v>6</v>
      </c>
      <c r="D1461">
        <v>90</v>
      </c>
      <c r="E1461">
        <v>2013</v>
      </c>
      <c r="F1461" s="9" t="s">
        <v>2043</v>
      </c>
      <c r="H1461" s="20" t="str">
        <f t="shared" si="22"/>
        <v>(nextval('obj_part_id_seq'), (select id from obj_building_v where zip||'|'||street||'|'||name||'|'||volume = '9470|Schulhausstrasse 30|OZ Grof Neubau|12416.00'), 'P50', 6, 90, 2013,'tw. alte Keramiksicherungen, Bühnentechnik'),</v>
      </c>
    </row>
    <row r="1462" spans="1:8" x14ac:dyDescent="0.25">
      <c r="A1462" s="9" t="s">
        <v>2037</v>
      </c>
      <c r="B1462" s="9" t="s">
        <v>1166</v>
      </c>
      <c r="C1462">
        <v>1</v>
      </c>
      <c r="D1462">
        <v>90</v>
      </c>
      <c r="E1462">
        <v>2013</v>
      </c>
      <c r="F1462" s="9" t="s">
        <v>2044</v>
      </c>
      <c r="H1462" s="20" t="str">
        <f t="shared" si="22"/>
        <v>(nextval('obj_part_id_seq'), (select id from obj_building_v where zip||'|'||street||'|'||name||'|'||volume = '9470|Schulhausstrasse 30|OZ Grof Neubau|12416.00'), 'P51', 1, 90, 2013,'Uhr, Gong, EDV, Telefon, SPS-Steuerung, Audio'),</v>
      </c>
    </row>
    <row r="1463" spans="1:8" x14ac:dyDescent="0.25">
      <c r="A1463" s="9" t="s">
        <v>2037</v>
      </c>
      <c r="B1463" s="9" t="s">
        <v>1104</v>
      </c>
      <c r="C1463">
        <v>0</v>
      </c>
      <c r="D1463" t="s">
        <v>4080</v>
      </c>
      <c r="E1463">
        <v>2013</v>
      </c>
      <c r="F1463" s="9" t="s">
        <v>1235</v>
      </c>
      <c r="H1463" s="20" t="str">
        <f t="shared" si="22"/>
        <v>(nextval('obj_part_id_seq'), (select id from obj_building_v where zip||'|'||street||'|'||name||'|'||volume = '9470|Schulhausstrasse 30|OZ Grof Neubau|12416.00'), 'P6', 0, null, 2013,'Fernwärme'),</v>
      </c>
    </row>
    <row r="1464" spans="1:8" x14ac:dyDescent="0.25">
      <c r="A1464" s="9" t="s">
        <v>2037</v>
      </c>
      <c r="B1464" s="9" t="s">
        <v>1106</v>
      </c>
      <c r="C1464">
        <v>3</v>
      </c>
      <c r="D1464">
        <v>90</v>
      </c>
      <c r="E1464">
        <v>2013</v>
      </c>
      <c r="F1464" s="9" t="s">
        <v>1107</v>
      </c>
      <c r="H1464" s="20" t="str">
        <f t="shared" si="22"/>
        <v>(nextval('obj_part_id_seq'), (select id from obj_building_v where zip||'|'||street||'|'||name||'|'||volume = '9470|Schulhausstrasse 30|OZ Grof Neubau|12416.00'), 'P7', 3, 90, 2013,'Radiatoren mit Thermostaten'),</v>
      </c>
    </row>
    <row r="1465" spans="1:8" x14ac:dyDescent="0.25">
      <c r="A1465" s="9" t="s">
        <v>2037</v>
      </c>
      <c r="B1465" s="9" t="s">
        <v>1108</v>
      </c>
      <c r="C1465">
        <v>4</v>
      </c>
      <c r="D1465">
        <v>90</v>
      </c>
      <c r="E1465">
        <v>2013</v>
      </c>
      <c r="F1465" s="9" t="s">
        <v>2045</v>
      </c>
      <c r="H1465" s="20" t="str">
        <f t="shared" si="22"/>
        <v>(nextval('obj_part_id_seq'), (select id from obj_building_v where zip||'|'||street||'|'||name||'|'||volume = '9470|Schulhausstrasse 30|OZ Grof Neubau|12416.00'), 'P8', 4, 90, 2013,'Apparate funktionstüchtig, Leitungen: nur Kaltwasseranschlüsse in den Schulzimmern und WC''s, hochliegende Kanalisation'),</v>
      </c>
    </row>
    <row r="1466" spans="1:8" x14ac:dyDescent="0.25">
      <c r="A1466" s="9" t="s">
        <v>2037</v>
      </c>
      <c r="B1466" s="9" t="s">
        <v>1138</v>
      </c>
      <c r="C1466">
        <v>11</v>
      </c>
      <c r="D1466">
        <v>90</v>
      </c>
      <c r="E1466">
        <v>2013</v>
      </c>
      <c r="F1466" s="9" t="s">
        <v>2046</v>
      </c>
      <c r="H1466" s="20" t="str">
        <f t="shared" si="22"/>
        <v>(nextval('obj_part_id_seq'), (select id from obj_building_v where zip||'|'||street||'|'||name||'|'||volume = '9470|Schulhausstrasse 30|OZ Grof Neubau|12416.00'), 'P57', 11, 90, 2013,'Einbauschränke, Küche mit Glaskeramik, Windfang Metall-/Glas, erhöhter Stahl-/Glasboden vor Singsaal'),</v>
      </c>
    </row>
    <row r="1467" spans="1:8" x14ac:dyDescent="0.25">
      <c r="A1467" s="9" t="s">
        <v>2037</v>
      </c>
      <c r="B1467" s="9" t="s">
        <v>1140</v>
      </c>
      <c r="C1467">
        <v>8</v>
      </c>
      <c r="D1467">
        <v>85</v>
      </c>
      <c r="E1467">
        <v>2013</v>
      </c>
      <c r="F1467" s="9" t="s">
        <v>2047</v>
      </c>
      <c r="H1467" s="20" t="str">
        <f t="shared" si="22"/>
        <v>(nextval('obj_part_id_seq'), (select id from obj_building_v where zip||'|'||street||'|'||name||'|'||volume = '9470|Schulhausstrasse 30|OZ Grof Neubau|12416.00'), 'P58', 8, 85, 2013,'B: PVC, Keramik, Parkett, Linol, Terazzo, Teppich, W: Glasfasertapeten, KS-Wände D: Holz, Akustik, tw. Rostflecken bei Betondecken, heruntergehängte Metalldecke'),</v>
      </c>
    </row>
    <row r="1468" spans="1:8" x14ac:dyDescent="0.25">
      <c r="A1468" s="9" t="s">
        <v>2037</v>
      </c>
      <c r="B1468" s="9" t="s">
        <v>1142</v>
      </c>
      <c r="C1468">
        <v>0</v>
      </c>
      <c r="D1468" t="s">
        <v>4080</v>
      </c>
      <c r="E1468">
        <v>2013</v>
      </c>
      <c r="F1468" s="9"/>
      <c r="H1468" s="20" t="str">
        <f t="shared" si="22"/>
        <v>(nextval('obj_part_id_seq'), (select id from obj_building_v where zip||'|'||street||'|'||name||'|'||volume = '9470|Schulhausstrasse 30|OZ Grof Neubau|12416.00'), 'P60', 0, null, 2013,null),</v>
      </c>
    </row>
    <row r="1469" spans="1:8" x14ac:dyDescent="0.25">
      <c r="A1469" s="9" t="s">
        <v>2037</v>
      </c>
      <c r="B1469" s="9" t="s">
        <v>1143</v>
      </c>
      <c r="C1469">
        <v>0</v>
      </c>
      <c r="D1469" t="s">
        <v>4080</v>
      </c>
      <c r="E1469">
        <v>2013</v>
      </c>
      <c r="F1469" s="9"/>
      <c r="H1469" s="20" t="str">
        <f t="shared" si="22"/>
        <v>(nextval('obj_part_id_seq'), (select id from obj_building_v where zip||'|'||street||'|'||name||'|'||volume = '9470|Schulhausstrasse 30|OZ Grof Neubau|12416.00'), 'P61', 0, null, 2013,null),</v>
      </c>
    </row>
    <row r="1470" spans="1:8" x14ac:dyDescent="0.25">
      <c r="A1470" s="9" t="s">
        <v>2037</v>
      </c>
      <c r="B1470" s="9" t="s">
        <v>1144</v>
      </c>
      <c r="C1470">
        <v>0</v>
      </c>
      <c r="D1470" t="s">
        <v>4080</v>
      </c>
      <c r="E1470">
        <v>2013</v>
      </c>
      <c r="F1470" s="9"/>
      <c r="H1470" s="20" t="str">
        <f t="shared" si="22"/>
        <v>(nextval('obj_part_id_seq'), (select id from obj_building_v where zip||'|'||street||'|'||name||'|'||volume = '9470|Schulhausstrasse 30|OZ Grof Neubau|12416.00'), 'P62', 0, null, 2013,null),</v>
      </c>
    </row>
    <row r="1471" spans="1:8" x14ac:dyDescent="0.25">
      <c r="A1471" s="9" t="s">
        <v>2048</v>
      </c>
      <c r="B1471" s="9" t="s">
        <v>1127</v>
      </c>
      <c r="C1471">
        <v>42</v>
      </c>
      <c r="D1471">
        <v>90</v>
      </c>
      <c r="E1471">
        <v>2013</v>
      </c>
      <c r="F1471" s="9" t="s">
        <v>1787</v>
      </c>
      <c r="H1471" s="20" t="str">
        <f t="shared" si="22"/>
        <v>(nextval('obj_part_id_seq'), (select id from obj_building_v where zip||'|'||street||'|'||name||'|'||volume = '9470|Schulhausstrasse 27|OZ Grof Altbau|5497.00'), 'P48', 42, 90, 2013,'Mauerwerk mit Holzbalkendecken'),</v>
      </c>
    </row>
    <row r="1472" spans="1:8" x14ac:dyDescent="0.25">
      <c r="A1472" s="9" t="s">
        <v>2048</v>
      </c>
      <c r="B1472" s="9" t="s">
        <v>1129</v>
      </c>
      <c r="C1472">
        <v>0</v>
      </c>
      <c r="D1472" t="s">
        <v>4080</v>
      </c>
      <c r="E1472">
        <v>2013</v>
      </c>
      <c r="F1472" s="9"/>
      <c r="H1472" s="20" t="str">
        <f t="shared" si="22"/>
        <v>(nextval('obj_part_id_seq'), (select id from obj_building_v where zip||'|'||street||'|'||name||'|'||volume = '9470|Schulhausstrasse 27|OZ Grof Altbau|5497.00'), 'P49', 0, null, 2013,null),</v>
      </c>
    </row>
    <row r="1473" spans="1:8" x14ac:dyDescent="0.25">
      <c r="A1473" s="9" t="s">
        <v>2048</v>
      </c>
      <c r="B1473" s="9" t="s">
        <v>1097</v>
      </c>
      <c r="C1473">
        <v>8</v>
      </c>
      <c r="D1473">
        <v>80</v>
      </c>
      <c r="E1473">
        <v>2013</v>
      </c>
      <c r="F1473" s="9" t="s">
        <v>2049</v>
      </c>
      <c r="H1473" s="20" t="str">
        <f t="shared" si="22"/>
        <v>(nextval('obj_part_id_seq'), (select id from obj_building_v where zip||'|'||street||'|'||name||'|'||volume = '9470|Schulhausstrasse 27|OZ Grof Altbau|5497.00'), 'P2', 8, 80, 2013,'Giebeldach mit Biberschwanzziegel, Holzschindelunterdach tw. mangelhaft, Feuchtigkeitsflecken vorhanden'),</v>
      </c>
    </row>
    <row r="1474" spans="1:8" x14ac:dyDescent="0.25">
      <c r="A1474" s="9" t="s">
        <v>2048</v>
      </c>
      <c r="B1474" s="9" t="s">
        <v>1099</v>
      </c>
      <c r="C1474">
        <v>0</v>
      </c>
      <c r="D1474" t="s">
        <v>4080</v>
      </c>
      <c r="E1474">
        <v>2013</v>
      </c>
      <c r="F1474" s="9"/>
      <c r="H1474" s="20" t="str">
        <f t="shared" si="22"/>
        <v>(nextval('obj_part_id_seq'), (select id from obj_building_v where zip||'|'||street||'|'||name||'|'||volume = '9470|Schulhausstrasse 27|OZ Grof Altbau|5497.00'), 'P3', 0, null, 2013,null),</v>
      </c>
    </row>
    <row r="1475" spans="1:8" x14ac:dyDescent="0.25">
      <c r="A1475" s="9" t="s">
        <v>2048</v>
      </c>
      <c r="B1475" s="9" t="s">
        <v>1100</v>
      </c>
      <c r="C1475">
        <v>7</v>
      </c>
      <c r="D1475">
        <v>90</v>
      </c>
      <c r="E1475">
        <v>2013</v>
      </c>
      <c r="F1475" s="9" t="s">
        <v>2050</v>
      </c>
      <c r="H1475" s="20" t="str">
        <f t="shared" si="22"/>
        <v>(nextval('obj_part_id_seq'), (select id from obj_building_v where zip||'|'||street||'|'||name||'|'||volume = '9470|Schulhausstrasse 27|OZ Grof Altbau|5497.00'), 'P4', 7, 90, 2013,'Mauerwerk verputzt'),</v>
      </c>
    </row>
    <row r="1476" spans="1:8" x14ac:dyDescent="0.25">
      <c r="A1476" s="9" t="s">
        <v>2048</v>
      </c>
      <c r="B1476" s="9" t="s">
        <v>1102</v>
      </c>
      <c r="C1476">
        <v>10</v>
      </c>
      <c r="D1476">
        <v>90</v>
      </c>
      <c r="E1476">
        <v>2013</v>
      </c>
      <c r="F1476" s="9" t="s">
        <v>2051</v>
      </c>
      <c r="H1476" s="20" t="str">
        <f t="shared" si="22"/>
        <v>(nextval('obj_part_id_seq'), (select id from obj_building_v where zip||'|'||street||'|'||name||'|'||volume = '9470|Schulhausstrasse 27|OZ Grof Altbau|5497.00'), 'P5', 10, 90, 2013,'Metallstoren, Holzmetallfenster, IV'),</v>
      </c>
    </row>
    <row r="1477" spans="1:8" x14ac:dyDescent="0.25">
      <c r="A1477" s="9" t="s">
        <v>2048</v>
      </c>
      <c r="B1477" s="9" t="s">
        <v>1164</v>
      </c>
      <c r="C1477">
        <v>6</v>
      </c>
      <c r="D1477">
        <v>90</v>
      </c>
      <c r="E1477">
        <v>2013</v>
      </c>
      <c r="F1477" s="9" t="s">
        <v>2052</v>
      </c>
      <c r="H1477" s="20" t="str">
        <f t="shared" ref="H1477:H1540" si="23">"(nextval('obj_part_id_seq'), (select id from obj_building_v where zip||'|'||street||'|'||name||'|'||volume = '"&amp;A1477&amp;"'), '"&amp;B1477&amp;"', "&amp;C1477&amp;", "&amp;D1477&amp;", "&amp;IF(ISBLANK(E1477),"null",E1477)&amp;","&amp;IF(ISBLANK(F1477),"null","'"&amp;F1477&amp;"'")&amp;"),"</f>
        <v>(nextval('obj_part_id_seq'), (select id from obj_building_v where zip||'|'||street||'|'||name||'|'||volume = '9470|Schulhausstrasse 27|OZ Grof Altbau|5497.00'), 'P50', 6, 90, 2013,'Beleuchtung, Schalter ok'),</v>
      </c>
    </row>
    <row r="1478" spans="1:8" x14ac:dyDescent="0.25">
      <c r="A1478" s="9" t="s">
        <v>2048</v>
      </c>
      <c r="B1478" s="9" t="s">
        <v>1166</v>
      </c>
      <c r="C1478">
        <v>1</v>
      </c>
      <c r="D1478">
        <v>90</v>
      </c>
      <c r="E1478">
        <v>2013</v>
      </c>
      <c r="F1478" s="9" t="s">
        <v>2053</v>
      </c>
      <c r="H1478" s="20" t="str">
        <f t="shared" si="23"/>
        <v>(nextval('obj_part_id_seq'), (select id from obj_building_v where zip||'|'||street||'|'||name||'|'||volume = '9470|Schulhausstrasse 27|OZ Grof Altbau|5497.00'), 'P51', 1, 90, 2013,'Zentrale Uhr + Gong, EDV-Verkabelung, SPS-Steuerung'),</v>
      </c>
    </row>
    <row r="1479" spans="1:8" x14ac:dyDescent="0.25">
      <c r="A1479" s="9" t="s">
        <v>2048</v>
      </c>
      <c r="B1479" s="9" t="s">
        <v>1104</v>
      </c>
      <c r="C1479">
        <v>0</v>
      </c>
      <c r="D1479" t="s">
        <v>4080</v>
      </c>
      <c r="E1479">
        <v>2013</v>
      </c>
      <c r="F1479" s="9" t="s">
        <v>1235</v>
      </c>
      <c r="H1479" s="20" t="str">
        <f t="shared" si="23"/>
        <v>(nextval('obj_part_id_seq'), (select id from obj_building_v where zip||'|'||street||'|'||name||'|'||volume = '9470|Schulhausstrasse 27|OZ Grof Altbau|5497.00'), 'P6', 0, null, 2013,'Fernwärme'),</v>
      </c>
    </row>
    <row r="1480" spans="1:8" x14ac:dyDescent="0.25">
      <c r="A1480" s="9" t="s">
        <v>2048</v>
      </c>
      <c r="B1480" s="9" t="s">
        <v>1106</v>
      </c>
      <c r="C1480">
        <v>3</v>
      </c>
      <c r="D1480">
        <v>90</v>
      </c>
      <c r="E1480">
        <v>2013</v>
      </c>
      <c r="F1480" s="9" t="s">
        <v>1107</v>
      </c>
      <c r="H1480" s="20" t="str">
        <f t="shared" si="23"/>
        <v>(nextval('obj_part_id_seq'), (select id from obj_building_v where zip||'|'||street||'|'||name||'|'||volume = '9470|Schulhausstrasse 27|OZ Grof Altbau|5497.00'), 'P7', 3, 90, 2013,'Radiatoren mit Thermostaten'),</v>
      </c>
    </row>
    <row r="1481" spans="1:8" x14ac:dyDescent="0.25">
      <c r="A1481" s="9" t="s">
        <v>2048</v>
      </c>
      <c r="B1481" s="9" t="s">
        <v>1108</v>
      </c>
      <c r="C1481">
        <v>4</v>
      </c>
      <c r="D1481">
        <v>85</v>
      </c>
      <c r="E1481">
        <v>2013</v>
      </c>
      <c r="F1481" s="9" t="s">
        <v>2054</v>
      </c>
      <c r="H1481" s="20" t="str">
        <f t="shared" si="23"/>
        <v>(nextval('obj_part_id_seq'), (select id from obj_building_v where zip||'|'||street||'|'||name||'|'||volume = '9470|Schulhausstrasse 27|OZ Grof Altbau|5497.00'), 'P8', 4, 85, 2013,'Apparate funktionstüchtig, Leitungen tw. nicht isoliert, hochliegende Abwasserleitung'),</v>
      </c>
    </row>
    <row r="1482" spans="1:8" x14ac:dyDescent="0.25">
      <c r="A1482" s="9" t="s">
        <v>2048</v>
      </c>
      <c r="B1482" s="9" t="s">
        <v>1138</v>
      </c>
      <c r="C1482">
        <v>11</v>
      </c>
      <c r="D1482">
        <v>90</v>
      </c>
      <c r="E1482">
        <v>2013</v>
      </c>
      <c r="F1482" s="9" t="s">
        <v>2055</v>
      </c>
      <c r="H1482" s="20" t="str">
        <f t="shared" si="23"/>
        <v>(nextval('obj_part_id_seq'), (select id from obj_building_v where zip||'|'||street||'|'||name||'|'||volume = '9470|Schulhausstrasse 27|OZ Grof Altbau|5497.00'), 'P57', 11, 90, 2013,'Küche, Garderoben'),</v>
      </c>
    </row>
    <row r="1483" spans="1:8" x14ac:dyDescent="0.25">
      <c r="A1483" s="9" t="s">
        <v>2048</v>
      </c>
      <c r="B1483" s="9" t="s">
        <v>1140</v>
      </c>
      <c r="C1483">
        <v>8</v>
      </c>
      <c r="D1483">
        <v>90</v>
      </c>
      <c r="E1483">
        <v>2013</v>
      </c>
      <c r="F1483" s="9" t="s">
        <v>2056</v>
      </c>
      <c r="H1483" s="20" t="str">
        <f t="shared" si="23"/>
        <v>(nextval('obj_part_id_seq'), (select id from obj_building_v where zip||'|'||street||'|'||name||'|'||volume = '9470|Schulhausstrasse 27|OZ Grof Altbau|5497.00'), 'P58', 8, 90, 2013,'B: Kugelgarn, Keramk-/Tonplatten, PVC, Parkett, W: Rauhfasertapeten, D: Täfer, Akustik'),</v>
      </c>
    </row>
    <row r="1484" spans="1:8" x14ac:dyDescent="0.25">
      <c r="A1484" s="9" t="s">
        <v>2048</v>
      </c>
      <c r="B1484" s="9" t="s">
        <v>1142</v>
      </c>
      <c r="C1484">
        <v>0</v>
      </c>
      <c r="D1484" t="s">
        <v>4080</v>
      </c>
      <c r="E1484">
        <v>2013</v>
      </c>
      <c r="F1484" s="9"/>
      <c r="H1484" s="20" t="str">
        <f t="shared" si="23"/>
        <v>(nextval('obj_part_id_seq'), (select id from obj_building_v where zip||'|'||street||'|'||name||'|'||volume = '9470|Schulhausstrasse 27|OZ Grof Altbau|5497.00'), 'P60', 0, null, 2013,null),</v>
      </c>
    </row>
    <row r="1485" spans="1:8" x14ac:dyDescent="0.25">
      <c r="A1485" s="9" t="s">
        <v>2048</v>
      </c>
      <c r="B1485" s="9" t="s">
        <v>1143</v>
      </c>
      <c r="C1485">
        <v>0</v>
      </c>
      <c r="D1485" t="s">
        <v>4080</v>
      </c>
      <c r="E1485">
        <v>2013</v>
      </c>
      <c r="F1485" s="9"/>
      <c r="H1485" s="20" t="str">
        <f t="shared" si="23"/>
        <v>(nextval('obj_part_id_seq'), (select id from obj_building_v where zip||'|'||street||'|'||name||'|'||volume = '9470|Schulhausstrasse 27|OZ Grof Altbau|5497.00'), 'P61', 0, null, 2013,null),</v>
      </c>
    </row>
    <row r="1486" spans="1:8" x14ac:dyDescent="0.25">
      <c r="A1486" s="9" t="s">
        <v>2048</v>
      </c>
      <c r="B1486" s="9" t="s">
        <v>1144</v>
      </c>
      <c r="C1486">
        <v>0</v>
      </c>
      <c r="D1486" t="s">
        <v>4080</v>
      </c>
      <c r="E1486">
        <v>2013</v>
      </c>
      <c r="F1486" s="9"/>
      <c r="H1486" s="20" t="str">
        <f t="shared" si="23"/>
        <v>(nextval('obj_part_id_seq'), (select id from obj_building_v where zip||'|'||street||'|'||name||'|'||volume = '9470|Schulhausstrasse 27|OZ Grof Altbau|5497.00'), 'P62', 0, null, 2013,null),</v>
      </c>
    </row>
    <row r="1487" spans="1:8" x14ac:dyDescent="0.25">
      <c r="A1487" s="9" t="s">
        <v>2057</v>
      </c>
      <c r="B1487" s="9" t="s">
        <v>1127</v>
      </c>
      <c r="C1487">
        <v>41</v>
      </c>
      <c r="D1487">
        <v>90</v>
      </c>
      <c r="E1487">
        <v>2013</v>
      </c>
      <c r="F1487" s="9" t="s">
        <v>2058</v>
      </c>
      <c r="H1487" s="20" t="str">
        <f t="shared" si="23"/>
        <v>(nextval('obj_part_id_seq'), (select id from obj_building_v where zip||'|'||street||'|'||name||'|'||volume = '9470|Turnhallenstrasse|Turnhalle Buchserbach|4419.00'), 'P48', 41, 90, 2013,'Mauerwerk mit Holzbalkendecken, Aussengeräteraum als Holzkonstruktion'),</v>
      </c>
    </row>
    <row r="1488" spans="1:8" x14ac:dyDescent="0.25">
      <c r="A1488" s="9" t="s">
        <v>2057</v>
      </c>
      <c r="B1488" s="9" t="s">
        <v>1129</v>
      </c>
      <c r="C1488">
        <v>0</v>
      </c>
      <c r="D1488" t="s">
        <v>4080</v>
      </c>
      <c r="E1488">
        <v>2013</v>
      </c>
      <c r="F1488" s="9"/>
      <c r="H1488" s="20" t="str">
        <f t="shared" si="23"/>
        <v>(nextval('obj_part_id_seq'), (select id from obj_building_v where zip||'|'||street||'|'||name||'|'||volume = '9470|Turnhallenstrasse|Turnhalle Buchserbach|4419.00'), 'P49', 0, null, 2013,null),</v>
      </c>
    </row>
    <row r="1489" spans="1:8" x14ac:dyDescent="0.25">
      <c r="A1489" s="9" t="s">
        <v>2057</v>
      </c>
      <c r="B1489" s="9" t="s">
        <v>1097</v>
      </c>
      <c r="C1489">
        <v>8</v>
      </c>
      <c r="D1489">
        <v>90</v>
      </c>
      <c r="E1489">
        <v>2013</v>
      </c>
      <c r="F1489" s="9" t="s">
        <v>2059</v>
      </c>
      <c r="H1489" s="20" t="str">
        <f t="shared" si="23"/>
        <v>(nextval('obj_part_id_seq'), (select id from obj_building_v where zip||'|'||street||'|'||name||'|'||volume = '9470|Turnhallenstrasse|Turnhalle Buchserbach|4419.00'), 'P2', 8, 90, 2013,'Satteldach mit Falzziegel und Unterdach, Holzwerk intakt'),</v>
      </c>
    </row>
    <row r="1490" spans="1:8" x14ac:dyDescent="0.25">
      <c r="A1490" s="9" t="s">
        <v>2057</v>
      </c>
      <c r="B1490" s="9" t="s">
        <v>1099</v>
      </c>
      <c r="C1490">
        <v>0</v>
      </c>
      <c r="D1490" t="s">
        <v>4080</v>
      </c>
      <c r="E1490">
        <v>2013</v>
      </c>
      <c r="F1490" s="9"/>
      <c r="H1490" s="20" t="str">
        <f t="shared" si="23"/>
        <v>(nextval('obj_part_id_seq'), (select id from obj_building_v where zip||'|'||street||'|'||name||'|'||volume = '9470|Turnhallenstrasse|Turnhalle Buchserbach|4419.00'), 'P3', 0, null, 2013,null),</v>
      </c>
    </row>
    <row r="1491" spans="1:8" x14ac:dyDescent="0.25">
      <c r="A1491" s="9" t="s">
        <v>2057</v>
      </c>
      <c r="B1491" s="9" t="s">
        <v>1100</v>
      </c>
      <c r="C1491">
        <v>7</v>
      </c>
      <c r="D1491">
        <v>85</v>
      </c>
      <c r="E1491">
        <v>2013</v>
      </c>
      <c r="F1491" s="9" t="s">
        <v>2060</v>
      </c>
      <c r="H1491" s="20" t="str">
        <f t="shared" si="23"/>
        <v>(nextval('obj_part_id_seq'), (select id from obj_building_v where zip||'|'||street||'|'||name||'|'||volume = '9470|Turnhallenstrasse|Turnhalle Buchserbach|4419.00'), 'P4', 7, 85, 2013,'Mauerwerk verputzt, tw. verschmutzt, Natursteinsockel, Kunststein-Fensterbänke'),</v>
      </c>
    </row>
    <row r="1492" spans="1:8" x14ac:dyDescent="0.25">
      <c r="A1492" s="9" t="s">
        <v>2057</v>
      </c>
      <c r="B1492" s="9" t="s">
        <v>1102</v>
      </c>
      <c r="C1492">
        <v>10</v>
      </c>
      <c r="D1492">
        <v>90</v>
      </c>
      <c r="E1492">
        <v>2013</v>
      </c>
      <c r="F1492" s="9" t="s">
        <v>2061</v>
      </c>
      <c r="H1492" s="20" t="str">
        <f t="shared" si="23"/>
        <v>(nextval('obj_part_id_seq'), (select id from obj_building_v where zip||'|'||street||'|'||name||'|'||volume = '9470|Turnhallenstrasse|Turnhalle Buchserbach|4419.00'), 'P5', 10, 90, 2013,'Holz/-Metall ohne Storen'),</v>
      </c>
    </row>
    <row r="1493" spans="1:8" x14ac:dyDescent="0.25">
      <c r="A1493" s="9" t="s">
        <v>2057</v>
      </c>
      <c r="B1493" s="9" t="s">
        <v>1164</v>
      </c>
      <c r="C1493">
        <v>6</v>
      </c>
      <c r="D1493">
        <v>90</v>
      </c>
      <c r="E1493">
        <v>2013</v>
      </c>
      <c r="F1493" s="9" t="s">
        <v>2062</v>
      </c>
      <c r="H1493" s="20" t="str">
        <f t="shared" si="23"/>
        <v>(nextval('obj_part_id_seq'), (select id from obj_building_v where zip||'|'||street||'|'||name||'|'||volume = '9470|Turnhallenstrasse|Turnhalle Buchserbach|4419.00'), 'P50', 6, 90, 2013,'tw. alte Keramiksicherungen, Beleuchtung'),</v>
      </c>
    </row>
    <row r="1494" spans="1:8" x14ac:dyDescent="0.25">
      <c r="A1494" s="9" t="s">
        <v>2057</v>
      </c>
      <c r="B1494" s="9" t="s">
        <v>1166</v>
      </c>
      <c r="C1494">
        <v>1</v>
      </c>
      <c r="D1494">
        <v>90</v>
      </c>
      <c r="E1494">
        <v>2013</v>
      </c>
      <c r="F1494" s="9" t="s">
        <v>1393</v>
      </c>
      <c r="H1494" s="20" t="str">
        <f t="shared" si="23"/>
        <v>(nextval('obj_part_id_seq'), (select id from obj_building_v where zip||'|'||street||'|'||name||'|'||volume = '9470|Turnhallenstrasse|Turnhalle Buchserbach|4419.00'), 'P51', 1, 90, 2013,'Uhr, Gong'),</v>
      </c>
    </row>
    <row r="1495" spans="1:8" x14ac:dyDescent="0.25">
      <c r="A1495" s="9" t="s">
        <v>2057</v>
      </c>
      <c r="B1495" s="9" t="s">
        <v>1104</v>
      </c>
      <c r="C1495">
        <v>1</v>
      </c>
      <c r="D1495">
        <v>90</v>
      </c>
      <c r="E1495">
        <v>2013</v>
      </c>
      <c r="F1495" s="9" t="s">
        <v>2063</v>
      </c>
      <c r="H1495" s="20" t="str">
        <f t="shared" si="23"/>
        <v>(nextval('obj_part_id_seq'), (select id from obj_building_v where zip||'|'||street||'|'||name||'|'||volume = '9470|Turnhallenstrasse|Turnhalle Buchserbach|4419.00'), 'P6', 1, 90, 2013,'Heizlüftung'),</v>
      </c>
    </row>
    <row r="1496" spans="1:8" x14ac:dyDescent="0.25">
      <c r="A1496" s="9" t="s">
        <v>2057</v>
      </c>
      <c r="B1496" s="9" t="s">
        <v>1106</v>
      </c>
      <c r="C1496">
        <v>3</v>
      </c>
      <c r="D1496">
        <v>90</v>
      </c>
      <c r="E1496">
        <v>2013</v>
      </c>
      <c r="F1496" s="9" t="s">
        <v>2064</v>
      </c>
      <c r="H1496" s="20" t="str">
        <f t="shared" si="23"/>
        <v>(nextval('obj_part_id_seq'), (select id from obj_building_v where zip||'|'||street||'|'||name||'|'||volume = '9470|Turnhallenstrasse|Turnhalle Buchserbach|4419.00'), 'P7', 3, 90, 2013,'Lüftungskanäle'),</v>
      </c>
    </row>
    <row r="1497" spans="1:8" x14ac:dyDescent="0.25">
      <c r="A1497" s="9" t="s">
        <v>2057</v>
      </c>
      <c r="B1497" s="9" t="s">
        <v>1108</v>
      </c>
      <c r="C1497">
        <v>4</v>
      </c>
      <c r="D1497">
        <v>85</v>
      </c>
      <c r="E1497">
        <v>2013</v>
      </c>
      <c r="F1497" s="9" t="s">
        <v>2065</v>
      </c>
      <c r="H1497" s="20" t="str">
        <f t="shared" si="23"/>
        <v>(nextval('obj_part_id_seq'), (select id from obj_building_v where zip||'|'||street||'|'||name||'|'||volume = '9470|Turnhallenstrasse|Turnhalle Buchserbach|4419.00'), 'P8', 4, 85, 2013,'Apparate und Armaturen älteren Datums, aber funktionstüchtig, Fön'),</v>
      </c>
    </row>
    <row r="1498" spans="1:8" x14ac:dyDescent="0.25">
      <c r="A1498" s="9" t="s">
        <v>2057</v>
      </c>
      <c r="B1498" s="9" t="s">
        <v>1138</v>
      </c>
      <c r="C1498">
        <v>11</v>
      </c>
      <c r="D1498">
        <v>90</v>
      </c>
      <c r="E1498">
        <v>2013</v>
      </c>
      <c r="F1498" s="9" t="s">
        <v>2066</v>
      </c>
      <c r="H1498" s="20" t="str">
        <f t="shared" si="23"/>
        <v>(nextval('obj_part_id_seq'), (select id from obj_building_v where zip||'|'||street||'|'||name||'|'||volume = '9470|Turnhallenstrasse|Turnhalle Buchserbach|4419.00'), 'P57', 11, 90, 2013,'Einbauschrank, Garderoben, Sprossenwand, Tor zum Geräteraum'),</v>
      </c>
    </row>
    <row r="1499" spans="1:8" x14ac:dyDescent="0.25">
      <c r="A1499" s="9" t="s">
        <v>2057</v>
      </c>
      <c r="B1499" s="9" t="s">
        <v>1140</v>
      </c>
      <c r="C1499">
        <v>8</v>
      </c>
      <c r="D1499">
        <v>85</v>
      </c>
      <c r="E1499">
        <v>2013</v>
      </c>
      <c r="F1499" s="9" t="s">
        <v>2067</v>
      </c>
      <c r="H1499" s="20" t="str">
        <f t="shared" si="23"/>
        <v>(nextval('obj_part_id_seq'), (select id from obj_building_v where zip||'|'||street||'|'||name||'|'||volume = '9470|Turnhallenstrasse|Turnhalle Buchserbach|4419.00'), 'P58', 8, 85, 2013,'B: Turnahallenboden, Keramik, Hartbeton (Riss vorhanden), PVC, Steinholz, W: KS, D: Metall abgehängt, Holz'),</v>
      </c>
    </row>
    <row r="1500" spans="1:8" x14ac:dyDescent="0.25">
      <c r="A1500" s="9" t="s">
        <v>2057</v>
      </c>
      <c r="B1500" s="9" t="s">
        <v>1142</v>
      </c>
      <c r="C1500">
        <v>0</v>
      </c>
      <c r="D1500" t="s">
        <v>4080</v>
      </c>
      <c r="E1500">
        <v>2013</v>
      </c>
      <c r="F1500" s="9"/>
      <c r="H1500" s="20" t="str">
        <f t="shared" si="23"/>
        <v>(nextval('obj_part_id_seq'), (select id from obj_building_v where zip||'|'||street||'|'||name||'|'||volume = '9470|Turnhallenstrasse|Turnhalle Buchserbach|4419.00'), 'P60', 0, null, 2013,null),</v>
      </c>
    </row>
    <row r="1501" spans="1:8" x14ac:dyDescent="0.25">
      <c r="A1501" s="9" t="s">
        <v>2057</v>
      </c>
      <c r="B1501" s="9" t="s">
        <v>1143</v>
      </c>
      <c r="C1501">
        <v>0</v>
      </c>
      <c r="D1501" t="s">
        <v>4080</v>
      </c>
      <c r="E1501">
        <v>2013</v>
      </c>
      <c r="F1501" s="9"/>
      <c r="H1501" s="20" t="str">
        <f t="shared" si="23"/>
        <v>(nextval('obj_part_id_seq'), (select id from obj_building_v where zip||'|'||street||'|'||name||'|'||volume = '9470|Turnhallenstrasse|Turnhalle Buchserbach|4419.00'), 'P61', 0, null, 2013,null),</v>
      </c>
    </row>
    <row r="1502" spans="1:8" x14ac:dyDescent="0.25">
      <c r="A1502" s="9" t="s">
        <v>2057</v>
      </c>
      <c r="B1502" s="9" t="s">
        <v>1144</v>
      </c>
      <c r="C1502">
        <v>0</v>
      </c>
      <c r="D1502" t="s">
        <v>4080</v>
      </c>
      <c r="E1502">
        <v>2013</v>
      </c>
      <c r="F1502" s="9"/>
      <c r="H1502" s="20" t="str">
        <f t="shared" si="23"/>
        <v>(nextval('obj_part_id_seq'), (select id from obj_building_v where zip||'|'||street||'|'||name||'|'||volume = '9470|Turnhallenstrasse|Turnhalle Buchserbach|4419.00'), 'P62', 0, null, 2013,null),</v>
      </c>
    </row>
    <row r="1503" spans="1:8" x14ac:dyDescent="0.25">
      <c r="A1503" s="9" t="s">
        <v>2068</v>
      </c>
      <c r="B1503" s="9" t="s">
        <v>1127</v>
      </c>
      <c r="C1503">
        <v>42</v>
      </c>
      <c r="D1503">
        <v>90</v>
      </c>
      <c r="E1503">
        <v>2013</v>
      </c>
      <c r="F1503" s="9" t="s">
        <v>2069</v>
      </c>
      <c r="H1503" s="20" t="str">
        <f t="shared" si="23"/>
        <v>(nextval('obj_part_id_seq'), (select id from obj_building_v where zip||'|'||street||'|'||name||'|'||volume = '9470|Turnhallenstrasse 2|Klassenzimmer Buchserbach|3807.00'), 'P48', 42, 90, 2013,'Mauerwerk, Stahlbeton'),</v>
      </c>
    </row>
    <row r="1504" spans="1:8" x14ac:dyDescent="0.25">
      <c r="A1504" s="9" t="s">
        <v>2068</v>
      </c>
      <c r="B1504" s="9" t="s">
        <v>1129</v>
      </c>
      <c r="C1504">
        <v>0</v>
      </c>
      <c r="D1504" t="s">
        <v>4080</v>
      </c>
      <c r="E1504">
        <v>2013</v>
      </c>
      <c r="F1504" s="9"/>
      <c r="H1504" s="20" t="str">
        <f t="shared" si="23"/>
        <v>(nextval('obj_part_id_seq'), (select id from obj_building_v where zip||'|'||street||'|'||name||'|'||volume = '9470|Turnhallenstrasse 2|Klassenzimmer Buchserbach|3807.00'), 'P49', 0, null, 2013,null),</v>
      </c>
    </row>
    <row r="1505" spans="1:8" x14ac:dyDescent="0.25">
      <c r="A1505" s="9" t="s">
        <v>2068</v>
      </c>
      <c r="B1505" s="9" t="s">
        <v>1097</v>
      </c>
      <c r="C1505">
        <v>7</v>
      </c>
      <c r="D1505">
        <v>80</v>
      </c>
      <c r="E1505">
        <v>2013</v>
      </c>
      <c r="F1505" s="9" t="s">
        <v>2070</v>
      </c>
      <c r="H1505" s="20" t="str">
        <f t="shared" si="23"/>
        <v>(nextval('obj_part_id_seq'), (select id from obj_building_v where zip||'|'||street||'|'||name||'|'||volume = '9470|Turnhallenstrasse 2|Klassenzimmer Buchserbach|3807.00'), 'P2', 7, 80, 2013,'Satteldach mit Falzziegel, Untersichten verwittert'),</v>
      </c>
    </row>
    <row r="1506" spans="1:8" x14ac:dyDescent="0.25">
      <c r="A1506" s="9" t="s">
        <v>2068</v>
      </c>
      <c r="B1506" s="9" t="s">
        <v>1099</v>
      </c>
      <c r="C1506">
        <v>1</v>
      </c>
      <c r="D1506">
        <v>90</v>
      </c>
      <c r="E1506">
        <v>2013</v>
      </c>
      <c r="F1506" s="9" t="s">
        <v>2071</v>
      </c>
      <c r="H1506" s="20" t="str">
        <f t="shared" si="23"/>
        <v>(nextval('obj_part_id_seq'), (select id from obj_building_v where zip||'|'||street||'|'||name||'|'||volume = '9470|Turnhallenstrasse 2|Klassenzimmer Buchserbach|3807.00'), 'P3', 1, 90, 2013,'Kiesdach, Oblichter (wurden vermutlich ersetzt)'),</v>
      </c>
    </row>
    <row r="1507" spans="1:8" x14ac:dyDescent="0.25">
      <c r="A1507" s="9" t="s">
        <v>2068</v>
      </c>
      <c r="B1507" s="9" t="s">
        <v>1100</v>
      </c>
      <c r="C1507">
        <v>7</v>
      </c>
      <c r="D1507">
        <v>80</v>
      </c>
      <c r="E1507">
        <v>2013</v>
      </c>
      <c r="F1507" s="9" t="s">
        <v>2072</v>
      </c>
      <c r="H1507" s="20" t="str">
        <f t="shared" si="23"/>
        <v>(nextval('obj_part_id_seq'), (select id from obj_building_v where zip||'|'||street||'|'||name||'|'||volume = '9470|Turnhallenstrasse 2|Klassenzimmer Buchserbach|3807.00'), 'P4', 7, 80, 2013,'Mauerwerk verputzt,  kleinere Putzrisse an der Aussenfassade, grössere Abplatzung über Eingang West'),</v>
      </c>
    </row>
    <row r="1508" spans="1:8" x14ac:dyDescent="0.25">
      <c r="A1508" s="9" t="s">
        <v>2068</v>
      </c>
      <c r="B1508" s="9" t="s">
        <v>1102</v>
      </c>
      <c r="C1508">
        <v>10</v>
      </c>
      <c r="D1508">
        <v>80</v>
      </c>
      <c r="E1508">
        <v>2013</v>
      </c>
      <c r="F1508" s="9" t="s">
        <v>2073</v>
      </c>
      <c r="H1508" s="20" t="str">
        <f t="shared" si="23"/>
        <v>(nextval('obj_part_id_seq'), (select id from obj_building_v where zip||'|'||street||'|'||name||'|'||volume = '9470|Turnhallenstrasse 2|Klassenzimmer Buchserbach|3807.00'), 'P5', 10, 80, 2013,'Holz-Metall mit Isolierverglasungen (''91), RL-Storen, Haupteingang: Metall-/Glastüre (Rahmen verzogen)'),</v>
      </c>
    </row>
    <row r="1509" spans="1:8" x14ac:dyDescent="0.25">
      <c r="A1509" s="9" t="s">
        <v>2068</v>
      </c>
      <c r="B1509" s="9" t="s">
        <v>1164</v>
      </c>
      <c r="C1509">
        <v>6</v>
      </c>
      <c r="D1509">
        <v>80</v>
      </c>
      <c r="E1509">
        <v>2013</v>
      </c>
      <c r="F1509" s="9" t="s">
        <v>2074</v>
      </c>
      <c r="H1509" s="20" t="str">
        <f t="shared" si="23"/>
        <v>(nextval('obj_part_id_seq'), (select id from obj_building_v where zip||'|'||street||'|'||name||'|'||volume = '9470|Turnhallenstrasse 2|Klassenzimmer Buchserbach|3807.00'), 'P50', 6, 80, 2013,'Beleuchtung (evt. ungenügend), tw. alte Keramiksicherungen'),</v>
      </c>
    </row>
    <row r="1510" spans="1:8" x14ac:dyDescent="0.25">
      <c r="A1510" s="9" t="s">
        <v>2068</v>
      </c>
      <c r="B1510" s="9" t="s">
        <v>1166</v>
      </c>
      <c r="C1510">
        <v>1</v>
      </c>
      <c r="D1510">
        <v>90</v>
      </c>
      <c r="E1510">
        <v>2013</v>
      </c>
      <c r="F1510" s="9" t="s">
        <v>2075</v>
      </c>
      <c r="H1510" s="20" t="str">
        <f t="shared" si="23"/>
        <v>(nextval('obj_part_id_seq'), (select id from obj_building_v where zip||'|'||street||'|'||name||'|'||volume = '9470|Turnhallenstrasse 2|Klassenzimmer Buchserbach|3807.00'), 'P51', 1, 90, 2013,'Beamer, Uhr, Gong, Funktelefon'),</v>
      </c>
    </row>
    <row r="1511" spans="1:8" x14ac:dyDescent="0.25">
      <c r="A1511" s="9" t="s">
        <v>2068</v>
      </c>
      <c r="B1511" s="9" t="s">
        <v>1104</v>
      </c>
      <c r="C1511">
        <v>0</v>
      </c>
      <c r="D1511" t="s">
        <v>4080</v>
      </c>
      <c r="E1511">
        <v>2013</v>
      </c>
      <c r="F1511" s="9" t="s">
        <v>1235</v>
      </c>
      <c r="H1511" s="20" t="str">
        <f t="shared" si="23"/>
        <v>(nextval('obj_part_id_seq'), (select id from obj_building_v where zip||'|'||street||'|'||name||'|'||volume = '9470|Turnhallenstrasse 2|Klassenzimmer Buchserbach|3807.00'), 'P6', 0, null, 2013,'Fernwärme'),</v>
      </c>
    </row>
    <row r="1512" spans="1:8" x14ac:dyDescent="0.25">
      <c r="A1512" s="9" t="s">
        <v>2068</v>
      </c>
      <c r="B1512" s="9" t="s">
        <v>1106</v>
      </c>
      <c r="C1512">
        <v>3</v>
      </c>
      <c r="D1512">
        <v>90</v>
      </c>
      <c r="E1512">
        <v>2013</v>
      </c>
      <c r="F1512" s="9" t="s">
        <v>1107</v>
      </c>
      <c r="H1512" s="20" t="str">
        <f t="shared" si="23"/>
        <v>(nextval('obj_part_id_seq'), (select id from obj_building_v where zip||'|'||street||'|'||name||'|'||volume = '9470|Turnhallenstrasse 2|Klassenzimmer Buchserbach|3807.00'), 'P7', 3, 90, 2013,'Radiatoren mit Thermostaten'),</v>
      </c>
    </row>
    <row r="1513" spans="1:8" x14ac:dyDescent="0.25">
      <c r="A1513" s="9" t="s">
        <v>2068</v>
      </c>
      <c r="B1513" s="9" t="s">
        <v>1108</v>
      </c>
      <c r="C1513">
        <v>4</v>
      </c>
      <c r="D1513">
        <v>90</v>
      </c>
      <c r="E1513">
        <v>2013</v>
      </c>
      <c r="F1513" s="9" t="s">
        <v>2076</v>
      </c>
      <c r="H1513" s="20" t="str">
        <f t="shared" si="23"/>
        <v>(nextval('obj_part_id_seq'), (select id from obj_building_v where zip||'|'||street||'|'||name||'|'||volume = '9470|Turnhallenstrasse 2|Klassenzimmer Buchserbach|3807.00'), 'P8', 4, 90, 2013,'Apparate und Leitungen funktiontstüchtig, genügender Druck vorhanden, Durchlauferhitzer im Schulzimmer'),</v>
      </c>
    </row>
    <row r="1514" spans="1:8" x14ac:dyDescent="0.25">
      <c r="A1514" s="9" t="s">
        <v>2068</v>
      </c>
      <c r="B1514" s="9" t="s">
        <v>1138</v>
      </c>
      <c r="C1514">
        <v>11</v>
      </c>
      <c r="D1514">
        <v>90</v>
      </c>
      <c r="E1514">
        <v>2013</v>
      </c>
      <c r="F1514" s="9" t="s">
        <v>2077</v>
      </c>
      <c r="H1514" s="20" t="str">
        <f t="shared" si="23"/>
        <v>(nextval('obj_part_id_seq'), (select id from obj_building_v where zip||'|'||street||'|'||name||'|'||volume = '9470|Turnhallenstrasse 2|Klassenzimmer Buchserbach|3807.00'), 'P57', 11, 90, 2013,'Garderobe, Fenstersimse, Einbauschränke, Teeküche mit Mikrowelle, Kühlschrank, GSP, Windfang'),</v>
      </c>
    </row>
    <row r="1515" spans="1:8" x14ac:dyDescent="0.25">
      <c r="A1515" s="9" t="s">
        <v>2068</v>
      </c>
      <c r="B1515" s="9" t="s">
        <v>1140</v>
      </c>
      <c r="C1515">
        <v>8</v>
      </c>
      <c r="D1515">
        <v>90</v>
      </c>
      <c r="E1515">
        <v>2013</v>
      </c>
      <c r="F1515" s="9" t="s">
        <v>2078</v>
      </c>
      <c r="H1515" s="20" t="str">
        <f t="shared" si="23"/>
        <v>(nextval('obj_part_id_seq'), (select id from obj_building_v where zip||'|'||street||'|'||name||'|'||volume = '9470|Turnhallenstrasse 2|Klassenzimmer Buchserbach|3807.00'), 'P58', 8, 90, 2013,'B: Klinker, tw. Laminat, PVC, Linol, Kunststein, Harbeton gestrichen, W: Verputz, mehrere Risse in den Wänden vorhanden, D: Täfer, Spritzputz s. Bem., tw. Gipskartonplatten'),</v>
      </c>
    </row>
    <row r="1516" spans="1:8" x14ac:dyDescent="0.25">
      <c r="A1516" s="9" t="s">
        <v>2068</v>
      </c>
      <c r="B1516" s="9" t="s">
        <v>1142</v>
      </c>
      <c r="C1516">
        <v>0</v>
      </c>
      <c r="D1516" t="s">
        <v>4080</v>
      </c>
      <c r="E1516">
        <v>2013</v>
      </c>
      <c r="F1516" s="9"/>
      <c r="H1516" s="20" t="str">
        <f t="shared" si="23"/>
        <v>(nextval('obj_part_id_seq'), (select id from obj_building_v where zip||'|'||street||'|'||name||'|'||volume = '9470|Turnhallenstrasse 2|Klassenzimmer Buchserbach|3807.00'), 'P60', 0, null, 2013,null),</v>
      </c>
    </row>
    <row r="1517" spans="1:8" x14ac:dyDescent="0.25">
      <c r="A1517" s="9" t="s">
        <v>2068</v>
      </c>
      <c r="B1517" s="9" t="s">
        <v>1143</v>
      </c>
      <c r="C1517">
        <v>0</v>
      </c>
      <c r="D1517" t="s">
        <v>4080</v>
      </c>
      <c r="E1517">
        <v>2013</v>
      </c>
      <c r="F1517" s="9"/>
      <c r="H1517" s="20" t="str">
        <f t="shared" si="23"/>
        <v>(nextval('obj_part_id_seq'), (select id from obj_building_v where zip||'|'||street||'|'||name||'|'||volume = '9470|Turnhallenstrasse 2|Klassenzimmer Buchserbach|3807.00'), 'P61', 0, null, 2013,null),</v>
      </c>
    </row>
    <row r="1518" spans="1:8" x14ac:dyDescent="0.25">
      <c r="A1518" s="9" t="s">
        <v>2068</v>
      </c>
      <c r="B1518" s="9" t="s">
        <v>1144</v>
      </c>
      <c r="C1518">
        <v>0</v>
      </c>
      <c r="D1518" t="s">
        <v>4080</v>
      </c>
      <c r="E1518">
        <v>2013</v>
      </c>
      <c r="F1518" s="9"/>
      <c r="H1518" s="20" t="str">
        <f t="shared" si="23"/>
        <v>(nextval('obj_part_id_seq'), (select id from obj_building_v where zip||'|'||street||'|'||name||'|'||volume = '9470|Turnhallenstrasse 2|Klassenzimmer Buchserbach|3807.00'), 'P62', 0, null, 2013,null),</v>
      </c>
    </row>
    <row r="1519" spans="1:8" x14ac:dyDescent="0.25">
      <c r="A1519" s="9" t="s">
        <v>2079</v>
      </c>
      <c r="B1519" s="9" t="s">
        <v>1127</v>
      </c>
      <c r="C1519">
        <v>42</v>
      </c>
      <c r="D1519">
        <v>90</v>
      </c>
      <c r="E1519">
        <v>2013</v>
      </c>
      <c r="F1519" s="9" t="s">
        <v>2080</v>
      </c>
      <c r="H1519" s="20" t="str">
        <f t="shared" si="23"/>
        <v>(nextval('obj_part_id_seq'), (select id from obj_building_v where zip||'|'||street||'|'||name||'|'||volume = '9470|Turnhallenstrasse 4|Altes Gewerbeschulhaus Buchserbach|3268.00'), 'P48', 42, 90, 2013,'Mauerwerk mit Holzbalken- oder Hourdisdecken'),</v>
      </c>
    </row>
    <row r="1520" spans="1:8" x14ac:dyDescent="0.25">
      <c r="A1520" s="9" t="s">
        <v>2079</v>
      </c>
      <c r="B1520" s="9" t="s">
        <v>1129</v>
      </c>
      <c r="C1520">
        <v>0</v>
      </c>
      <c r="D1520" t="s">
        <v>4080</v>
      </c>
      <c r="E1520">
        <v>2013</v>
      </c>
      <c r="F1520" s="9"/>
      <c r="H1520" s="20" t="str">
        <f t="shared" si="23"/>
        <v>(nextval('obj_part_id_seq'), (select id from obj_building_v where zip||'|'||street||'|'||name||'|'||volume = '9470|Turnhallenstrasse 4|Altes Gewerbeschulhaus Buchserbach|3268.00'), 'P49', 0, null, 2013,null),</v>
      </c>
    </row>
    <row r="1521" spans="1:8" x14ac:dyDescent="0.25">
      <c r="A1521" s="9" t="s">
        <v>2079</v>
      </c>
      <c r="B1521" s="9" t="s">
        <v>1097</v>
      </c>
      <c r="C1521">
        <v>8</v>
      </c>
      <c r="D1521">
        <v>90</v>
      </c>
      <c r="E1521">
        <v>2013</v>
      </c>
      <c r="F1521" s="9" t="s">
        <v>2081</v>
      </c>
      <c r="H1521" s="20" t="str">
        <f t="shared" si="23"/>
        <v>(nextval('obj_part_id_seq'), (select id from obj_building_v where zip||'|'||street||'|'||name||'|'||volume = '9470|Turnhallenstrasse 4|Altes Gewerbeschulhaus Buchserbach|3268.00'), 'P2', 8, 90, 2013,'Satteldach mit Falzziegel'),</v>
      </c>
    </row>
    <row r="1522" spans="1:8" x14ac:dyDescent="0.25">
      <c r="A1522" s="9" t="s">
        <v>2079</v>
      </c>
      <c r="B1522" s="9" t="s">
        <v>1099</v>
      </c>
      <c r="C1522">
        <v>0</v>
      </c>
      <c r="D1522" t="s">
        <v>4080</v>
      </c>
      <c r="E1522">
        <v>2013</v>
      </c>
      <c r="F1522" s="9"/>
      <c r="H1522" s="20" t="str">
        <f t="shared" si="23"/>
        <v>(nextval('obj_part_id_seq'), (select id from obj_building_v where zip||'|'||street||'|'||name||'|'||volume = '9470|Turnhallenstrasse 4|Altes Gewerbeschulhaus Buchserbach|3268.00'), 'P3', 0, null, 2013,null),</v>
      </c>
    </row>
    <row r="1523" spans="1:8" x14ac:dyDescent="0.25">
      <c r="A1523" s="9" t="s">
        <v>2079</v>
      </c>
      <c r="B1523" s="9" t="s">
        <v>1100</v>
      </c>
      <c r="C1523">
        <v>7</v>
      </c>
      <c r="D1523">
        <v>90</v>
      </c>
      <c r="E1523">
        <v>2013</v>
      </c>
      <c r="F1523" s="9" t="s">
        <v>2050</v>
      </c>
      <c r="H1523" s="20" t="str">
        <f t="shared" si="23"/>
        <v>(nextval('obj_part_id_seq'), (select id from obj_building_v where zip||'|'||street||'|'||name||'|'||volume = '9470|Turnhallenstrasse 4|Altes Gewerbeschulhaus Buchserbach|3268.00'), 'P4', 7, 90, 2013,'Mauerwerk verputzt'),</v>
      </c>
    </row>
    <row r="1524" spans="1:8" x14ac:dyDescent="0.25">
      <c r="A1524" s="9" t="s">
        <v>2079</v>
      </c>
      <c r="B1524" s="9" t="s">
        <v>1102</v>
      </c>
      <c r="C1524">
        <v>10</v>
      </c>
      <c r="D1524">
        <v>80</v>
      </c>
      <c r="E1524">
        <v>2013</v>
      </c>
      <c r="F1524" s="9" t="s">
        <v>2082</v>
      </c>
      <c r="H1524" s="20" t="str">
        <f t="shared" si="23"/>
        <v>(nextval('obj_part_id_seq'), (select id from obj_building_v where zip||'|'||street||'|'||name||'|'||volume = '9470|Turnhallenstrasse 4|Altes Gewerbeschulhaus Buchserbach|3268.00'), 'P5', 10, 80, 2013,'Holz-/Metall, tw. undicht, RL-Storen'),</v>
      </c>
    </row>
    <row r="1525" spans="1:8" x14ac:dyDescent="0.25">
      <c r="A1525" s="9" t="s">
        <v>2079</v>
      </c>
      <c r="B1525" s="9" t="s">
        <v>1164</v>
      </c>
      <c r="C1525">
        <v>6</v>
      </c>
      <c r="D1525">
        <v>80</v>
      </c>
      <c r="E1525">
        <v>2013</v>
      </c>
      <c r="F1525" s="9" t="s">
        <v>2083</v>
      </c>
      <c r="H1525" s="20" t="str">
        <f t="shared" si="23"/>
        <v>(nextval('obj_part_id_seq'), (select id from obj_building_v where zip||'|'||street||'|'||name||'|'||volume = '9470|Turnhallenstrasse 4|Altes Gewerbeschulhaus Buchserbach|3268.00'), 'P50', 6, 80, 2013,'alte Keramiksicherungen, tw. Aufputzleitungen'),</v>
      </c>
    </row>
    <row r="1526" spans="1:8" x14ac:dyDescent="0.25">
      <c r="A1526" s="9" t="s">
        <v>2079</v>
      </c>
      <c r="B1526" s="9" t="s">
        <v>1166</v>
      </c>
      <c r="C1526">
        <v>1</v>
      </c>
      <c r="D1526">
        <v>90</v>
      </c>
      <c r="E1526">
        <v>2013</v>
      </c>
      <c r="F1526" s="9" t="s">
        <v>1296</v>
      </c>
      <c r="H1526" s="20" t="str">
        <f t="shared" si="23"/>
        <v>(nextval('obj_part_id_seq'), (select id from obj_building_v where zip||'|'||street||'|'||name||'|'||volume = '9470|Turnhallenstrasse 4|Altes Gewerbeschulhaus Buchserbach|3268.00'), 'P51', 1, 90, 2013,'Uhr, Gong, EDV'),</v>
      </c>
    </row>
    <row r="1527" spans="1:8" x14ac:dyDescent="0.25">
      <c r="A1527" s="9" t="s">
        <v>2079</v>
      </c>
      <c r="B1527" s="9" t="s">
        <v>1104</v>
      </c>
      <c r="C1527">
        <v>0</v>
      </c>
      <c r="D1527" t="s">
        <v>4080</v>
      </c>
      <c r="E1527">
        <v>2013</v>
      </c>
      <c r="F1527" s="9" t="s">
        <v>2084</v>
      </c>
      <c r="H1527" s="20" t="str">
        <f t="shared" si="23"/>
        <v>(nextval('obj_part_id_seq'), (select id from obj_building_v where zip||'|'||street||'|'||name||'|'||volume = '9470|Turnhallenstrasse 4|Altes Gewerbeschulhaus Buchserbach|3268.00'), 'P6', 0, null, 2013,'Fernwärme seit 2010'),</v>
      </c>
    </row>
    <row r="1528" spans="1:8" x14ac:dyDescent="0.25">
      <c r="A1528" s="9" t="s">
        <v>2079</v>
      </c>
      <c r="B1528" s="9" t="s">
        <v>1106</v>
      </c>
      <c r="C1528">
        <v>3</v>
      </c>
      <c r="D1528">
        <v>90</v>
      </c>
      <c r="E1528">
        <v>2013</v>
      </c>
      <c r="F1528" s="9" t="s">
        <v>1107</v>
      </c>
      <c r="H1528" s="20" t="str">
        <f t="shared" si="23"/>
        <v>(nextval('obj_part_id_seq'), (select id from obj_building_v where zip||'|'||street||'|'||name||'|'||volume = '9470|Turnhallenstrasse 4|Altes Gewerbeschulhaus Buchserbach|3268.00'), 'P7', 3, 90, 2013,'Radiatoren mit Thermostaten'),</v>
      </c>
    </row>
    <row r="1529" spans="1:8" x14ac:dyDescent="0.25">
      <c r="A1529" s="9" t="s">
        <v>2079</v>
      </c>
      <c r="B1529" s="9" t="s">
        <v>1108</v>
      </c>
      <c r="C1529">
        <v>4</v>
      </c>
      <c r="D1529">
        <v>80</v>
      </c>
      <c r="E1529">
        <v>2013</v>
      </c>
      <c r="F1529" s="9" t="s">
        <v>2085</v>
      </c>
      <c r="H1529" s="20" t="str">
        <f t="shared" si="23"/>
        <v>(nextval('obj_part_id_seq'), (select id from obj_building_v where zip||'|'||street||'|'||name||'|'||volume = '9470|Turnhallenstrasse 4|Altes Gewerbeschulhaus Buchserbach|3268.00'), 'P8', 4, 80, 2013,'Apparate und Armaturen funktiontstüchtig, Leitungen tw. nicht isoliert'),</v>
      </c>
    </row>
    <row r="1530" spans="1:8" x14ac:dyDescent="0.25">
      <c r="A1530" s="9" t="s">
        <v>2079</v>
      </c>
      <c r="B1530" s="9" t="s">
        <v>1138</v>
      </c>
      <c r="C1530">
        <v>11</v>
      </c>
      <c r="D1530">
        <v>90</v>
      </c>
      <c r="E1530">
        <v>2013</v>
      </c>
      <c r="F1530" s="9" t="s">
        <v>2086</v>
      </c>
      <c r="H1530" s="20" t="str">
        <f t="shared" si="23"/>
        <v>(nextval('obj_part_id_seq'), (select id from obj_building_v where zip||'|'||street||'|'||name||'|'||volume = '9470|Turnhallenstrasse 4|Altes Gewerbeschulhaus Buchserbach|3268.00'), 'P57', 11, 90, 2013,'Arbeitssimse, Garderoben, Einbauschränke, Innentüren aus Holz mit Füllungen, Türrahmen aus Holz, in UG z.T. Metallzargen'),</v>
      </c>
    </row>
    <row r="1531" spans="1:8" x14ac:dyDescent="0.25">
      <c r="A1531" s="9" t="s">
        <v>2079</v>
      </c>
      <c r="B1531" s="9" t="s">
        <v>1140</v>
      </c>
      <c r="C1531">
        <v>8</v>
      </c>
      <c r="D1531">
        <v>90</v>
      </c>
      <c r="E1531">
        <v>2013</v>
      </c>
      <c r="F1531" s="9" t="s">
        <v>2087</v>
      </c>
      <c r="H1531" s="20" t="str">
        <f t="shared" si="23"/>
        <v>(nextval('obj_part_id_seq'), (select id from obj_building_v where zip||'|'||street||'|'||name||'|'||volume = '9470|Turnhallenstrasse 4|Altes Gewerbeschulhaus Buchserbach|3268.00'), 'P58', 8, 90, 2013,'B: Linoleum, Keramik, W: Verputz, Keramik, D: verputzt, gestrichen'),</v>
      </c>
    </row>
    <row r="1532" spans="1:8" x14ac:dyDescent="0.25">
      <c r="A1532" s="9" t="s">
        <v>2079</v>
      </c>
      <c r="B1532" s="9" t="s">
        <v>1142</v>
      </c>
      <c r="C1532">
        <v>0</v>
      </c>
      <c r="D1532" t="s">
        <v>4080</v>
      </c>
      <c r="E1532">
        <v>2013</v>
      </c>
      <c r="F1532" s="9"/>
      <c r="H1532" s="20" t="str">
        <f t="shared" si="23"/>
        <v>(nextval('obj_part_id_seq'), (select id from obj_building_v where zip||'|'||street||'|'||name||'|'||volume = '9470|Turnhallenstrasse 4|Altes Gewerbeschulhaus Buchserbach|3268.00'), 'P60', 0, null, 2013,null),</v>
      </c>
    </row>
    <row r="1533" spans="1:8" x14ac:dyDescent="0.25">
      <c r="A1533" s="9" t="s">
        <v>2079</v>
      </c>
      <c r="B1533" s="9" t="s">
        <v>1143</v>
      </c>
      <c r="C1533">
        <v>0</v>
      </c>
      <c r="D1533" t="s">
        <v>4080</v>
      </c>
      <c r="E1533">
        <v>2013</v>
      </c>
      <c r="F1533" s="9"/>
      <c r="H1533" s="20" t="str">
        <f t="shared" si="23"/>
        <v>(nextval('obj_part_id_seq'), (select id from obj_building_v where zip||'|'||street||'|'||name||'|'||volume = '9470|Turnhallenstrasse 4|Altes Gewerbeschulhaus Buchserbach|3268.00'), 'P61', 0, null, 2013,null),</v>
      </c>
    </row>
    <row r="1534" spans="1:8" x14ac:dyDescent="0.25">
      <c r="A1534" s="9" t="s">
        <v>2079</v>
      </c>
      <c r="B1534" s="9" t="s">
        <v>1144</v>
      </c>
      <c r="C1534">
        <v>0</v>
      </c>
      <c r="D1534" t="s">
        <v>4080</v>
      </c>
      <c r="E1534">
        <v>2013</v>
      </c>
      <c r="F1534" s="9"/>
      <c r="H1534" s="20" t="str">
        <f t="shared" si="23"/>
        <v>(nextval('obj_part_id_seq'), (select id from obj_building_v where zip||'|'||street||'|'||name||'|'||volume = '9470|Turnhallenstrasse 4|Altes Gewerbeschulhaus Buchserbach|3268.00'), 'P62', 0, null, 2013,null),</v>
      </c>
    </row>
    <row r="1535" spans="1:8" x14ac:dyDescent="0.25">
      <c r="A1535" s="9" t="s">
        <v>2088</v>
      </c>
      <c r="B1535" s="9" t="s">
        <v>1127</v>
      </c>
      <c r="C1535">
        <v>41</v>
      </c>
      <c r="D1535">
        <v>90</v>
      </c>
      <c r="E1535">
        <v>2013</v>
      </c>
      <c r="F1535" s="9" t="s">
        <v>2089</v>
      </c>
      <c r="H1535" s="20" t="str">
        <f t="shared" si="23"/>
        <v>(nextval('obj_part_id_seq'), (select id from obj_building_v where zip||'|'||street||'|'||name||'|'||volume = '9470|Kreuzgasse 14|Kindergarten Altendorf|932.00'), 'P48', 41, 90, 2013,'Holzbau mit Holzbalkendecken, Stahlträger und Stahlstütze im Kindergartenraum'),</v>
      </c>
    </row>
    <row r="1536" spans="1:8" x14ac:dyDescent="0.25">
      <c r="A1536" s="9" t="s">
        <v>2088</v>
      </c>
      <c r="B1536" s="9" t="s">
        <v>1129</v>
      </c>
      <c r="C1536">
        <v>0</v>
      </c>
      <c r="D1536" t="s">
        <v>4080</v>
      </c>
      <c r="E1536">
        <v>2013</v>
      </c>
      <c r="F1536" s="9"/>
      <c r="H1536" s="20" t="str">
        <f t="shared" si="23"/>
        <v>(nextval('obj_part_id_seq'), (select id from obj_building_v where zip||'|'||street||'|'||name||'|'||volume = '9470|Kreuzgasse 14|Kindergarten Altendorf|932.00'), 'P49', 0, null, 2013,null),</v>
      </c>
    </row>
    <row r="1537" spans="1:8" x14ac:dyDescent="0.25">
      <c r="A1537" s="9" t="s">
        <v>2088</v>
      </c>
      <c r="B1537" s="9" t="s">
        <v>1097</v>
      </c>
      <c r="C1537">
        <v>8</v>
      </c>
      <c r="D1537">
        <v>80</v>
      </c>
      <c r="E1537">
        <v>2013</v>
      </c>
      <c r="F1537" s="9" t="s">
        <v>2090</v>
      </c>
      <c r="H1537" s="20" t="str">
        <f t="shared" si="23"/>
        <v>(nextval('obj_part_id_seq'), (select id from obj_building_v where zip||'|'||street||'|'||name||'|'||volume = '9470|Kreuzgasse 14|Kindergarten Altendorf|932.00'), 'P2', 8, 80, 2013,'Walmdach (Kaltdach), Biberschwanzziegel, Holzwerk tw. schadhaft, Unterdach aus Holzschindeln mängelfrei'),</v>
      </c>
    </row>
    <row r="1538" spans="1:8" x14ac:dyDescent="0.25">
      <c r="A1538" s="9" t="s">
        <v>2088</v>
      </c>
      <c r="B1538" s="9" t="s">
        <v>1099</v>
      </c>
      <c r="C1538">
        <v>0</v>
      </c>
      <c r="D1538" t="s">
        <v>4080</v>
      </c>
      <c r="E1538">
        <v>2013</v>
      </c>
      <c r="F1538" s="9"/>
      <c r="H1538" s="20" t="str">
        <f t="shared" si="23"/>
        <v>(nextval('obj_part_id_seq'), (select id from obj_building_v where zip||'|'||street||'|'||name||'|'||volume = '9470|Kreuzgasse 14|Kindergarten Altendorf|932.00'), 'P3', 0, null, 2013,null),</v>
      </c>
    </row>
    <row r="1539" spans="1:8" x14ac:dyDescent="0.25">
      <c r="A1539" s="9" t="s">
        <v>2088</v>
      </c>
      <c r="B1539" s="9" t="s">
        <v>1100</v>
      </c>
      <c r="C1539">
        <v>7</v>
      </c>
      <c r="D1539">
        <v>70</v>
      </c>
      <c r="E1539">
        <v>2013</v>
      </c>
      <c r="F1539" s="9" t="s">
        <v>2091</v>
      </c>
      <c r="H1539" s="20" t="str">
        <f t="shared" si="23"/>
        <v>(nextval('obj_part_id_seq'), (select id from obj_building_v where zip||'|'||street||'|'||name||'|'||volume = '9470|Kreuzgasse 14|Kindergarten Altendorf|932.00'), 'P4', 7, 70, 2013,'Holzschindeln, Risse im Sockelputz, Holzschindeln wurden mit einer ungeeigneten Farbe gestrichen, Aussentüre aus Holz'),</v>
      </c>
    </row>
    <row r="1540" spans="1:8" x14ac:dyDescent="0.25">
      <c r="A1540" s="9" t="s">
        <v>2088</v>
      </c>
      <c r="B1540" s="9" t="s">
        <v>1102</v>
      </c>
      <c r="C1540">
        <v>10</v>
      </c>
      <c r="D1540">
        <v>90</v>
      </c>
      <c r="E1540">
        <v>2013</v>
      </c>
      <c r="F1540" s="9" t="s">
        <v>2092</v>
      </c>
      <c r="H1540" s="20" t="str">
        <f t="shared" si="23"/>
        <v>(nextval('obj_part_id_seq'), (select id from obj_building_v where zip||'|'||street||'|'||name||'|'||volume = '9470|Kreuzgasse 14|Kindergarten Altendorf|932.00'), 'P5', 10, 90, 2013,'Holzfenster mit zwischenliegenden Sprossen, Holzläden'),</v>
      </c>
    </row>
    <row r="1541" spans="1:8" x14ac:dyDescent="0.25">
      <c r="A1541" s="9" t="s">
        <v>2088</v>
      </c>
      <c r="B1541" s="9" t="s">
        <v>1164</v>
      </c>
      <c r="C1541">
        <v>6</v>
      </c>
      <c r="D1541">
        <v>80</v>
      </c>
      <c r="E1541">
        <v>2013</v>
      </c>
      <c r="F1541" s="9" t="s">
        <v>2093</v>
      </c>
      <c r="H1541" s="20" t="str">
        <f t="shared" ref="H1541:H1604" si="24">"(nextval('obj_part_id_seq'), (select id from obj_building_v where zip||'|'||street||'|'||name||'|'||volume = '"&amp;A1541&amp;"'), '"&amp;B1541&amp;"', "&amp;C1541&amp;", "&amp;D1541&amp;", "&amp;IF(ISBLANK(E1541),"null",E1541)&amp;","&amp;IF(ISBLANK(F1541),"null","'"&amp;F1541&amp;"'")&amp;"),"</f>
        <v>(nextval('obj_part_id_seq'), (select id from obj_building_v where zip||'|'||street||'|'||name||'|'||volume = '9470|Kreuzgasse 14|Kindergarten Altendorf|932.00'), 'P50', 6, 80, 2013,'tw. alte Keramiksicherungen, Aufputzleitungen, rel. alte Beleuchtung'),</v>
      </c>
    </row>
    <row r="1542" spans="1:8" x14ac:dyDescent="0.25">
      <c r="A1542" s="9" t="s">
        <v>2088</v>
      </c>
      <c r="B1542" s="9" t="s">
        <v>1166</v>
      </c>
      <c r="C1542">
        <v>1</v>
      </c>
      <c r="D1542">
        <v>90</v>
      </c>
      <c r="E1542">
        <v>2013</v>
      </c>
      <c r="F1542" s="9" t="s">
        <v>2094</v>
      </c>
      <c r="H1542" s="20" t="str">
        <f t="shared" si="24"/>
        <v>(nextval('obj_part_id_seq'), (select id from obj_building_v where zip||'|'||street||'|'||name||'|'||volume = '9470|Kreuzgasse 14|Kindergarten Altendorf|932.00'), 'P51', 1, 90, 2013,'Gong, EDV, Telefonanschluss'),</v>
      </c>
    </row>
    <row r="1543" spans="1:8" x14ac:dyDescent="0.25">
      <c r="A1543" s="9" t="s">
        <v>2088</v>
      </c>
      <c r="B1543" s="9" t="s">
        <v>1104</v>
      </c>
      <c r="C1543">
        <v>1</v>
      </c>
      <c r="D1543">
        <v>80</v>
      </c>
      <c r="E1543">
        <v>2013</v>
      </c>
      <c r="F1543" s="9" t="s">
        <v>2095</v>
      </c>
      <c r="H1543" s="20" t="str">
        <f t="shared" si="24"/>
        <v>(nextval('obj_part_id_seq'), (select id from obj_building_v where zip||'|'||street||'|'||name||'|'||volume = '9470|Kreuzgasse 14|Kindergarten Altendorf|932.00'), 'P6', 1, 80, 2013,'alte Ölheizung, freistehender Öltank in Wanne'),</v>
      </c>
    </row>
    <row r="1544" spans="1:8" x14ac:dyDescent="0.25">
      <c r="A1544" s="9" t="s">
        <v>2088</v>
      </c>
      <c r="B1544" s="9" t="s">
        <v>1106</v>
      </c>
      <c r="C1544">
        <v>3</v>
      </c>
      <c r="D1544">
        <v>90</v>
      </c>
      <c r="E1544">
        <v>2013</v>
      </c>
      <c r="F1544" s="9" t="s">
        <v>1107</v>
      </c>
      <c r="H1544" s="20" t="str">
        <f t="shared" si="24"/>
        <v>(nextval('obj_part_id_seq'), (select id from obj_building_v where zip||'|'||street||'|'||name||'|'||volume = '9470|Kreuzgasse 14|Kindergarten Altendorf|932.00'), 'P7', 3, 90, 2013,'Radiatoren mit Thermostaten'),</v>
      </c>
    </row>
    <row r="1545" spans="1:8" x14ac:dyDescent="0.25">
      <c r="A1545" s="9" t="s">
        <v>2088</v>
      </c>
      <c r="B1545" s="9" t="s">
        <v>1108</v>
      </c>
      <c r="C1545">
        <v>4</v>
      </c>
      <c r="D1545">
        <v>90</v>
      </c>
      <c r="E1545">
        <v>2013</v>
      </c>
      <c r="F1545" s="9" t="s">
        <v>2096</v>
      </c>
      <c r="H1545" s="20" t="str">
        <f t="shared" si="24"/>
        <v>(nextval('obj_part_id_seq'), (select id from obj_building_v where zip||'|'||street||'|'||name||'|'||volume = '9470|Kreuzgasse 14|Kindergarten Altendorf|932.00'), 'P8', 4, 90, 2013,'ältere Apparate und Armaturen, jedoch funktionstüchtig, Boiler i.O.'),</v>
      </c>
    </row>
    <row r="1546" spans="1:8" x14ac:dyDescent="0.25">
      <c r="A1546" s="9" t="s">
        <v>2088</v>
      </c>
      <c r="B1546" s="9" t="s">
        <v>1138</v>
      </c>
      <c r="C1546">
        <v>11</v>
      </c>
      <c r="D1546">
        <v>90</v>
      </c>
      <c r="E1546">
        <v>2013</v>
      </c>
      <c r="F1546" s="9" t="s">
        <v>2097</v>
      </c>
      <c r="H1546" s="20" t="str">
        <f t="shared" si="24"/>
        <v>(nextval('obj_part_id_seq'), (select id from obj_building_v where zip||'|'||street||'|'||name||'|'||volume = '9470|Kreuzgasse 14|Kindergarten Altendorf|932.00'), 'P57', 11, 90, 2013,'Einbauschränke, Garderobe, Holztreppe, Innentüren aus Holz'),</v>
      </c>
    </row>
    <row r="1547" spans="1:8" x14ac:dyDescent="0.25">
      <c r="A1547" s="9" t="s">
        <v>2088</v>
      </c>
      <c r="B1547" s="9" t="s">
        <v>1140</v>
      </c>
      <c r="C1547">
        <v>8</v>
      </c>
      <c r="D1547">
        <v>85</v>
      </c>
      <c r="E1547">
        <v>2013</v>
      </c>
      <c r="F1547" s="9" t="s">
        <v>2098</v>
      </c>
      <c r="H1547" s="20" t="str">
        <f t="shared" si="24"/>
        <v>(nextval('obj_part_id_seq'), (select id from obj_building_v where zip||'|'||street||'|'||name||'|'||volume = '9470|Kreuzgasse 14|Kindergarten Altendorf|932.00'), 'P58', 8, 85, 2013,'B: PVC, Korklinol, Teppich (Schmutzschleuse), W: Täfer, Verputz (Risse vorhanden), D: Holz'),</v>
      </c>
    </row>
    <row r="1548" spans="1:8" x14ac:dyDescent="0.25">
      <c r="A1548" s="9" t="s">
        <v>2088</v>
      </c>
      <c r="B1548" s="9" t="s">
        <v>1142</v>
      </c>
      <c r="C1548">
        <v>0</v>
      </c>
      <c r="D1548" t="s">
        <v>4080</v>
      </c>
      <c r="E1548">
        <v>2013</v>
      </c>
      <c r="F1548" s="9"/>
      <c r="H1548" s="20" t="str">
        <f t="shared" si="24"/>
        <v>(nextval('obj_part_id_seq'), (select id from obj_building_v where zip||'|'||street||'|'||name||'|'||volume = '9470|Kreuzgasse 14|Kindergarten Altendorf|932.00'), 'P60', 0, null, 2013,null),</v>
      </c>
    </row>
    <row r="1549" spans="1:8" x14ac:dyDescent="0.25">
      <c r="A1549" s="9" t="s">
        <v>2088</v>
      </c>
      <c r="B1549" s="9" t="s">
        <v>1143</v>
      </c>
      <c r="C1549">
        <v>0</v>
      </c>
      <c r="D1549" t="s">
        <v>4080</v>
      </c>
      <c r="E1549">
        <v>2013</v>
      </c>
      <c r="F1549" s="9"/>
      <c r="H1549" s="20" t="str">
        <f t="shared" si="24"/>
        <v>(nextval('obj_part_id_seq'), (select id from obj_building_v where zip||'|'||street||'|'||name||'|'||volume = '9470|Kreuzgasse 14|Kindergarten Altendorf|932.00'), 'P61', 0, null, 2013,null),</v>
      </c>
    </row>
    <row r="1550" spans="1:8" x14ac:dyDescent="0.25">
      <c r="A1550" s="9" t="s">
        <v>2088</v>
      </c>
      <c r="B1550" s="9" t="s">
        <v>1144</v>
      </c>
      <c r="C1550">
        <v>0</v>
      </c>
      <c r="D1550" t="s">
        <v>4080</v>
      </c>
      <c r="E1550">
        <v>2013</v>
      </c>
      <c r="F1550" s="9"/>
      <c r="H1550" s="20" t="str">
        <f t="shared" si="24"/>
        <v>(nextval('obj_part_id_seq'), (select id from obj_building_v where zip||'|'||street||'|'||name||'|'||volume = '9470|Kreuzgasse 14|Kindergarten Altendorf|932.00'), 'P62', 0, null, 2013,null),</v>
      </c>
    </row>
    <row r="1551" spans="1:8" x14ac:dyDescent="0.25">
      <c r="A1551" s="9" t="s">
        <v>2099</v>
      </c>
      <c r="B1551" s="9" t="s">
        <v>1127</v>
      </c>
      <c r="C1551">
        <v>40</v>
      </c>
      <c r="D1551">
        <v>90</v>
      </c>
      <c r="E1551">
        <v>2013</v>
      </c>
      <c r="F1551" s="9" t="s">
        <v>2100</v>
      </c>
      <c r="H1551" s="20" t="str">
        <f t="shared" si="24"/>
        <v>(nextval('obj_part_id_seq'), (select id from obj_building_v where zip||'|'||street||'|'||name||'|'||volume = '9470|Churerstrasse 117|Schulhaus (Neubau) Räfis|7395.00'), 'P48', 40, 90, 2013,'Stahlbeton, Stahlkonstruktion in den Schulzimmern'),</v>
      </c>
    </row>
    <row r="1552" spans="1:8" x14ac:dyDescent="0.25">
      <c r="A1552" s="9" t="s">
        <v>2099</v>
      </c>
      <c r="B1552" s="9" t="s">
        <v>1129</v>
      </c>
      <c r="C1552">
        <v>0</v>
      </c>
      <c r="D1552" t="s">
        <v>4080</v>
      </c>
      <c r="E1552">
        <v>2013</v>
      </c>
      <c r="F1552" s="9"/>
      <c r="H1552" s="20" t="str">
        <f t="shared" si="24"/>
        <v>(nextval('obj_part_id_seq'), (select id from obj_building_v where zip||'|'||street||'|'||name||'|'||volume = '9470|Churerstrasse 117|Schulhaus (Neubau) Räfis|7395.00'), 'P49', 0, null, 2013,null),</v>
      </c>
    </row>
    <row r="1553" spans="1:8" x14ac:dyDescent="0.25">
      <c r="A1553" s="9" t="s">
        <v>2099</v>
      </c>
      <c r="B1553" s="9" t="s">
        <v>1097</v>
      </c>
      <c r="C1553">
        <v>0</v>
      </c>
      <c r="D1553" t="s">
        <v>4080</v>
      </c>
      <c r="E1553">
        <v>2013</v>
      </c>
      <c r="F1553" s="9"/>
      <c r="H1553" s="20" t="str">
        <f t="shared" si="24"/>
        <v>(nextval('obj_part_id_seq'), (select id from obj_building_v where zip||'|'||street||'|'||name||'|'||volume = '9470|Churerstrasse 117|Schulhaus (Neubau) Räfis|7395.00'), 'P2', 0, null, 2013,null),</v>
      </c>
    </row>
    <row r="1554" spans="1:8" x14ac:dyDescent="0.25">
      <c r="A1554" s="9" t="s">
        <v>2099</v>
      </c>
      <c r="B1554" s="9" t="s">
        <v>1099</v>
      </c>
      <c r="C1554">
        <v>8</v>
      </c>
      <c r="D1554">
        <v>90</v>
      </c>
      <c r="E1554">
        <v>2013</v>
      </c>
      <c r="F1554" s="9" t="s">
        <v>2101</v>
      </c>
      <c r="H1554" s="20" t="str">
        <f t="shared" si="24"/>
        <v>(nextval('obj_part_id_seq'), (select id from obj_building_v where zip||'|'||street||'|'||name||'|'||volume = '9470|Churerstrasse 117|Schulhaus (Neubau) Räfis|7395.00'), 'P3', 8, 90, 2013,'Foliendach bekiest, Metall-/Glasvordach zw. alter Turnhalle und Neubau'),</v>
      </c>
    </row>
    <row r="1555" spans="1:8" x14ac:dyDescent="0.25">
      <c r="A1555" s="9" t="s">
        <v>2099</v>
      </c>
      <c r="B1555" s="9" t="s">
        <v>1100</v>
      </c>
      <c r="C1555">
        <v>7</v>
      </c>
      <c r="D1555">
        <v>90</v>
      </c>
      <c r="E1555">
        <v>2013</v>
      </c>
      <c r="F1555" s="9" t="s">
        <v>2102</v>
      </c>
      <c r="H1555" s="20" t="str">
        <f t="shared" si="24"/>
        <v>(nextval('obj_part_id_seq'), (select id from obj_building_v where zip||'|'||street||'|'||name||'|'||volume = '9470|Churerstrasse 117|Schulhaus (Neubau) Räfis|7395.00'), 'P4', 7, 90, 2013,'vorfabrizierte Sichtbetonelemente, Nord- und Südfassade: Sichtbeton'),</v>
      </c>
    </row>
    <row r="1556" spans="1:8" x14ac:dyDescent="0.25">
      <c r="A1556" s="9" t="s">
        <v>2099</v>
      </c>
      <c r="B1556" s="9" t="s">
        <v>1102</v>
      </c>
      <c r="C1556">
        <v>10</v>
      </c>
      <c r="D1556">
        <v>90</v>
      </c>
      <c r="E1556">
        <v>2013</v>
      </c>
      <c r="F1556" s="9" t="s">
        <v>2103</v>
      </c>
      <c r="H1556" s="20" t="str">
        <f t="shared" si="24"/>
        <v>(nextval('obj_part_id_seq'), (select id from obj_building_v where zip||'|'||street||'|'||name||'|'||volume = '9470|Churerstrasse 117|Schulhaus (Neubau) Räfis|7395.00'), 'P5', 10, 90, 2013,'Holz-Metall, IV, (''72/98), RL-Storen elektr., autom. Eingangstüre aus Metall'),</v>
      </c>
    </row>
    <row r="1557" spans="1:8" x14ac:dyDescent="0.25">
      <c r="A1557" s="9" t="s">
        <v>2099</v>
      </c>
      <c r="B1557" s="9" t="s">
        <v>1164</v>
      </c>
      <c r="C1557">
        <v>6</v>
      </c>
      <c r="D1557">
        <v>90</v>
      </c>
      <c r="E1557">
        <v>2013</v>
      </c>
      <c r="F1557" s="9" t="s">
        <v>2104</v>
      </c>
      <c r="H1557" s="20" t="str">
        <f t="shared" si="24"/>
        <v>(nextval('obj_part_id_seq'), (select id from obj_building_v where zip||'|'||street||'|'||name||'|'||volume = '9470|Churerstrasse 117|Schulhaus (Neubau) Räfis|7395.00'), 'P50', 6, 90, 2013,'Sicherungen genügend, Beleuchtung'),</v>
      </c>
    </row>
    <row r="1558" spans="1:8" x14ac:dyDescent="0.25">
      <c r="A1558" s="9" t="s">
        <v>2099</v>
      </c>
      <c r="B1558" s="9" t="s">
        <v>1166</v>
      </c>
      <c r="C1558">
        <v>1</v>
      </c>
      <c r="D1558">
        <v>90</v>
      </c>
      <c r="E1558">
        <v>2013</v>
      </c>
      <c r="F1558" s="9" t="s">
        <v>2105</v>
      </c>
      <c r="H1558" s="20" t="str">
        <f t="shared" si="24"/>
        <v>(nextval('obj_part_id_seq'), (select id from obj_building_v where zip||'|'||street||'|'||name||'|'||volume = '9470|Churerstrasse 117|Schulhaus (Neubau) Räfis|7395.00'), 'P51', 1, 90, 2013,'zentrale Uhr, Gong, Funktelefon, Beamer, EDV'),</v>
      </c>
    </row>
    <row r="1559" spans="1:8" x14ac:dyDescent="0.25">
      <c r="A1559" s="9" t="s">
        <v>2099</v>
      </c>
      <c r="B1559" s="9" t="s">
        <v>1104</v>
      </c>
      <c r="C1559">
        <v>1</v>
      </c>
      <c r="D1559">
        <v>90</v>
      </c>
      <c r="E1559">
        <v>2013</v>
      </c>
      <c r="F1559" s="9" t="s">
        <v>2106</v>
      </c>
      <c r="H1559" s="20" t="str">
        <f t="shared" si="24"/>
        <v>(nextval('obj_part_id_seq'), (select id from obj_building_v where zip||'|'||street||'|'||name||'|'||volume = '9470|Churerstrasse 117|Schulhaus (Neubau) Räfis|7395.00'), 'P6', 1, 90, 2013,'Ölheizung, (Kessel ''90, Brenner ev. neuer)'),</v>
      </c>
    </row>
    <row r="1560" spans="1:8" x14ac:dyDescent="0.25">
      <c r="A1560" s="9" t="s">
        <v>2099</v>
      </c>
      <c r="B1560" s="9" t="s">
        <v>1106</v>
      </c>
      <c r="C1560">
        <v>3</v>
      </c>
      <c r="D1560">
        <v>90</v>
      </c>
      <c r="E1560">
        <v>2013</v>
      </c>
      <c r="F1560" s="9" t="s">
        <v>1107</v>
      </c>
      <c r="H1560" s="20" t="str">
        <f t="shared" si="24"/>
        <v>(nextval('obj_part_id_seq'), (select id from obj_building_v where zip||'|'||street||'|'||name||'|'||volume = '9470|Churerstrasse 117|Schulhaus (Neubau) Räfis|7395.00'), 'P7', 3, 90, 2013,'Radiatoren mit Thermostaten'),</v>
      </c>
    </row>
    <row r="1561" spans="1:8" x14ac:dyDescent="0.25">
      <c r="A1561" s="9" t="s">
        <v>2099</v>
      </c>
      <c r="B1561" s="9" t="s">
        <v>1108</v>
      </c>
      <c r="C1561">
        <v>4</v>
      </c>
      <c r="D1561">
        <v>90</v>
      </c>
      <c r="E1561">
        <v>2013</v>
      </c>
      <c r="F1561" s="9" t="s">
        <v>2107</v>
      </c>
      <c r="H1561" s="20" t="str">
        <f t="shared" si="24"/>
        <v>(nextval('obj_part_id_seq'), (select id from obj_building_v where zip||'|'||street||'|'||name||'|'||volume = '9470|Churerstrasse 117|Schulhaus (Neubau) Räfis|7395.00'), 'P8', 4, 90, 2013,'neuere Apparate, Leitungen: Druck ok, Invaliden-WC'),</v>
      </c>
    </row>
    <row r="1562" spans="1:8" x14ac:dyDescent="0.25">
      <c r="A1562" s="9" t="s">
        <v>2099</v>
      </c>
      <c r="B1562" s="9" t="s">
        <v>1138</v>
      </c>
      <c r="C1562">
        <v>11</v>
      </c>
      <c r="D1562">
        <v>90</v>
      </c>
      <c r="E1562">
        <v>2013</v>
      </c>
      <c r="F1562" s="9" t="s">
        <v>2108</v>
      </c>
      <c r="H1562" s="20" t="str">
        <f t="shared" si="24"/>
        <v>(nextval('obj_part_id_seq'), (select id from obj_building_v where zip||'|'||street||'|'||name||'|'||volume = '9470|Churerstrasse 117|Schulhaus (Neubau) Räfis|7395.00'), 'P57', 11, 90, 2013,'Garderoben, Innentüren aus Holz, Fenstersimse, Glastrennwand, Einbauschränke, Küche'),</v>
      </c>
    </row>
    <row r="1563" spans="1:8" x14ac:dyDescent="0.25">
      <c r="A1563" s="9" t="s">
        <v>2099</v>
      </c>
      <c r="B1563" s="9" t="s">
        <v>1140</v>
      </c>
      <c r="C1563">
        <v>8</v>
      </c>
      <c r="D1563">
        <v>85</v>
      </c>
      <c r="E1563">
        <v>2013</v>
      </c>
      <c r="F1563" s="9" t="s">
        <v>2109</v>
      </c>
      <c r="H1563" s="20" t="str">
        <f t="shared" si="24"/>
        <v>(nextval('obj_part_id_seq'), (select id from obj_building_v where zip||'|'||street||'|'||name||'|'||volume = '9470|Churerstrasse 117|Schulhaus (Neubau) Räfis|7395.00'), 'P58', 8, 85, 2013,'B: Langriemenparkett, geölt (offene Fuge im Anschluss an innere Glaswand im OG vorhanden), Zementüberzug gestrichen, Kunststein, W: Rauhfasertapete (Risse sichtbar), D: Akustikd., Heraklith'),</v>
      </c>
    </row>
    <row r="1564" spans="1:8" x14ac:dyDescent="0.25">
      <c r="A1564" s="9" t="s">
        <v>2099</v>
      </c>
      <c r="B1564" s="9" t="s">
        <v>1142</v>
      </c>
      <c r="C1564">
        <v>0</v>
      </c>
      <c r="D1564" t="s">
        <v>4080</v>
      </c>
      <c r="E1564">
        <v>2013</v>
      </c>
      <c r="F1564" s="9"/>
      <c r="H1564" s="20" t="str">
        <f t="shared" si="24"/>
        <v>(nextval('obj_part_id_seq'), (select id from obj_building_v where zip||'|'||street||'|'||name||'|'||volume = '9470|Churerstrasse 117|Schulhaus (Neubau) Räfis|7395.00'), 'P60', 0, null, 2013,null),</v>
      </c>
    </row>
    <row r="1565" spans="1:8" x14ac:dyDescent="0.25">
      <c r="A1565" s="9" t="s">
        <v>2099</v>
      </c>
      <c r="B1565" s="9" t="s">
        <v>1143</v>
      </c>
      <c r="C1565">
        <v>1</v>
      </c>
      <c r="D1565">
        <v>90</v>
      </c>
      <c r="E1565">
        <v>2013</v>
      </c>
      <c r="F1565" s="9" t="s">
        <v>2110</v>
      </c>
      <c r="H1565" s="20" t="str">
        <f t="shared" si="24"/>
        <v>(nextval('obj_part_id_seq'), (select id from obj_building_v where zip||'|'||street||'|'||name||'|'||volume = '9470|Churerstrasse 117|Schulhaus (Neubau) Räfis|7395.00'), 'P61', 1, 90, 2013,'Personenaufzug ohne Mängel'),</v>
      </c>
    </row>
    <row r="1566" spans="1:8" x14ac:dyDescent="0.25">
      <c r="A1566" s="9" t="s">
        <v>2099</v>
      </c>
      <c r="B1566" s="9" t="s">
        <v>1144</v>
      </c>
      <c r="C1566">
        <v>0</v>
      </c>
      <c r="D1566" t="s">
        <v>4080</v>
      </c>
      <c r="E1566">
        <v>2013</v>
      </c>
      <c r="F1566" s="9"/>
      <c r="H1566" s="20" t="str">
        <f t="shared" si="24"/>
        <v>(nextval('obj_part_id_seq'), (select id from obj_building_v where zip||'|'||street||'|'||name||'|'||volume = '9470|Churerstrasse 117|Schulhaus (Neubau) Räfis|7395.00'), 'P62', 0, null, 2013,null),</v>
      </c>
    </row>
    <row r="1567" spans="1:8" x14ac:dyDescent="0.25">
      <c r="A1567" s="9" t="s">
        <v>2111</v>
      </c>
      <c r="B1567" s="9" t="s">
        <v>1127</v>
      </c>
      <c r="C1567">
        <v>35</v>
      </c>
      <c r="D1567">
        <v>90</v>
      </c>
      <c r="E1567">
        <v>2013</v>
      </c>
      <c r="F1567" s="9" t="s">
        <v>2112</v>
      </c>
      <c r="H1567" s="20" t="str">
        <f t="shared" si="24"/>
        <v>(nextval('obj_part_id_seq'), (select id from obj_building_v where zip||'|'||street||'|'||name||'|'||volume = '5620|Pfarrgasse 1|Schwarzschloss|2839.00'), 'P48', 35, 90, 2013,'Mauerwerk, Innenisolation (Vorsatzschale), Holzbalkendecke'),</v>
      </c>
    </row>
    <row r="1568" spans="1:8" x14ac:dyDescent="0.25">
      <c r="A1568" s="9" t="s">
        <v>2111</v>
      </c>
      <c r="B1568" s="9" t="s">
        <v>1129</v>
      </c>
      <c r="C1568">
        <v>0</v>
      </c>
      <c r="D1568" t="s">
        <v>4080</v>
      </c>
      <c r="E1568">
        <v>2013</v>
      </c>
      <c r="F1568" s="9"/>
      <c r="H1568" s="20" t="str">
        <f t="shared" si="24"/>
        <v>(nextval('obj_part_id_seq'), (select id from obj_building_v where zip||'|'||street||'|'||name||'|'||volume = '5620|Pfarrgasse 1|Schwarzschloss|2839.00'), 'P49', 0, null, 2013,null),</v>
      </c>
    </row>
    <row r="1569" spans="1:8" x14ac:dyDescent="0.25">
      <c r="A1569" s="9" t="s">
        <v>2111</v>
      </c>
      <c r="B1569" s="9" t="s">
        <v>1097</v>
      </c>
      <c r="C1569">
        <v>8</v>
      </c>
      <c r="D1569">
        <v>90</v>
      </c>
      <c r="E1569">
        <v>2013</v>
      </c>
      <c r="F1569" s="9" t="s">
        <v>1370</v>
      </c>
      <c r="H1569" s="20" t="str">
        <f t="shared" si="24"/>
        <v>(nextval('obj_part_id_seq'), (select id from obj_building_v where zip||'|'||street||'|'||name||'|'||volume = '5620|Pfarrgasse 1|Schwarzschloss|2839.00'), 'P2', 8, 90, 2013,'Ziegeldach'),</v>
      </c>
    </row>
    <row r="1570" spans="1:8" x14ac:dyDescent="0.25">
      <c r="A1570" s="9" t="s">
        <v>2111</v>
      </c>
      <c r="B1570" s="9" t="s">
        <v>1099</v>
      </c>
      <c r="C1570">
        <v>0</v>
      </c>
      <c r="D1570" t="s">
        <v>4080</v>
      </c>
      <c r="E1570">
        <v>2013</v>
      </c>
      <c r="F1570" s="9"/>
      <c r="H1570" s="20" t="str">
        <f t="shared" si="24"/>
        <v>(nextval('obj_part_id_seq'), (select id from obj_building_v where zip||'|'||street||'|'||name||'|'||volume = '5620|Pfarrgasse 1|Schwarzschloss|2839.00'), 'P3', 0, null, 2013,null),</v>
      </c>
    </row>
    <row r="1571" spans="1:8" x14ac:dyDescent="0.25">
      <c r="A1571" s="9" t="s">
        <v>2111</v>
      </c>
      <c r="B1571" s="9" t="s">
        <v>1100</v>
      </c>
      <c r="C1571">
        <v>7</v>
      </c>
      <c r="D1571">
        <v>90</v>
      </c>
      <c r="E1571">
        <v>2013</v>
      </c>
      <c r="F1571" s="9" t="s">
        <v>2113</v>
      </c>
      <c r="H1571" s="20" t="str">
        <f t="shared" si="24"/>
        <v>(nextval('obj_part_id_seq'), (select id from obj_building_v where zip||'|'||street||'|'||name||'|'||volume = '5620|Pfarrgasse 1|Schwarzschloss|2839.00'), 'P4', 7, 90, 2013,'Mauerwerk , verputzt'),</v>
      </c>
    </row>
    <row r="1572" spans="1:8" x14ac:dyDescent="0.25">
      <c r="A1572" s="9" t="s">
        <v>2111</v>
      </c>
      <c r="B1572" s="9" t="s">
        <v>1102</v>
      </c>
      <c r="C1572">
        <v>11</v>
      </c>
      <c r="D1572">
        <v>90</v>
      </c>
      <c r="E1572">
        <v>2013</v>
      </c>
      <c r="F1572" s="9" t="s">
        <v>2114</v>
      </c>
      <c r="H1572" s="20" t="str">
        <f t="shared" si="24"/>
        <v>(nextval('obj_part_id_seq'), (select id from obj_building_v where zip||'|'||street||'|'||name||'|'||volume = '5620|Pfarrgasse 1|Schwarzschloss|2839.00'), 'P5', 11, 90, 2013,'Holz, Doppelverglasung'),</v>
      </c>
    </row>
    <row r="1573" spans="1:8" x14ac:dyDescent="0.25">
      <c r="A1573" s="9" t="s">
        <v>2111</v>
      </c>
      <c r="B1573" s="9" t="s">
        <v>1110</v>
      </c>
      <c r="C1573">
        <v>4</v>
      </c>
      <c r="D1573">
        <v>90</v>
      </c>
      <c r="E1573">
        <v>2013</v>
      </c>
      <c r="F1573" s="9" t="s">
        <v>2115</v>
      </c>
      <c r="H1573" s="20" t="str">
        <f t="shared" si="24"/>
        <v>(nextval('obj_part_id_seq'), (select id from obj_building_v where zip||'|'||street||'|'||name||'|'||volume = '5620|Pfarrgasse 1|Schwarzschloss|2839.00'), 'P9', 4, 90, 2013,'tw. alte Keramiksicherungen, Absicherung jedoch i. O.'),</v>
      </c>
    </row>
    <row r="1574" spans="1:8" x14ac:dyDescent="0.25">
      <c r="A1574" s="9" t="s">
        <v>2111</v>
      </c>
      <c r="B1574" s="9" t="s">
        <v>1104</v>
      </c>
      <c r="C1574">
        <v>2</v>
      </c>
      <c r="D1574">
        <v>90</v>
      </c>
      <c r="E1574">
        <v>2013</v>
      </c>
      <c r="F1574" s="9" t="s">
        <v>2116</v>
      </c>
      <c r="H1574" s="20" t="str">
        <f t="shared" si="24"/>
        <v>(nextval('obj_part_id_seq'), (select id from obj_building_v where zip||'|'||street||'|'||name||'|'||volume = '5620|Pfarrgasse 1|Schwarzschloss|2839.00'), 'P6', 2, 90, 2013,'Elektroheizung im EG'),</v>
      </c>
    </row>
    <row r="1575" spans="1:8" x14ac:dyDescent="0.25">
      <c r="A1575" s="9" t="s">
        <v>2111</v>
      </c>
      <c r="B1575" s="9" t="s">
        <v>1106</v>
      </c>
      <c r="C1575">
        <v>3</v>
      </c>
      <c r="D1575">
        <v>90</v>
      </c>
      <c r="E1575">
        <v>2013</v>
      </c>
      <c r="F1575" s="9" t="s">
        <v>2117</v>
      </c>
      <c r="H1575" s="20" t="str">
        <f t="shared" si="24"/>
        <v>(nextval('obj_part_id_seq'), (select id from obj_building_v where zip||'|'||street||'|'||name||'|'||volume = '5620|Pfarrgasse 1|Schwarzschloss|2839.00'), 'P7', 3, 90, 2013,'elektr. Bodenheizung'),</v>
      </c>
    </row>
    <row r="1576" spans="1:8" x14ac:dyDescent="0.25">
      <c r="A1576" s="9" t="s">
        <v>2111</v>
      </c>
      <c r="B1576" s="9" t="s">
        <v>1135</v>
      </c>
      <c r="C1576">
        <v>3</v>
      </c>
      <c r="D1576">
        <v>90</v>
      </c>
      <c r="E1576">
        <v>2013</v>
      </c>
      <c r="F1576" s="9" t="s">
        <v>2118</v>
      </c>
      <c r="H1576" s="20" t="str">
        <f t="shared" si="24"/>
        <v>(nextval('obj_part_id_seq'), (select id from obj_building_v where zip||'|'||street||'|'||name||'|'||volume = '5620|Pfarrgasse 1|Schwarzschloss|2839.00'), 'P54', 3, 90, 2013,'Apparate funktionstüchtig'),</v>
      </c>
    </row>
    <row r="1577" spans="1:8" x14ac:dyDescent="0.25">
      <c r="A1577" s="9" t="s">
        <v>2111</v>
      </c>
      <c r="B1577" s="9" t="s">
        <v>1137</v>
      </c>
      <c r="C1577">
        <v>4</v>
      </c>
      <c r="D1577">
        <v>90</v>
      </c>
      <c r="E1577">
        <v>2013</v>
      </c>
      <c r="F1577" s="9" t="s">
        <v>2119</v>
      </c>
      <c r="H1577" s="20" t="str">
        <f t="shared" si="24"/>
        <v>(nextval('obj_part_id_seq'), (select id from obj_building_v where zip||'|'||street||'|'||name||'|'||volume = '5620|Pfarrgasse 1|Schwarzschloss|2839.00'), 'P55', 4, 90, 2013,'Druck ok, Kanalisation etwas gering dimensioniert, Hochwassergebiet: fast jedes Jahr Überschwemmung'),</v>
      </c>
    </row>
    <row r="1578" spans="1:8" x14ac:dyDescent="0.25">
      <c r="A1578" s="9" t="s">
        <v>2111</v>
      </c>
      <c r="B1578" s="9" t="s">
        <v>1155</v>
      </c>
      <c r="C1578">
        <v>0</v>
      </c>
      <c r="D1578" t="s">
        <v>4080</v>
      </c>
      <c r="E1578">
        <v>2013</v>
      </c>
      <c r="F1578" s="9"/>
      <c r="H1578" s="20" t="str">
        <f t="shared" si="24"/>
        <v>(nextval('obj_part_id_seq'), (select id from obj_building_v where zip||'|'||street||'|'||name||'|'||volume = '5620|Pfarrgasse 1|Schwarzschloss|2839.00'), 'P56', 0, null, 2013,null),</v>
      </c>
    </row>
    <row r="1579" spans="1:8" x14ac:dyDescent="0.25">
      <c r="A1579" s="9" t="s">
        <v>2111</v>
      </c>
      <c r="B1579" s="9" t="s">
        <v>1138</v>
      </c>
      <c r="C1579">
        <v>9</v>
      </c>
      <c r="D1579">
        <v>90</v>
      </c>
      <c r="E1579">
        <v>2013</v>
      </c>
      <c r="F1579" s="9" t="s">
        <v>2120</v>
      </c>
      <c r="H1579" s="20" t="str">
        <f t="shared" si="24"/>
        <v>(nextval('obj_part_id_seq'), (select id from obj_building_v where zip||'|'||street||'|'||name||'|'||volume = '5620|Pfarrgasse 1|Schwarzschloss|2839.00'), 'P57', 9, 90, 2013,'Innentüren aus Holz mit Metallzargen'),</v>
      </c>
    </row>
    <row r="1580" spans="1:8" x14ac:dyDescent="0.25">
      <c r="A1580" s="9" t="s">
        <v>2111</v>
      </c>
      <c r="B1580" s="9" t="s">
        <v>1140</v>
      </c>
      <c r="C1580">
        <v>8</v>
      </c>
      <c r="D1580">
        <v>90</v>
      </c>
      <c r="E1580">
        <v>2013</v>
      </c>
      <c r="F1580" s="9" t="s">
        <v>2121</v>
      </c>
      <c r="H1580" s="20" t="str">
        <f t="shared" si="24"/>
        <v>(nextval('obj_part_id_seq'), (select id from obj_building_v where zip||'|'||street||'|'||name||'|'||volume = '5620|Pfarrgasse 1|Schwarzschloss|2839.00'), 'P58', 8, 90, 2013,'B: Klinker, Laminat, PVC, Teppich: (1Wg.), W: Putz gestrichen, D: Holzbalken, Gips gestrichen'),</v>
      </c>
    </row>
    <row r="1581" spans="1:8" x14ac:dyDescent="0.25">
      <c r="A1581" s="9" t="s">
        <v>2111</v>
      </c>
      <c r="B1581" s="9" t="s">
        <v>1157</v>
      </c>
      <c r="C1581">
        <v>4</v>
      </c>
      <c r="D1581">
        <v>90</v>
      </c>
      <c r="E1581">
        <v>2013</v>
      </c>
      <c r="F1581" s="9" t="s">
        <v>2122</v>
      </c>
      <c r="H1581" s="20" t="str">
        <f t="shared" si="24"/>
        <v>(nextval('obj_part_id_seq'), (select id from obj_building_v where zip||'|'||street||'|'||name||'|'||volume = '5620|Pfarrgasse 1|Schwarzschloss|2839.00'), 'P59', 4, 90, 2013,'Küche zeitgemäss'),</v>
      </c>
    </row>
    <row r="1582" spans="1:8" x14ac:dyDescent="0.25">
      <c r="A1582" s="9" t="s">
        <v>2111</v>
      </c>
      <c r="B1582" s="9" t="s">
        <v>1142</v>
      </c>
      <c r="C1582">
        <v>0</v>
      </c>
      <c r="D1582" t="s">
        <v>4080</v>
      </c>
      <c r="E1582">
        <v>2013</v>
      </c>
      <c r="F1582" s="9"/>
      <c r="H1582" s="20" t="str">
        <f t="shared" si="24"/>
        <v>(nextval('obj_part_id_seq'), (select id from obj_building_v where zip||'|'||street||'|'||name||'|'||volume = '5620|Pfarrgasse 1|Schwarzschloss|2839.00'), 'P60', 0, null, 2013,null),</v>
      </c>
    </row>
    <row r="1583" spans="1:8" x14ac:dyDescent="0.25">
      <c r="A1583" s="9" t="s">
        <v>2111</v>
      </c>
      <c r="B1583" s="9" t="s">
        <v>1143</v>
      </c>
      <c r="C1583">
        <v>2</v>
      </c>
      <c r="D1583">
        <v>90</v>
      </c>
      <c r="E1583">
        <v>2013</v>
      </c>
      <c r="F1583" s="9" t="s">
        <v>2123</v>
      </c>
      <c r="H1583" s="20" t="str">
        <f t="shared" si="24"/>
        <v>(nextval('obj_part_id_seq'), (select id from obj_building_v where zip||'|'||street||'|'||name||'|'||volume = '5620|Pfarrgasse 1|Schwarzschloss|2839.00'), 'P61', 2, 90, 2013,'Lüftung, Zweck unbekannt'),</v>
      </c>
    </row>
    <row r="1584" spans="1:8" x14ac:dyDescent="0.25">
      <c r="A1584" s="9" t="s">
        <v>2111</v>
      </c>
      <c r="B1584" s="9" t="s">
        <v>1144</v>
      </c>
      <c r="C1584">
        <v>0</v>
      </c>
      <c r="D1584" t="s">
        <v>4080</v>
      </c>
      <c r="E1584">
        <v>2013</v>
      </c>
      <c r="F1584" s="9"/>
      <c r="H1584" s="20" t="str">
        <f t="shared" si="24"/>
        <v>(nextval('obj_part_id_seq'), (select id from obj_building_v where zip||'|'||street||'|'||name||'|'||volume = '5620|Pfarrgasse 1|Schwarzschloss|2839.00'), 'P62', 0, null, 2013,null),</v>
      </c>
    </row>
    <row r="1585" spans="1:8" x14ac:dyDescent="0.25">
      <c r="A1585" s="9" t="s">
        <v>2124</v>
      </c>
      <c r="B1585" s="9" t="s">
        <v>1127</v>
      </c>
      <c r="C1585">
        <v>41</v>
      </c>
      <c r="D1585">
        <v>90</v>
      </c>
      <c r="E1585">
        <v>2013</v>
      </c>
      <c r="F1585" s="9" t="s">
        <v>1777</v>
      </c>
      <c r="H1585" s="20" t="str">
        <f t="shared" si="24"/>
        <v>(nextval('obj_part_id_seq'), (select id from obj_building_v where zip||'|'||street||'|'||name||'|'||volume = '9213|Hauptstrasse|Primarschulanlage: Schulhaus, Garage, Velounterstand|16841.00'), 'P48', 41, 90, 2013,'Stahlbeton und Mauerwerk, Dachstuhl aus Holz'),</v>
      </c>
    </row>
    <row r="1586" spans="1:8" x14ac:dyDescent="0.25">
      <c r="A1586" s="9" t="s">
        <v>2124</v>
      </c>
      <c r="B1586" s="9" t="s">
        <v>1129</v>
      </c>
      <c r="C1586">
        <v>0</v>
      </c>
      <c r="D1586" t="s">
        <v>4080</v>
      </c>
      <c r="E1586">
        <v>2013</v>
      </c>
      <c r="F1586" s="9"/>
      <c r="H1586" s="20" t="str">
        <f t="shared" si="24"/>
        <v>(nextval('obj_part_id_seq'), (select id from obj_building_v where zip||'|'||street||'|'||name||'|'||volume = '9213|Hauptstrasse|Primarschulanlage: Schulhaus, Garage, Velounterstand|16841.00'), 'P49', 0, null, 2013,null),</v>
      </c>
    </row>
    <row r="1587" spans="1:8" x14ac:dyDescent="0.25">
      <c r="A1587" s="9" t="s">
        <v>2124</v>
      </c>
      <c r="B1587" s="9" t="s">
        <v>1097</v>
      </c>
      <c r="C1587">
        <v>8</v>
      </c>
      <c r="D1587">
        <v>90</v>
      </c>
      <c r="E1587">
        <v>2013</v>
      </c>
      <c r="F1587" s="9" t="s">
        <v>2125</v>
      </c>
      <c r="H1587" s="20" t="str">
        <f t="shared" si="24"/>
        <v>(nextval('obj_part_id_seq'), (select id from obj_building_v where zip||'|'||street||'|'||name||'|'||volume = '9213|Hauptstrasse|Primarschulanlage: Schulhaus, Garage, Velounterstand|16841.00'), 'P2', 8, 90, 2013,'Giebeldach, tw. Isoliert mit Falzziegel'),</v>
      </c>
    </row>
    <row r="1588" spans="1:8" x14ac:dyDescent="0.25">
      <c r="A1588" s="9" t="s">
        <v>2124</v>
      </c>
      <c r="B1588" s="9" t="s">
        <v>1099</v>
      </c>
      <c r="C1588">
        <v>0</v>
      </c>
      <c r="D1588" t="s">
        <v>4080</v>
      </c>
      <c r="E1588">
        <v>2013</v>
      </c>
      <c r="F1588" s="9"/>
      <c r="H1588" s="20" t="str">
        <f t="shared" si="24"/>
        <v>(nextval('obj_part_id_seq'), (select id from obj_building_v where zip||'|'||street||'|'||name||'|'||volume = '9213|Hauptstrasse|Primarschulanlage: Schulhaus, Garage, Velounterstand|16841.00'), 'P3', 0, null, 2013,null),</v>
      </c>
    </row>
    <row r="1589" spans="1:8" x14ac:dyDescent="0.25">
      <c r="A1589" s="9" t="s">
        <v>2124</v>
      </c>
      <c r="B1589" s="9" t="s">
        <v>1100</v>
      </c>
      <c r="C1589">
        <v>7</v>
      </c>
      <c r="D1589">
        <v>90</v>
      </c>
      <c r="E1589">
        <v>2013</v>
      </c>
      <c r="F1589" s="9" t="s">
        <v>2126</v>
      </c>
      <c r="H1589" s="20" t="str">
        <f t="shared" si="24"/>
        <v>(nextval('obj_part_id_seq'), (select id from obj_building_v where zip||'|'||street||'|'||name||'|'||volume = '9213|Hauptstrasse|Primarschulanlage: Schulhaus, Garage, Velounterstand|16841.00'), 'P4', 7, 90, 2013,'Zweischalenmauerwerk, verputzt und gestrichen, Feuchteschaden Aussenwand Technikraum'),</v>
      </c>
    </row>
    <row r="1590" spans="1:8" x14ac:dyDescent="0.25">
      <c r="A1590" s="9" t="s">
        <v>2124</v>
      </c>
      <c r="B1590" s="9" t="s">
        <v>1102</v>
      </c>
      <c r="C1590">
        <v>10</v>
      </c>
      <c r="D1590">
        <v>80</v>
      </c>
      <c r="E1590">
        <v>2013</v>
      </c>
      <c r="F1590" s="9" t="s">
        <v>2127</v>
      </c>
      <c r="H1590" s="20" t="str">
        <f t="shared" si="24"/>
        <v>(nextval('obj_part_id_seq'), (select id from obj_building_v where zip||'|'||street||'|'||name||'|'||volume = '9213|Hauptstrasse|Primarschulanlage: Schulhaus, Garage, Velounterstand|16841.00'), 'P5', 10, 80, 2013,'Holzfenster ''88 (kein IV), Kunststofffenster ''01, Aussentüren und Windfang sowie Verglasung gedeckter Pausenplatz aus Metall/Glas, Turnhalle: Metallfenster'),</v>
      </c>
    </row>
    <row r="1591" spans="1:8" x14ac:dyDescent="0.25">
      <c r="A1591" s="9" t="s">
        <v>2124</v>
      </c>
      <c r="B1591" s="9" t="s">
        <v>1164</v>
      </c>
      <c r="C1591">
        <v>6</v>
      </c>
      <c r="D1591">
        <v>85</v>
      </c>
      <c r="E1591">
        <v>2013</v>
      </c>
      <c r="F1591" s="9" t="s">
        <v>2128</v>
      </c>
      <c r="H1591" s="20" t="str">
        <f t="shared" si="24"/>
        <v>(nextval('obj_part_id_seq'), (select id from obj_building_v where zip||'|'||street||'|'||name||'|'||volume = '9213|Hauptstrasse|Primarschulanlage: Schulhaus, Garage, Velounterstand|16841.00'), 'P50', 6, 85, 2013,'Genügende Absicherung, tw. alte Kreamiksicherungen, Beleuchtung ausreichend, Bühnentechnik'),</v>
      </c>
    </row>
    <row r="1592" spans="1:8" x14ac:dyDescent="0.25">
      <c r="A1592" s="9" t="s">
        <v>2124</v>
      </c>
      <c r="B1592" s="9" t="s">
        <v>1166</v>
      </c>
      <c r="C1592">
        <v>1</v>
      </c>
      <c r="D1592">
        <v>90</v>
      </c>
      <c r="E1592">
        <v>2013</v>
      </c>
      <c r="F1592" s="9" t="s">
        <v>2129</v>
      </c>
      <c r="H1592" s="20" t="str">
        <f t="shared" si="24"/>
        <v>(nextval('obj_part_id_seq'), (select id from obj_building_v where zip||'|'||street||'|'||name||'|'||volume = '9213|Hauptstrasse|Primarschulanlage: Schulhaus, Garage, Velounterstand|16841.00'), 'P51', 1, 90, 2013,'Sonnerie, Telefon, EDV, Audioanlage (Aula)'),</v>
      </c>
    </row>
    <row r="1593" spans="1:8" x14ac:dyDescent="0.25">
      <c r="A1593" s="9" t="s">
        <v>2124</v>
      </c>
      <c r="B1593" s="9" t="s">
        <v>1104</v>
      </c>
      <c r="C1593">
        <v>1</v>
      </c>
      <c r="D1593">
        <v>90</v>
      </c>
      <c r="E1593">
        <v>2013</v>
      </c>
      <c r="F1593" s="9" t="s">
        <v>2130</v>
      </c>
      <c r="H1593" s="20" t="str">
        <f t="shared" si="24"/>
        <v>(nextval('obj_part_id_seq'), (select id from obj_building_v where zip||'|'||street||'|'||name||'|'||volume = '9213|Hauptstrasse|Primarschulanlage: Schulhaus, Garage, Velounterstand|16841.00'), 'P6', 1, 90, 2013,'Ölheizung ''93 (lowNOx) &amp; Gas ''88, tw. dezentral, El.-Boiler Turnhalle, dez. Boiler o. Durchlauferhitzer WC'),</v>
      </c>
    </row>
    <row r="1594" spans="1:8" x14ac:dyDescent="0.25">
      <c r="A1594" s="9" t="s">
        <v>2124</v>
      </c>
      <c r="B1594" s="9" t="s">
        <v>1106</v>
      </c>
      <c r="C1594">
        <v>3</v>
      </c>
      <c r="D1594">
        <v>90</v>
      </c>
      <c r="E1594">
        <v>2013</v>
      </c>
      <c r="F1594" s="9" t="s">
        <v>2131</v>
      </c>
      <c r="H1594" s="20" t="str">
        <f t="shared" si="24"/>
        <v>(nextval('obj_part_id_seq'), (select id from obj_building_v where zip||'|'||street||'|'||name||'|'||volume = '9213|Hauptstrasse|Primarschulanlage: Schulhaus, Garage, Velounterstand|16841.00'), 'P7', 3, 90, 2013,'Radiatoren mit Thermostat und Bodenheizung im Neubau, Ein Raumfühler für ganzes Schulhaus'),</v>
      </c>
    </row>
    <row r="1595" spans="1:8" x14ac:dyDescent="0.25">
      <c r="A1595" s="9" t="s">
        <v>2124</v>
      </c>
      <c r="B1595" s="9" t="s">
        <v>1108</v>
      </c>
      <c r="C1595">
        <v>4</v>
      </c>
      <c r="D1595">
        <v>85</v>
      </c>
      <c r="E1595">
        <v>2013</v>
      </c>
      <c r="F1595" s="9" t="s">
        <v>2132</v>
      </c>
      <c r="H1595" s="20" t="str">
        <f t="shared" si="24"/>
        <v>(nextval('obj_part_id_seq'), (select id from obj_building_v where zip||'|'||street||'|'||name||'|'||volume = '9213|Hauptstrasse|Primarschulanlage: Schulhaus, Garage, Velounterstand|16841.00'), 'P8', 4, 85, 2013,'Entsalzungsanlage, Sanitärapparate und -armaturen ohne Mischventile, Druck Leitungen genügend'),</v>
      </c>
    </row>
    <row r="1596" spans="1:8" x14ac:dyDescent="0.25">
      <c r="A1596" s="9" t="s">
        <v>2124</v>
      </c>
      <c r="B1596" s="9" t="s">
        <v>1138</v>
      </c>
      <c r="C1596">
        <v>11</v>
      </c>
      <c r="D1596">
        <v>85</v>
      </c>
      <c r="E1596">
        <v>2013</v>
      </c>
      <c r="F1596" s="9" t="s">
        <v>2133</v>
      </c>
      <c r="H1596" s="20" t="str">
        <f t="shared" si="24"/>
        <v>(nextval('obj_part_id_seq'), (select id from obj_building_v where zip||'|'||street||'|'||name||'|'||volume = '9213|Hauptstrasse|Primarschulanlage: Schulhaus, Garage, Velounterstand|16841.00'), 'P57', 11, 85, 2013,'Wandschränke und Arbeitsimse, Metallgeländer (Sicherheitsrisiko), Küche MZH EG und DG'),</v>
      </c>
    </row>
    <row r="1597" spans="1:8" x14ac:dyDescent="0.25">
      <c r="A1597" s="9" t="s">
        <v>2124</v>
      </c>
      <c r="B1597" s="9" t="s">
        <v>1140</v>
      </c>
      <c r="C1597">
        <v>8</v>
      </c>
      <c r="D1597">
        <v>90</v>
      </c>
      <c r="E1597">
        <v>2013</v>
      </c>
      <c r="F1597" s="9" t="s">
        <v>2134</v>
      </c>
      <c r="H1597" s="20" t="str">
        <f t="shared" si="24"/>
        <v>(nextval('obj_part_id_seq'), (select id from obj_building_v where zip||'|'||street||'|'||name||'|'||volume = '9213|Hauptstrasse|Primarschulanlage: Schulhaus, Garage, Velounterstand|16841.00'), 'P58', 8, 90, 2013,'B: Linol, Teppich, Beton, PU Turnhallenboden, KST, Parkett, Kunststein und Keramikpl. W: Mauerwerk, verputzt D: Akustikdecken und Putz'),</v>
      </c>
    </row>
    <row r="1598" spans="1:8" x14ac:dyDescent="0.25">
      <c r="A1598" s="9" t="s">
        <v>2124</v>
      </c>
      <c r="B1598" s="9" t="s">
        <v>1142</v>
      </c>
      <c r="C1598">
        <v>0</v>
      </c>
      <c r="D1598" t="s">
        <v>4080</v>
      </c>
      <c r="E1598">
        <v>2013</v>
      </c>
      <c r="F1598" s="9"/>
      <c r="H1598" s="20" t="str">
        <f t="shared" si="24"/>
        <v>(nextval('obj_part_id_seq'), (select id from obj_building_v where zip||'|'||street||'|'||name||'|'||volume = '9213|Hauptstrasse|Primarschulanlage: Schulhaus, Garage, Velounterstand|16841.00'), 'P60', 0, null, 2013,null),</v>
      </c>
    </row>
    <row r="1599" spans="1:8" x14ac:dyDescent="0.25">
      <c r="A1599" s="9" t="s">
        <v>2124</v>
      </c>
      <c r="B1599" s="9" t="s">
        <v>1143</v>
      </c>
      <c r="C1599">
        <v>0</v>
      </c>
      <c r="D1599" t="s">
        <v>4080</v>
      </c>
      <c r="E1599">
        <v>2013</v>
      </c>
      <c r="F1599" s="9"/>
      <c r="H1599" s="20" t="str">
        <f t="shared" si="24"/>
        <v>(nextval('obj_part_id_seq'), (select id from obj_building_v where zip||'|'||street||'|'||name||'|'||volume = '9213|Hauptstrasse|Primarschulanlage: Schulhaus, Garage, Velounterstand|16841.00'), 'P61', 0, null, 2013,null),</v>
      </c>
    </row>
    <row r="1600" spans="1:8" x14ac:dyDescent="0.25">
      <c r="A1600" s="9" t="s">
        <v>2124</v>
      </c>
      <c r="B1600" s="9" t="s">
        <v>1144</v>
      </c>
      <c r="C1600">
        <v>0</v>
      </c>
      <c r="D1600" t="s">
        <v>4080</v>
      </c>
      <c r="E1600">
        <v>2013</v>
      </c>
      <c r="F1600" s="9"/>
      <c r="H1600" s="20" t="str">
        <f t="shared" si="24"/>
        <v>(nextval('obj_part_id_seq'), (select id from obj_building_v where zip||'|'||street||'|'||name||'|'||volume = '9213|Hauptstrasse|Primarschulanlage: Schulhaus, Garage, Velounterstand|16841.00'), 'P62', 0, null, 2013,null),</v>
      </c>
    </row>
    <row r="1601" spans="1:8" x14ac:dyDescent="0.25">
      <c r="A1601" s="9" t="s">
        <v>2135</v>
      </c>
      <c r="B1601" s="9" t="s">
        <v>1127</v>
      </c>
      <c r="C1601">
        <v>42</v>
      </c>
      <c r="D1601">
        <v>90</v>
      </c>
      <c r="E1601">
        <v>2013</v>
      </c>
      <c r="F1601" s="9" t="s">
        <v>1674</v>
      </c>
      <c r="H1601" s="20" t="str">
        <f t="shared" si="24"/>
        <v>(nextval('obj_part_id_seq'), (select id from obj_building_v where zip||'|'||street||'|'||name||'|'||volume = '9216|Schulstrasse 7|Primarschulanlage Schulhaus|2515.00'), 'P48', 42, 90, 2013,'Mauerwerk und Holzbalkendecken'),</v>
      </c>
    </row>
    <row r="1602" spans="1:8" x14ac:dyDescent="0.25">
      <c r="A1602" s="9" t="s">
        <v>2135</v>
      </c>
      <c r="B1602" s="9" t="s">
        <v>1129</v>
      </c>
      <c r="C1602">
        <v>0</v>
      </c>
      <c r="D1602" t="s">
        <v>4080</v>
      </c>
      <c r="E1602">
        <v>2013</v>
      </c>
      <c r="F1602" s="9"/>
      <c r="H1602" s="20" t="str">
        <f t="shared" si="24"/>
        <v>(nextval('obj_part_id_seq'), (select id from obj_building_v where zip||'|'||street||'|'||name||'|'||volume = '9216|Schulstrasse 7|Primarschulanlage Schulhaus|2515.00'), 'P49', 0, null, 2013,null),</v>
      </c>
    </row>
    <row r="1603" spans="1:8" x14ac:dyDescent="0.25">
      <c r="A1603" s="9" t="s">
        <v>2135</v>
      </c>
      <c r="B1603" s="9" t="s">
        <v>1097</v>
      </c>
      <c r="C1603">
        <v>8</v>
      </c>
      <c r="D1603">
        <v>90</v>
      </c>
      <c r="E1603">
        <v>2013</v>
      </c>
      <c r="F1603" s="9" t="s">
        <v>2136</v>
      </c>
      <c r="H1603" s="20" t="str">
        <f t="shared" si="24"/>
        <v>(nextval('obj_part_id_seq'), (select id from obj_building_v where zip||'|'||street||'|'||name||'|'||volume = '9216|Schulstrasse 7|Primarschulanlage Schulhaus|2515.00'), 'P2', 8, 90, 2013,'Kaltdach mit Falzziegeleindeckung. Unterdach aus Holzschindlen. Holzwerk war wurmstichig, wurde aber 1980 behandelt.'),</v>
      </c>
    </row>
    <row r="1604" spans="1:8" x14ac:dyDescent="0.25">
      <c r="A1604" s="9" t="s">
        <v>2135</v>
      </c>
      <c r="B1604" s="9" t="s">
        <v>1099</v>
      </c>
      <c r="C1604">
        <v>0</v>
      </c>
      <c r="D1604" t="s">
        <v>4080</v>
      </c>
      <c r="E1604">
        <v>2013</v>
      </c>
      <c r="F1604" s="9"/>
      <c r="H1604" s="20" t="str">
        <f t="shared" si="24"/>
        <v>(nextval('obj_part_id_seq'), (select id from obj_building_v where zip||'|'||street||'|'||name||'|'||volume = '9216|Schulstrasse 7|Primarschulanlage Schulhaus|2515.00'), 'P3', 0, null, 2013,null),</v>
      </c>
    </row>
    <row r="1605" spans="1:8" x14ac:dyDescent="0.25">
      <c r="A1605" s="9" t="s">
        <v>2135</v>
      </c>
      <c r="B1605" s="9" t="s">
        <v>1100</v>
      </c>
      <c r="C1605">
        <v>7</v>
      </c>
      <c r="D1605">
        <v>90</v>
      </c>
      <c r="E1605">
        <v>2013</v>
      </c>
      <c r="F1605" s="9" t="s">
        <v>2137</v>
      </c>
      <c r="H1605" s="20" t="str">
        <f t="shared" ref="H1605:H1668" si="25">"(nextval('obj_part_id_seq'), (select id from obj_building_v where zip||'|'||street||'|'||name||'|'||volume = '"&amp;A1605&amp;"'), '"&amp;B1605&amp;"', "&amp;C1605&amp;", "&amp;D1605&amp;", "&amp;IF(ISBLANK(E1605),"null",E1605)&amp;","&amp;IF(ISBLANK(F1605),"null","'"&amp;F1605&amp;"'")&amp;"),"</f>
        <v>(nextval('obj_part_id_seq'), (select id from obj_building_v where zip||'|'||street||'|'||name||'|'||volume = '9216|Schulstrasse 7|Primarschulanlage Schulhaus|2515.00'), 'P4', 7, 90, 2013,'Mauerwerk, verputzt und gestrichen mit Friesen'),</v>
      </c>
    </row>
    <row r="1606" spans="1:8" x14ac:dyDescent="0.25">
      <c r="A1606" s="9" t="s">
        <v>2135</v>
      </c>
      <c r="B1606" s="9" t="s">
        <v>1102</v>
      </c>
      <c r="C1606">
        <v>10</v>
      </c>
      <c r="D1606">
        <v>80</v>
      </c>
      <c r="E1606">
        <v>2013</v>
      </c>
      <c r="F1606" s="9" t="s">
        <v>2138</v>
      </c>
      <c r="H1606" s="20" t="str">
        <f t="shared" si="25"/>
        <v>(nextval('obj_part_id_seq'), (select id from obj_building_v where zip||'|'||street||'|'||name||'|'||volume = '9216|Schulstrasse 7|Primarschulanlage Schulhaus|2515.00'), 'P5', 10, 80, 2013,'Holzmetall 3x IV 81, im Keller Holzmetall (keine IV), Oblichtfenster im Dach: Gläser tw. blind, Aussentüre und Garagentor aus Holz'),</v>
      </c>
    </row>
    <row r="1607" spans="1:8" x14ac:dyDescent="0.25">
      <c r="A1607" s="9" t="s">
        <v>2135</v>
      </c>
      <c r="B1607" s="9" t="s">
        <v>1164</v>
      </c>
      <c r="C1607">
        <v>6</v>
      </c>
      <c r="D1607">
        <v>90</v>
      </c>
      <c r="E1607">
        <v>2013</v>
      </c>
      <c r="F1607" s="9" t="s">
        <v>2139</v>
      </c>
      <c r="H1607" s="20" t="str">
        <f t="shared" si="25"/>
        <v>(nextval('obj_part_id_seq'), (select id from obj_building_v where zip||'|'||street||'|'||name||'|'||volume = '9216|Schulstrasse 7|Primarschulanlage Schulhaus|2515.00'), 'P50', 6, 90, 2013,'Genügende Absicherung mit FI-Schutzschaltern'),</v>
      </c>
    </row>
    <row r="1608" spans="1:8" x14ac:dyDescent="0.25">
      <c r="A1608" s="9" t="s">
        <v>2135</v>
      </c>
      <c r="B1608" s="9" t="s">
        <v>1166</v>
      </c>
      <c r="C1608">
        <v>1</v>
      </c>
      <c r="D1608">
        <v>90</v>
      </c>
      <c r="E1608">
        <v>2013</v>
      </c>
      <c r="F1608" s="9" t="s">
        <v>2140</v>
      </c>
      <c r="H1608" s="20" t="str">
        <f t="shared" si="25"/>
        <v>(nextval('obj_part_id_seq'), (select id from obj_building_v where zip||'|'||street||'|'||name||'|'||volume = '9216|Schulstrasse 7|Primarschulanlage Schulhaus|2515.00'), 'P51', 1, 90, 2013,'Telefon, EDV, Sonnerie'),</v>
      </c>
    </row>
    <row r="1609" spans="1:8" x14ac:dyDescent="0.25">
      <c r="A1609" s="9" t="s">
        <v>2135</v>
      </c>
      <c r="B1609" s="9" t="s">
        <v>1104</v>
      </c>
      <c r="C1609">
        <v>0</v>
      </c>
      <c r="D1609" t="s">
        <v>4080</v>
      </c>
      <c r="E1609">
        <v>2013</v>
      </c>
      <c r="F1609" s="9" t="s">
        <v>1235</v>
      </c>
      <c r="H1609" s="20" t="str">
        <f t="shared" si="25"/>
        <v>(nextval('obj_part_id_seq'), (select id from obj_building_v where zip||'|'||street||'|'||name||'|'||volume = '9216|Schulstrasse 7|Primarschulanlage Schulhaus|2515.00'), 'P6', 0, null, 2013,'Fernwärme'),</v>
      </c>
    </row>
    <row r="1610" spans="1:8" x14ac:dyDescent="0.25">
      <c r="A1610" s="9" t="s">
        <v>2135</v>
      </c>
      <c r="B1610" s="9" t="s">
        <v>1106</v>
      </c>
      <c r="C1610">
        <v>3</v>
      </c>
      <c r="D1610">
        <v>90</v>
      </c>
      <c r="E1610">
        <v>2013</v>
      </c>
      <c r="F1610" s="9" t="s">
        <v>1107</v>
      </c>
      <c r="H1610" s="20" t="str">
        <f t="shared" si="25"/>
        <v>(nextval('obj_part_id_seq'), (select id from obj_building_v where zip||'|'||street||'|'||name||'|'||volume = '9216|Schulstrasse 7|Primarschulanlage Schulhaus|2515.00'), 'P7', 3, 90, 2013,'Radiatoren mit Thermostaten'),</v>
      </c>
    </row>
    <row r="1611" spans="1:8" x14ac:dyDescent="0.25">
      <c r="A1611" s="9" t="s">
        <v>2135</v>
      </c>
      <c r="B1611" s="9" t="s">
        <v>1108</v>
      </c>
      <c r="C1611">
        <v>4</v>
      </c>
      <c r="D1611">
        <v>90</v>
      </c>
      <c r="E1611">
        <v>2013</v>
      </c>
      <c r="F1611" s="9" t="s">
        <v>2141</v>
      </c>
      <c r="H1611" s="20" t="str">
        <f t="shared" si="25"/>
        <v>(nextval('obj_part_id_seq'), (select id from obj_building_v where zip||'|'||street||'|'||name||'|'||volume = '9216|Schulstrasse 7|Primarschulanlage Schulhaus|2515.00'), 'P8', 4, 90, 2013,'Apparate und Armaturen mit Mischventilen, Leitungen i.O.'),</v>
      </c>
    </row>
    <row r="1612" spans="1:8" x14ac:dyDescent="0.25">
      <c r="A1612" s="9" t="s">
        <v>2135</v>
      </c>
      <c r="B1612" s="9" t="s">
        <v>1138</v>
      </c>
      <c r="C1612">
        <v>11</v>
      </c>
      <c r="D1612">
        <v>80</v>
      </c>
      <c r="E1612">
        <v>2013</v>
      </c>
      <c r="F1612" s="9" t="s">
        <v>2142</v>
      </c>
      <c r="H1612" s="20" t="str">
        <f t="shared" si="25"/>
        <v>(nextval('obj_part_id_seq'), (select id from obj_building_v where zip||'|'||street||'|'||name||'|'||volume = '9216|Schulstrasse 7|Primarschulanlage Schulhaus|2515.00'), 'P57', 11, 80, 2013,'Einbauschränke, Küchen und Arbeitsims. Geländer zu tief, Turmuhr und Glocke, Risse im Grundputz'),</v>
      </c>
    </row>
    <row r="1613" spans="1:8" x14ac:dyDescent="0.25">
      <c r="A1613" s="9" t="s">
        <v>2135</v>
      </c>
      <c r="B1613" s="9" t="s">
        <v>1140</v>
      </c>
      <c r="C1613">
        <v>8</v>
      </c>
      <c r="D1613">
        <v>90</v>
      </c>
      <c r="E1613">
        <v>2013</v>
      </c>
      <c r="F1613" s="9" t="s">
        <v>2143</v>
      </c>
      <c r="H1613" s="20" t="str">
        <f t="shared" si="25"/>
        <v>(nextval('obj_part_id_seq'), (select id from obj_building_v where zip||'|'||street||'|'||name||'|'||volume = '9216|Schulstrasse 7|Primarschulanlage Schulhaus|2515.00'), 'P58', 8, 90, 2013,'B: Linol, Glasfasertapeten, Tonziegelboden, Teppich und Mosaik-Keramikplatten W: Holzwände und Glasfasertapeten D: Holz und Akustikdecken'),</v>
      </c>
    </row>
    <row r="1614" spans="1:8" x14ac:dyDescent="0.25">
      <c r="A1614" s="9" t="s">
        <v>2135</v>
      </c>
      <c r="B1614" s="9" t="s">
        <v>1142</v>
      </c>
      <c r="C1614">
        <v>0</v>
      </c>
      <c r="D1614" t="s">
        <v>4080</v>
      </c>
      <c r="E1614">
        <v>2013</v>
      </c>
      <c r="F1614" s="9"/>
      <c r="H1614" s="20" t="str">
        <f t="shared" si="25"/>
        <v>(nextval('obj_part_id_seq'), (select id from obj_building_v where zip||'|'||street||'|'||name||'|'||volume = '9216|Schulstrasse 7|Primarschulanlage Schulhaus|2515.00'), 'P60', 0, null, 2013,null),</v>
      </c>
    </row>
    <row r="1615" spans="1:8" x14ac:dyDescent="0.25">
      <c r="A1615" s="9" t="s">
        <v>2135</v>
      </c>
      <c r="B1615" s="9" t="s">
        <v>1143</v>
      </c>
      <c r="C1615">
        <v>0</v>
      </c>
      <c r="D1615" t="s">
        <v>4080</v>
      </c>
      <c r="E1615">
        <v>2013</v>
      </c>
      <c r="F1615" s="9"/>
      <c r="H1615" s="20" t="str">
        <f t="shared" si="25"/>
        <v>(nextval('obj_part_id_seq'), (select id from obj_building_v where zip||'|'||street||'|'||name||'|'||volume = '9216|Schulstrasse 7|Primarschulanlage Schulhaus|2515.00'), 'P61', 0, null, 2013,null),</v>
      </c>
    </row>
    <row r="1616" spans="1:8" x14ac:dyDescent="0.25">
      <c r="A1616" s="9" t="s">
        <v>2135</v>
      </c>
      <c r="B1616" s="9" t="s">
        <v>1144</v>
      </c>
      <c r="C1616">
        <v>0</v>
      </c>
      <c r="D1616" t="s">
        <v>4080</v>
      </c>
      <c r="E1616">
        <v>2013</v>
      </c>
      <c r="F1616" s="9"/>
      <c r="H1616" s="20" t="str">
        <f t="shared" si="25"/>
        <v>(nextval('obj_part_id_seq'), (select id from obj_building_v where zip||'|'||street||'|'||name||'|'||volume = '9216|Schulstrasse 7|Primarschulanlage Schulhaus|2515.00'), 'P62', 0, null, 2013,null),</v>
      </c>
    </row>
    <row r="1617" spans="1:8" x14ac:dyDescent="0.25">
      <c r="A1617" s="9" t="s">
        <v>2144</v>
      </c>
      <c r="B1617" s="9" t="s">
        <v>1127</v>
      </c>
      <c r="C1617">
        <v>41</v>
      </c>
      <c r="D1617">
        <v>90</v>
      </c>
      <c r="E1617">
        <v>2013</v>
      </c>
      <c r="F1617" s="9" t="s">
        <v>2145</v>
      </c>
      <c r="H1617" s="20" t="str">
        <f t="shared" si="25"/>
        <v>(nextval('obj_part_id_seq'), (select id from obj_building_v where zip||'|'||street||'|'||name||'|'||volume = '9220|Ibergstrasse|Schulpavillon|3520.00'), 'P48', 41, 90, 2013,'Holzskelettbau, Einzelfundamente'),</v>
      </c>
    </row>
    <row r="1618" spans="1:8" x14ac:dyDescent="0.25">
      <c r="A1618" s="9" t="s">
        <v>2144</v>
      </c>
      <c r="B1618" s="9" t="s">
        <v>1129</v>
      </c>
      <c r="C1618">
        <v>0</v>
      </c>
      <c r="D1618" t="s">
        <v>4080</v>
      </c>
      <c r="E1618">
        <v>2013</v>
      </c>
      <c r="F1618" s="9"/>
      <c r="H1618" s="20" t="str">
        <f t="shared" si="25"/>
        <v>(nextval('obj_part_id_seq'), (select id from obj_building_v where zip||'|'||street||'|'||name||'|'||volume = '9220|Ibergstrasse|Schulpavillon|3520.00'), 'P49', 0, null, 2013,null),</v>
      </c>
    </row>
    <row r="1619" spans="1:8" x14ac:dyDescent="0.25">
      <c r="A1619" s="9" t="s">
        <v>2144</v>
      </c>
      <c r="B1619" s="9" t="s">
        <v>1097</v>
      </c>
      <c r="C1619">
        <v>8</v>
      </c>
      <c r="D1619">
        <v>90</v>
      </c>
      <c r="E1619">
        <v>2013</v>
      </c>
      <c r="F1619" s="9" t="s">
        <v>2146</v>
      </c>
      <c r="H1619" s="20" t="str">
        <f t="shared" si="25"/>
        <v>(nextval('obj_part_id_seq'), (select id from obj_building_v where zip||'|'||street||'|'||name||'|'||volume = '9220|Ibergstrasse|Schulpavillon|3520.00'), 'P2', 8, 90, 2013,'Vordach aus Glas/Metall (Pausenplatz)'),</v>
      </c>
    </row>
    <row r="1620" spans="1:8" x14ac:dyDescent="0.25">
      <c r="A1620" s="9" t="s">
        <v>2144</v>
      </c>
      <c r="B1620" s="9" t="s">
        <v>1099</v>
      </c>
      <c r="C1620">
        <v>0</v>
      </c>
      <c r="D1620" t="s">
        <v>4080</v>
      </c>
      <c r="E1620">
        <v>2013</v>
      </c>
      <c r="F1620" s="9"/>
      <c r="H1620" s="20" t="str">
        <f t="shared" si="25"/>
        <v>(nextval('obj_part_id_seq'), (select id from obj_building_v where zip||'|'||street||'|'||name||'|'||volume = '9220|Ibergstrasse|Schulpavillon|3520.00'), 'P3', 0, null, 2013,null),</v>
      </c>
    </row>
    <row r="1621" spans="1:8" x14ac:dyDescent="0.25">
      <c r="A1621" s="9" t="s">
        <v>2144</v>
      </c>
      <c r="B1621" s="9" t="s">
        <v>1100</v>
      </c>
      <c r="C1621">
        <v>7</v>
      </c>
      <c r="D1621">
        <v>85</v>
      </c>
      <c r="E1621">
        <v>2013</v>
      </c>
      <c r="F1621" s="9" t="s">
        <v>2147</v>
      </c>
      <c r="H1621" s="20" t="str">
        <f t="shared" si="25"/>
        <v>(nextval('obj_part_id_seq'), (select id from obj_building_v where zip||'|'||street||'|'||name||'|'||volume = '9220|Ibergstrasse|Schulpavillon|3520.00'), 'P4', 7, 85, 2013,'Holztäfer, Eternit(?)platten'),</v>
      </c>
    </row>
    <row r="1622" spans="1:8" x14ac:dyDescent="0.25">
      <c r="A1622" s="9" t="s">
        <v>2144</v>
      </c>
      <c r="B1622" s="9" t="s">
        <v>1102</v>
      </c>
      <c r="C1622">
        <v>10</v>
      </c>
      <c r="D1622">
        <v>90</v>
      </c>
      <c r="E1622">
        <v>2013</v>
      </c>
      <c r="F1622" s="9" t="s">
        <v>2148</v>
      </c>
      <c r="H1622" s="20" t="str">
        <f t="shared" si="25"/>
        <v>(nextval('obj_part_id_seq'), (select id from obj_building_v where zip||'|'||street||'|'||name||'|'||volume = '9220|Ibergstrasse|Schulpavillon|3520.00'), 'P5', 10, 90, 2013,'Doppelverglasung SSA IV 90/91, Rafflamellenstoren schwergängig'),</v>
      </c>
    </row>
    <row r="1623" spans="1:8" x14ac:dyDescent="0.25">
      <c r="A1623" s="9" t="s">
        <v>2144</v>
      </c>
      <c r="B1623" s="9" t="s">
        <v>1164</v>
      </c>
      <c r="C1623">
        <v>6</v>
      </c>
      <c r="D1623">
        <v>90</v>
      </c>
      <c r="E1623">
        <v>2013</v>
      </c>
      <c r="F1623" s="9" t="s">
        <v>2139</v>
      </c>
      <c r="H1623" s="20" t="str">
        <f t="shared" si="25"/>
        <v>(nextval('obj_part_id_seq'), (select id from obj_building_v where zip||'|'||street||'|'||name||'|'||volume = '9220|Ibergstrasse|Schulpavillon|3520.00'), 'P50', 6, 90, 2013,'Genügende Absicherung mit FI-Schutzschaltern'),</v>
      </c>
    </row>
    <row r="1624" spans="1:8" x14ac:dyDescent="0.25">
      <c r="A1624" s="9" t="s">
        <v>2144</v>
      </c>
      <c r="B1624" s="9" t="s">
        <v>1166</v>
      </c>
      <c r="C1624">
        <v>1</v>
      </c>
      <c r="D1624">
        <v>90</v>
      </c>
      <c r="E1624">
        <v>2013</v>
      </c>
      <c r="F1624" s="9" t="s">
        <v>1605</v>
      </c>
      <c r="H1624" s="20" t="str">
        <f t="shared" si="25"/>
        <v>(nextval('obj_part_id_seq'), (select id from obj_building_v where zip||'|'||street||'|'||name||'|'||volume = '9220|Ibergstrasse|Schulpavillon|3520.00'), 'P51', 1, 90, 2013,'Pausenglocke, Telefon, EDV'),</v>
      </c>
    </row>
    <row r="1625" spans="1:8" x14ac:dyDescent="0.25">
      <c r="A1625" s="9" t="s">
        <v>2144</v>
      </c>
      <c r="B1625" s="9" t="s">
        <v>1104</v>
      </c>
      <c r="C1625">
        <v>1</v>
      </c>
      <c r="D1625">
        <v>90</v>
      </c>
      <c r="E1625">
        <v>2013</v>
      </c>
      <c r="F1625" s="9" t="s">
        <v>2149</v>
      </c>
      <c r="H1625" s="20" t="str">
        <f t="shared" si="25"/>
        <v>(nextval('obj_part_id_seq'), (select id from obj_building_v where zip||'|'||street||'|'||name||'|'||volume = '9220|Ibergstrasse|Schulpavillon|3520.00'), 'P6', 1, 90, 2013,'Ölheizung'),</v>
      </c>
    </row>
    <row r="1626" spans="1:8" x14ac:dyDescent="0.25">
      <c r="A1626" s="9" t="s">
        <v>2144</v>
      </c>
      <c r="B1626" s="9" t="s">
        <v>1106</v>
      </c>
      <c r="C1626">
        <v>3</v>
      </c>
      <c r="D1626">
        <v>90</v>
      </c>
      <c r="E1626">
        <v>2013</v>
      </c>
      <c r="F1626" s="9" t="s">
        <v>2150</v>
      </c>
      <c r="H1626" s="20" t="str">
        <f t="shared" si="25"/>
        <v>(nextval('obj_part_id_seq'), (select id from obj_building_v where zip||'|'||street||'|'||name||'|'||volume = '9220|Ibergstrasse|Schulpavillon|3520.00'), 'P7', 3, 90, 2013,'Radiatoren mit Thermostaten, Konvektoren'),</v>
      </c>
    </row>
    <row r="1627" spans="1:8" x14ac:dyDescent="0.25">
      <c r="A1627" s="9" t="s">
        <v>2144</v>
      </c>
      <c r="B1627" s="9" t="s">
        <v>1108</v>
      </c>
      <c r="C1627">
        <v>4</v>
      </c>
      <c r="D1627">
        <v>90</v>
      </c>
      <c r="E1627">
        <v>2013</v>
      </c>
      <c r="F1627" s="9" t="s">
        <v>2151</v>
      </c>
      <c r="H1627" s="20" t="str">
        <f t="shared" si="25"/>
        <v>(nextval('obj_part_id_seq'), (select id from obj_building_v where zip||'|'||street||'|'||name||'|'||volume = '9220|Ibergstrasse|Schulpavillon|3520.00'), 'P8', 4, 90, 2013,'Boiler, Warmwasser wenig Druck'),</v>
      </c>
    </row>
    <row r="1628" spans="1:8" x14ac:dyDescent="0.25">
      <c r="A1628" s="9" t="s">
        <v>2144</v>
      </c>
      <c r="B1628" s="9" t="s">
        <v>1138</v>
      </c>
      <c r="C1628">
        <v>11</v>
      </c>
      <c r="D1628">
        <v>90</v>
      </c>
      <c r="E1628">
        <v>2013</v>
      </c>
      <c r="F1628" s="9" t="s">
        <v>2152</v>
      </c>
      <c r="H1628" s="20" t="str">
        <f t="shared" si="25"/>
        <v>(nextval('obj_part_id_seq'), (select id from obj_building_v where zip||'|'||street||'|'||name||'|'||volume = '9220|Ibergstrasse|Schulpavillon|3520.00'), 'P57', 11, 90, 2013,'Innere Verglasungen, Garderoben, Innentüren aus Holz, Fenstersimse, Vorhangbretter'),</v>
      </c>
    </row>
    <row r="1629" spans="1:8" x14ac:dyDescent="0.25">
      <c r="A1629" s="9" t="s">
        <v>2144</v>
      </c>
      <c r="B1629" s="9" t="s">
        <v>1140</v>
      </c>
      <c r="C1629">
        <v>8</v>
      </c>
      <c r="D1629">
        <v>90</v>
      </c>
      <c r="E1629">
        <v>2013</v>
      </c>
      <c r="F1629" s="9" t="s">
        <v>2153</v>
      </c>
      <c r="H1629" s="20" t="str">
        <f t="shared" si="25"/>
        <v>(nextval('obj_part_id_seq'), (select id from obj_building_v where zip||'|'||street||'|'||name||'|'||volume = '9220|Ibergstrasse|Schulpavillon|3520.00'), 'P58', 8, 90, 2013,'B: Linol und Laminat W: Glasfasertapeten D: Akustikdecken und Holz'),</v>
      </c>
    </row>
    <row r="1630" spans="1:8" x14ac:dyDescent="0.25">
      <c r="A1630" s="9" t="s">
        <v>2144</v>
      </c>
      <c r="B1630" s="9" t="s">
        <v>1142</v>
      </c>
      <c r="C1630">
        <v>0</v>
      </c>
      <c r="D1630" t="s">
        <v>4080</v>
      </c>
      <c r="E1630">
        <v>2013</v>
      </c>
      <c r="F1630" s="9"/>
      <c r="H1630" s="20" t="str">
        <f t="shared" si="25"/>
        <v>(nextval('obj_part_id_seq'), (select id from obj_building_v where zip||'|'||street||'|'||name||'|'||volume = '9220|Ibergstrasse|Schulpavillon|3520.00'), 'P60', 0, null, 2013,null),</v>
      </c>
    </row>
    <row r="1631" spans="1:8" x14ac:dyDescent="0.25">
      <c r="A1631" s="9" t="s">
        <v>2144</v>
      </c>
      <c r="B1631" s="9" t="s">
        <v>1143</v>
      </c>
      <c r="C1631">
        <v>0</v>
      </c>
      <c r="D1631" t="s">
        <v>4080</v>
      </c>
      <c r="E1631">
        <v>2013</v>
      </c>
      <c r="F1631" s="9"/>
      <c r="H1631" s="20" t="str">
        <f t="shared" si="25"/>
        <v>(nextval('obj_part_id_seq'), (select id from obj_building_v where zip||'|'||street||'|'||name||'|'||volume = '9220|Ibergstrasse|Schulpavillon|3520.00'), 'P61', 0, null, 2013,null),</v>
      </c>
    </row>
    <row r="1632" spans="1:8" x14ac:dyDescent="0.25">
      <c r="A1632" s="9" t="s">
        <v>2144</v>
      </c>
      <c r="B1632" s="9" t="s">
        <v>1144</v>
      </c>
      <c r="C1632">
        <v>0</v>
      </c>
      <c r="D1632" t="s">
        <v>4080</v>
      </c>
      <c r="E1632">
        <v>2013</v>
      </c>
      <c r="F1632" s="9"/>
      <c r="H1632" s="20" t="str">
        <f t="shared" si="25"/>
        <v>(nextval('obj_part_id_seq'), (select id from obj_building_v where zip||'|'||street||'|'||name||'|'||volume = '9220|Ibergstrasse|Schulpavillon|3520.00'), 'P62', 0, null, 2013,null),</v>
      </c>
    </row>
    <row r="1633" spans="1:8" x14ac:dyDescent="0.25">
      <c r="A1633" s="9" t="s">
        <v>2154</v>
      </c>
      <c r="B1633" s="9" t="s">
        <v>1127</v>
      </c>
      <c r="C1633">
        <v>42</v>
      </c>
      <c r="D1633">
        <v>90</v>
      </c>
      <c r="E1633">
        <v>2013</v>
      </c>
      <c r="F1633" s="9" t="s">
        <v>2155</v>
      </c>
      <c r="H1633" s="20" t="str">
        <f t="shared" si="25"/>
        <v>(nextval('obj_part_id_seq'), (select id from obj_building_v where zip||'|'||street||'|'||name||'|'||volume = '9470|Churerstrasse 119|Schulhaus (Altbau) Räfis|4127.00'), 'P48', 42, 90, 2013,'Natursteinmauerwerk mit Holzbalkendecken, Stahlstütze im Klassenzimmer, Magazin: Holzständebau'),</v>
      </c>
    </row>
    <row r="1634" spans="1:8" x14ac:dyDescent="0.25">
      <c r="A1634" s="9" t="s">
        <v>2154</v>
      </c>
      <c r="B1634" s="9" t="s">
        <v>1129</v>
      </c>
      <c r="C1634">
        <v>0</v>
      </c>
      <c r="D1634" t="s">
        <v>4080</v>
      </c>
      <c r="E1634">
        <v>2013</v>
      </c>
      <c r="F1634" s="9"/>
      <c r="H1634" s="20" t="str">
        <f t="shared" si="25"/>
        <v>(nextval('obj_part_id_seq'), (select id from obj_building_v where zip||'|'||street||'|'||name||'|'||volume = '9470|Churerstrasse 119|Schulhaus (Altbau) Räfis|4127.00'), 'P49', 0, null, 2013,null),</v>
      </c>
    </row>
    <row r="1635" spans="1:8" x14ac:dyDescent="0.25">
      <c r="A1635" s="9" t="s">
        <v>2154</v>
      </c>
      <c r="B1635" s="9" t="s">
        <v>1097</v>
      </c>
      <c r="C1635">
        <v>8</v>
      </c>
      <c r="D1635">
        <v>80</v>
      </c>
      <c r="E1635">
        <v>2013</v>
      </c>
      <c r="F1635" s="9" t="s">
        <v>2156</v>
      </c>
      <c r="H1635" s="20" t="str">
        <f t="shared" si="25"/>
        <v>(nextval('obj_part_id_seq'), (select id from obj_building_v where zip||'|'||street||'|'||name||'|'||volume = '9470|Churerstrasse 119|Schulhaus (Altbau) Räfis|4127.00'), 'P2', 8, 80, 2013,'Walmdach mit Falzziegel mit Unterdach aus Holzschindeln, Dachraum grösstenteils ausgebaut und beheizt, Untersichten z.T. stark verwittert, Magazin: Satteldach mit Falzziegel, Holzschindelunterdach, keine Mängel bekannt'),</v>
      </c>
    </row>
    <row r="1636" spans="1:8" x14ac:dyDescent="0.25">
      <c r="A1636" s="9" t="s">
        <v>2154</v>
      </c>
      <c r="B1636" s="9" t="s">
        <v>1099</v>
      </c>
      <c r="C1636">
        <v>0</v>
      </c>
      <c r="D1636" t="s">
        <v>4080</v>
      </c>
      <c r="E1636">
        <v>2013</v>
      </c>
      <c r="F1636" s="9"/>
      <c r="H1636" s="20" t="str">
        <f t="shared" si="25"/>
        <v>(nextval('obj_part_id_seq'), (select id from obj_building_v where zip||'|'||street||'|'||name||'|'||volume = '9470|Churerstrasse 119|Schulhaus (Altbau) Räfis|4127.00'), 'P3', 0, null, 2013,null),</v>
      </c>
    </row>
    <row r="1637" spans="1:8" x14ac:dyDescent="0.25">
      <c r="A1637" s="9" t="s">
        <v>2154</v>
      </c>
      <c r="B1637" s="9" t="s">
        <v>1100</v>
      </c>
      <c r="C1637">
        <v>7</v>
      </c>
      <c r="D1637">
        <v>80</v>
      </c>
      <c r="E1637">
        <v>2013</v>
      </c>
      <c r="F1637" s="9" t="s">
        <v>2157</v>
      </c>
      <c r="H1637" s="20" t="str">
        <f t="shared" si="25"/>
        <v>(nextval('obj_part_id_seq'), (select id from obj_building_v where zip||'|'||street||'|'||name||'|'||volume = '9470|Churerstrasse 119|Schulhaus (Altbau) Räfis|4127.00'), 'P4', 7, 80, 2013,'Natursteinmauerwerk verputzt, Risse bei Aussenfassade, Sockelbereich und Turm, Natursteingewände, Magazin: Holz'),</v>
      </c>
    </row>
    <row r="1638" spans="1:8" x14ac:dyDescent="0.25">
      <c r="A1638" s="9" t="s">
        <v>2154</v>
      </c>
      <c r="B1638" s="9" t="s">
        <v>1102</v>
      </c>
      <c r="C1638">
        <v>10</v>
      </c>
      <c r="D1638">
        <v>85</v>
      </c>
      <c r="E1638">
        <v>2013</v>
      </c>
      <c r="F1638" s="9" t="s">
        <v>2158</v>
      </c>
      <c r="H1638" s="20" t="str">
        <f t="shared" si="25"/>
        <v>(nextval('obj_part_id_seq'), (select id from obj_building_v where zip||'|'||street||'|'||name||'|'||volume = '9470|Churerstrasse 119|Schulhaus (Altbau) Räfis|4127.00'), 'P5', 10, 85, 2013,'Holz-Metall, tw. Holzsprossenfenster, RL-Storen, Holzläden, Aussentüre aus Holz, z.T. noch Originalfenster vorhanden (im 1. OG), Magazin: Holzfenster (''87), Aussenschiebetor'),</v>
      </c>
    </row>
    <row r="1639" spans="1:8" x14ac:dyDescent="0.25">
      <c r="A1639" s="9" t="s">
        <v>2154</v>
      </c>
      <c r="B1639" s="9" t="s">
        <v>1164</v>
      </c>
      <c r="C1639">
        <v>6</v>
      </c>
      <c r="D1639">
        <v>90</v>
      </c>
      <c r="E1639">
        <v>2013</v>
      </c>
      <c r="F1639" s="9" t="s">
        <v>1254</v>
      </c>
      <c r="H1639" s="20" t="str">
        <f t="shared" si="25"/>
        <v>(nextval('obj_part_id_seq'), (select id from obj_building_v where zip||'|'||street||'|'||name||'|'||volume = '9470|Churerstrasse 119|Schulhaus (Altbau) Räfis|4127.00'), 'P50', 6, 90, 2013,'neuere Sicherungen'),</v>
      </c>
    </row>
    <row r="1640" spans="1:8" x14ac:dyDescent="0.25">
      <c r="A1640" s="9" t="s">
        <v>2154</v>
      </c>
      <c r="B1640" s="9" t="s">
        <v>1166</v>
      </c>
      <c r="C1640">
        <v>1</v>
      </c>
      <c r="D1640">
        <v>90</v>
      </c>
      <c r="E1640">
        <v>2013</v>
      </c>
      <c r="F1640" s="9" t="s">
        <v>1287</v>
      </c>
      <c r="H1640" s="20" t="str">
        <f t="shared" si="25"/>
        <v>(nextval('obj_part_id_seq'), (select id from obj_building_v where zip||'|'||street||'|'||name||'|'||volume = '9470|Churerstrasse 119|Schulhaus (Altbau) Räfis|4127.00'), 'P51', 1, 90, 2013,'Gong'),</v>
      </c>
    </row>
    <row r="1641" spans="1:8" x14ac:dyDescent="0.25">
      <c r="A1641" s="9" t="s">
        <v>2154</v>
      </c>
      <c r="B1641" s="9" t="s">
        <v>1104</v>
      </c>
      <c r="C1641">
        <v>0</v>
      </c>
      <c r="D1641" t="s">
        <v>4080</v>
      </c>
      <c r="E1641">
        <v>2013</v>
      </c>
      <c r="F1641" s="9" t="s">
        <v>1235</v>
      </c>
      <c r="H1641" s="20" t="str">
        <f t="shared" si="25"/>
        <v>(nextval('obj_part_id_seq'), (select id from obj_building_v where zip||'|'||street||'|'||name||'|'||volume = '9470|Churerstrasse 119|Schulhaus (Altbau) Räfis|4127.00'), 'P6', 0, null, 2013,'Fernwärme'),</v>
      </c>
    </row>
    <row r="1642" spans="1:8" x14ac:dyDescent="0.25">
      <c r="A1642" s="9" t="s">
        <v>2154</v>
      </c>
      <c r="B1642" s="9" t="s">
        <v>1106</v>
      </c>
      <c r="C1642">
        <v>3</v>
      </c>
      <c r="D1642">
        <v>90</v>
      </c>
      <c r="E1642">
        <v>2013</v>
      </c>
      <c r="F1642" s="9" t="s">
        <v>1107</v>
      </c>
      <c r="H1642" s="20" t="str">
        <f t="shared" si="25"/>
        <v>(nextval('obj_part_id_seq'), (select id from obj_building_v where zip||'|'||street||'|'||name||'|'||volume = '9470|Churerstrasse 119|Schulhaus (Altbau) Räfis|4127.00'), 'P7', 3, 90, 2013,'Radiatoren mit Thermostaten'),</v>
      </c>
    </row>
    <row r="1643" spans="1:8" x14ac:dyDescent="0.25">
      <c r="A1643" s="9" t="s">
        <v>2154</v>
      </c>
      <c r="B1643" s="9" t="s">
        <v>1108</v>
      </c>
      <c r="C1643">
        <v>4</v>
      </c>
      <c r="D1643">
        <v>90</v>
      </c>
      <c r="E1643">
        <v>2013</v>
      </c>
      <c r="F1643" s="9" t="s">
        <v>2159</v>
      </c>
      <c r="H1643" s="20" t="str">
        <f t="shared" si="25"/>
        <v>(nextval('obj_part_id_seq'), (select id from obj_building_v where zip||'|'||street||'|'||name||'|'||volume = '9470|Churerstrasse 119|Schulhaus (Altbau) Räfis|4127.00'), 'P8', 4, 90, 2013,'neuere Apparate, Leitungen: keine Mängel bekannt'),</v>
      </c>
    </row>
    <row r="1644" spans="1:8" x14ac:dyDescent="0.25">
      <c r="A1644" s="9" t="s">
        <v>2154</v>
      </c>
      <c r="B1644" s="9" t="s">
        <v>1138</v>
      </c>
      <c r="C1644">
        <v>11</v>
      </c>
      <c r="D1644">
        <v>90</v>
      </c>
      <c r="E1644">
        <v>2013</v>
      </c>
      <c r="F1644" s="9" t="s">
        <v>2160</v>
      </c>
      <c r="H1644" s="20" t="str">
        <f t="shared" si="25"/>
        <v>(nextval('obj_part_id_seq'), (select id from obj_building_v where zip||'|'||street||'|'||name||'|'||volume = '9470|Churerstrasse 119|Schulhaus (Altbau) Räfis|4127.00'), 'P57', 11, 90, 2013,'Garderobe, Einbauschränke massiv, Küche, Windfang'),</v>
      </c>
    </row>
    <row r="1645" spans="1:8" x14ac:dyDescent="0.25">
      <c r="A1645" s="9" t="s">
        <v>2154</v>
      </c>
      <c r="B1645" s="9" t="s">
        <v>1140</v>
      </c>
      <c r="C1645">
        <v>8</v>
      </c>
      <c r="D1645">
        <v>85</v>
      </c>
      <c r="E1645">
        <v>2013</v>
      </c>
      <c r="F1645" s="9" t="s">
        <v>2161</v>
      </c>
      <c r="H1645" s="20" t="str">
        <f t="shared" si="25"/>
        <v>(nextval('obj_part_id_seq'), (select id from obj_building_v where zip||'|'||street||'|'||name||'|'||volume = '9470|Churerstrasse 119|Schulhaus (Altbau) Räfis|4127.00'), 'P58', 8, 85, 2013,'B: Teppich, Parkett, Linol, Korklinol, PVC, Zementüberzug, W: Anstrich/Verputz im UG blättert tw. ab, Rauhfasertapete, D: Holz, Akustik, Gipskartonplatten'),</v>
      </c>
    </row>
    <row r="1646" spans="1:8" x14ac:dyDescent="0.25">
      <c r="A1646" s="9" t="s">
        <v>2154</v>
      </c>
      <c r="B1646" s="9" t="s">
        <v>1142</v>
      </c>
      <c r="C1646">
        <v>0</v>
      </c>
      <c r="D1646" t="s">
        <v>4080</v>
      </c>
      <c r="E1646">
        <v>2013</v>
      </c>
      <c r="F1646" s="9"/>
      <c r="H1646" s="20" t="str">
        <f t="shared" si="25"/>
        <v>(nextval('obj_part_id_seq'), (select id from obj_building_v where zip||'|'||street||'|'||name||'|'||volume = '9470|Churerstrasse 119|Schulhaus (Altbau) Räfis|4127.00'), 'P60', 0, null, 2013,null),</v>
      </c>
    </row>
    <row r="1647" spans="1:8" x14ac:dyDescent="0.25">
      <c r="A1647" s="9" t="s">
        <v>2154</v>
      </c>
      <c r="B1647" s="9" t="s">
        <v>1143</v>
      </c>
      <c r="C1647">
        <v>0</v>
      </c>
      <c r="D1647" t="s">
        <v>4080</v>
      </c>
      <c r="E1647">
        <v>2013</v>
      </c>
      <c r="F1647" s="9"/>
      <c r="H1647" s="20" t="str">
        <f t="shared" si="25"/>
        <v>(nextval('obj_part_id_seq'), (select id from obj_building_v where zip||'|'||street||'|'||name||'|'||volume = '9470|Churerstrasse 119|Schulhaus (Altbau) Räfis|4127.00'), 'P61', 0, null, 2013,null),</v>
      </c>
    </row>
    <row r="1648" spans="1:8" x14ac:dyDescent="0.25">
      <c r="A1648" s="9" t="s">
        <v>2154</v>
      </c>
      <c r="B1648" s="9" t="s">
        <v>1144</v>
      </c>
      <c r="C1648">
        <v>0</v>
      </c>
      <c r="D1648" t="s">
        <v>4080</v>
      </c>
      <c r="E1648">
        <v>2013</v>
      </c>
      <c r="F1648" s="9"/>
      <c r="H1648" s="20" t="str">
        <f t="shared" si="25"/>
        <v>(nextval('obj_part_id_seq'), (select id from obj_building_v where zip||'|'||street||'|'||name||'|'||volume = '9470|Churerstrasse 119|Schulhaus (Altbau) Räfis|4127.00'), 'P62', 0, null, 2013,null),</v>
      </c>
    </row>
    <row r="1649" spans="1:8" x14ac:dyDescent="0.25">
      <c r="A1649" s="9" t="s">
        <v>2162</v>
      </c>
      <c r="B1649" s="9" t="s">
        <v>1127</v>
      </c>
      <c r="C1649">
        <v>39</v>
      </c>
      <c r="D1649">
        <v>90</v>
      </c>
      <c r="E1649">
        <v>2013</v>
      </c>
      <c r="F1649" s="9" t="s">
        <v>1399</v>
      </c>
      <c r="H1649" s="20" t="str">
        <f t="shared" si="25"/>
        <v>(nextval('obj_part_id_seq'), (select id from obj_building_v where zip||'|'||street||'|'||name||'|'||volume = '9470|Churerstrasse 119|Magazin|291.00'), 'P48', 39, 90, 2013,'Holzständerbau'),</v>
      </c>
    </row>
    <row r="1650" spans="1:8" x14ac:dyDescent="0.25">
      <c r="A1650" s="9" t="s">
        <v>2162</v>
      </c>
      <c r="B1650" s="9" t="s">
        <v>1129</v>
      </c>
      <c r="C1650">
        <v>0</v>
      </c>
      <c r="D1650" t="s">
        <v>4080</v>
      </c>
      <c r="E1650">
        <v>2013</v>
      </c>
      <c r="F1650" s="9"/>
      <c r="H1650" s="20" t="str">
        <f t="shared" si="25"/>
        <v>(nextval('obj_part_id_seq'), (select id from obj_building_v where zip||'|'||street||'|'||name||'|'||volume = '9470|Churerstrasse 119|Magazin|291.00'), 'P49', 0, null, 2013,null),</v>
      </c>
    </row>
    <row r="1651" spans="1:8" x14ac:dyDescent="0.25">
      <c r="A1651" s="9" t="s">
        <v>2162</v>
      </c>
      <c r="B1651" s="9" t="s">
        <v>1097</v>
      </c>
      <c r="C1651">
        <v>10</v>
      </c>
      <c r="D1651">
        <v>90</v>
      </c>
      <c r="E1651">
        <v>2013</v>
      </c>
      <c r="F1651" s="9" t="s">
        <v>2163</v>
      </c>
      <c r="H1651" s="20" t="str">
        <f t="shared" si="25"/>
        <v>(nextval('obj_part_id_seq'), (select id from obj_building_v where zip||'|'||street||'|'||name||'|'||volume = '9470|Churerstrasse 119|Magazin|291.00'), 'P2', 10, 90, 2013,'Satteldach mit Falzziegel, Holzschindelunterdach, keine Mängel bekannt'),</v>
      </c>
    </row>
    <row r="1652" spans="1:8" x14ac:dyDescent="0.25">
      <c r="A1652" s="9" t="s">
        <v>2162</v>
      </c>
      <c r="B1652" s="9" t="s">
        <v>1099</v>
      </c>
      <c r="C1652">
        <v>0</v>
      </c>
      <c r="D1652" t="s">
        <v>4080</v>
      </c>
      <c r="E1652">
        <v>2013</v>
      </c>
      <c r="F1652" s="9"/>
      <c r="H1652" s="20" t="str">
        <f t="shared" si="25"/>
        <v>(nextval('obj_part_id_seq'), (select id from obj_building_v where zip||'|'||street||'|'||name||'|'||volume = '9470|Churerstrasse 119|Magazin|291.00'), 'P3', 0, null, 2013,null),</v>
      </c>
    </row>
    <row r="1653" spans="1:8" x14ac:dyDescent="0.25">
      <c r="A1653" s="9" t="s">
        <v>2162</v>
      </c>
      <c r="B1653" s="9" t="s">
        <v>1100</v>
      </c>
      <c r="C1653">
        <v>6</v>
      </c>
      <c r="D1653">
        <v>90</v>
      </c>
      <c r="E1653">
        <v>2013</v>
      </c>
      <c r="F1653" s="9" t="s">
        <v>1305</v>
      </c>
      <c r="H1653" s="20" t="str">
        <f t="shared" si="25"/>
        <v>(nextval('obj_part_id_seq'), (select id from obj_building_v where zip||'|'||street||'|'||name||'|'||volume = '9470|Churerstrasse 119|Magazin|291.00'), 'P4', 6, 90, 2013,'Holz'),</v>
      </c>
    </row>
    <row r="1654" spans="1:8" x14ac:dyDescent="0.25">
      <c r="A1654" s="9" t="s">
        <v>2162</v>
      </c>
      <c r="B1654" s="9" t="s">
        <v>1102</v>
      </c>
      <c r="C1654">
        <v>15</v>
      </c>
      <c r="D1654">
        <v>90</v>
      </c>
      <c r="E1654">
        <v>2013</v>
      </c>
      <c r="F1654" s="9" t="s">
        <v>2164</v>
      </c>
      <c r="H1654" s="20" t="str">
        <f t="shared" si="25"/>
        <v>(nextval('obj_part_id_seq'), (select id from obj_building_v where zip||'|'||street||'|'||name||'|'||volume = '9470|Churerstrasse 119|Magazin|291.00'), 'P5', 15, 90, 2013,'Holz-Metall, Holz (''87), Holzläden, Aussenschiebetor'),</v>
      </c>
    </row>
    <row r="1655" spans="1:8" x14ac:dyDescent="0.25">
      <c r="A1655" s="9" t="s">
        <v>2162</v>
      </c>
      <c r="B1655" s="9" t="s">
        <v>1110</v>
      </c>
      <c r="C1655">
        <v>9</v>
      </c>
      <c r="D1655">
        <v>90</v>
      </c>
      <c r="E1655">
        <v>2013</v>
      </c>
      <c r="F1655" s="9" t="s">
        <v>1295</v>
      </c>
      <c r="H1655" s="20" t="str">
        <f t="shared" si="25"/>
        <v>(nextval('obj_part_id_seq'), (select id from obj_building_v where zip||'|'||street||'|'||name||'|'||volume = '9470|Churerstrasse 119|Magazin|291.00'), 'P9', 9, 90, 2013,'Beleuchtung'),</v>
      </c>
    </row>
    <row r="1656" spans="1:8" x14ac:dyDescent="0.25">
      <c r="A1656" s="9" t="s">
        <v>2162</v>
      </c>
      <c r="B1656" s="9" t="s">
        <v>1104</v>
      </c>
      <c r="C1656">
        <v>0</v>
      </c>
      <c r="D1656" t="s">
        <v>4080</v>
      </c>
      <c r="E1656">
        <v>2013</v>
      </c>
      <c r="F1656" s="9"/>
      <c r="H1656" s="20" t="str">
        <f t="shared" si="25"/>
        <v>(nextval('obj_part_id_seq'), (select id from obj_building_v where zip||'|'||street||'|'||name||'|'||volume = '9470|Churerstrasse 119|Magazin|291.00'), 'P6', 0, null, 2013,null),</v>
      </c>
    </row>
    <row r="1657" spans="1:8" x14ac:dyDescent="0.25">
      <c r="A1657" s="9" t="s">
        <v>2162</v>
      </c>
      <c r="B1657" s="9" t="s">
        <v>1106</v>
      </c>
      <c r="C1657">
        <v>0</v>
      </c>
      <c r="D1657" t="s">
        <v>4080</v>
      </c>
      <c r="E1657">
        <v>2013</v>
      </c>
      <c r="F1657" s="9"/>
      <c r="H1657" s="20" t="str">
        <f t="shared" si="25"/>
        <v>(nextval('obj_part_id_seq'), (select id from obj_building_v where zip||'|'||street||'|'||name||'|'||volume = '9470|Churerstrasse 119|Magazin|291.00'), 'P7', 0, null, 2013,null),</v>
      </c>
    </row>
    <row r="1658" spans="1:8" x14ac:dyDescent="0.25">
      <c r="A1658" s="9" t="s">
        <v>2162</v>
      </c>
      <c r="B1658" s="9" t="s">
        <v>1403</v>
      </c>
      <c r="C1658">
        <v>0</v>
      </c>
      <c r="D1658" t="s">
        <v>4080</v>
      </c>
      <c r="E1658">
        <v>2013</v>
      </c>
      <c r="F1658" s="9"/>
      <c r="H1658" s="20" t="str">
        <f t="shared" si="25"/>
        <v>(nextval('obj_part_id_seq'), (select id from obj_building_v where zip||'|'||street||'|'||name||'|'||volume = '9470|Churerstrasse 119|Magazin|291.00'), 'P52', 0, null, 2013,null),</v>
      </c>
    </row>
    <row r="1659" spans="1:8" x14ac:dyDescent="0.25">
      <c r="A1659" s="9" t="s">
        <v>2162</v>
      </c>
      <c r="B1659" s="9" t="s">
        <v>1404</v>
      </c>
      <c r="C1659">
        <v>0</v>
      </c>
      <c r="D1659" t="s">
        <v>4080</v>
      </c>
      <c r="E1659">
        <v>2013</v>
      </c>
      <c r="F1659" s="9"/>
      <c r="H1659" s="20" t="str">
        <f t="shared" si="25"/>
        <v>(nextval('obj_part_id_seq'), (select id from obj_building_v where zip||'|'||street||'|'||name||'|'||volume = '9470|Churerstrasse 119|Magazin|291.00'), 'P53', 0, null, 2013,null),</v>
      </c>
    </row>
    <row r="1660" spans="1:8" x14ac:dyDescent="0.25">
      <c r="A1660" s="9" t="s">
        <v>2162</v>
      </c>
      <c r="B1660" s="9" t="s">
        <v>1108</v>
      </c>
      <c r="C1660">
        <v>4</v>
      </c>
      <c r="D1660">
        <v>90</v>
      </c>
      <c r="E1660">
        <v>2013</v>
      </c>
      <c r="F1660" s="9" t="s">
        <v>2165</v>
      </c>
      <c r="H1660" s="20" t="str">
        <f t="shared" si="25"/>
        <v>(nextval('obj_part_id_seq'), (select id from obj_building_v where zip||'|'||street||'|'||name||'|'||volume = '9470|Churerstrasse 119|Magazin|291.00'), 'P8', 4, 90, 2013,'Apparate älter, jedoch funktiontstüchtig'),</v>
      </c>
    </row>
    <row r="1661" spans="1:8" x14ac:dyDescent="0.25">
      <c r="A1661" s="9" t="s">
        <v>2162</v>
      </c>
      <c r="B1661" s="9" t="s">
        <v>1155</v>
      </c>
      <c r="C1661">
        <v>0</v>
      </c>
      <c r="D1661" t="s">
        <v>4080</v>
      </c>
      <c r="E1661">
        <v>2013</v>
      </c>
      <c r="F1661" s="9"/>
      <c r="H1661" s="20" t="str">
        <f t="shared" si="25"/>
        <v>(nextval('obj_part_id_seq'), (select id from obj_building_v where zip||'|'||street||'|'||name||'|'||volume = '9470|Churerstrasse 119|Magazin|291.00'), 'P56', 0, null, 2013,null),</v>
      </c>
    </row>
    <row r="1662" spans="1:8" x14ac:dyDescent="0.25">
      <c r="A1662" s="9" t="s">
        <v>2162</v>
      </c>
      <c r="B1662" s="9" t="s">
        <v>1138</v>
      </c>
      <c r="C1662">
        <v>10</v>
      </c>
      <c r="D1662">
        <v>90</v>
      </c>
      <c r="E1662">
        <v>2013</v>
      </c>
      <c r="F1662" s="9"/>
      <c r="H1662" s="20" t="str">
        <f t="shared" si="25"/>
        <v>(nextval('obj_part_id_seq'), (select id from obj_building_v where zip||'|'||street||'|'||name||'|'||volume = '9470|Churerstrasse 119|Magazin|291.00'), 'P57', 10, 90, 2013,null),</v>
      </c>
    </row>
    <row r="1663" spans="1:8" x14ac:dyDescent="0.25">
      <c r="A1663" s="9" t="s">
        <v>2162</v>
      </c>
      <c r="B1663" s="9" t="s">
        <v>1140</v>
      </c>
      <c r="C1663">
        <v>7</v>
      </c>
      <c r="D1663">
        <v>90</v>
      </c>
      <c r="E1663">
        <v>2013</v>
      </c>
      <c r="F1663" s="9" t="s">
        <v>2166</v>
      </c>
      <c r="H1663" s="20" t="str">
        <f t="shared" si="25"/>
        <v>(nextval('obj_part_id_seq'), (select id from obj_building_v where zip||'|'||street||'|'||name||'|'||volume = '9470|Churerstrasse 119|Magazin|291.00'), 'P58', 7, 90, 2013,'B: Zementüberzug, D + W: Gipskartonplatten'),</v>
      </c>
    </row>
    <row r="1664" spans="1:8" x14ac:dyDescent="0.25">
      <c r="A1664" s="9" t="s">
        <v>2162</v>
      </c>
      <c r="B1664" s="9" t="s">
        <v>1142</v>
      </c>
      <c r="C1664">
        <v>0</v>
      </c>
      <c r="D1664" t="s">
        <v>4080</v>
      </c>
      <c r="E1664">
        <v>2013</v>
      </c>
      <c r="F1664" s="9"/>
      <c r="H1664" s="20" t="str">
        <f t="shared" si="25"/>
        <v>(nextval('obj_part_id_seq'), (select id from obj_building_v where zip||'|'||street||'|'||name||'|'||volume = '9470|Churerstrasse 119|Magazin|291.00'), 'P60', 0, null, 2013,null),</v>
      </c>
    </row>
    <row r="1665" spans="1:8" x14ac:dyDescent="0.25">
      <c r="A1665" s="9" t="s">
        <v>2162</v>
      </c>
      <c r="B1665" s="9" t="s">
        <v>1143</v>
      </c>
      <c r="C1665">
        <v>0</v>
      </c>
      <c r="D1665" t="s">
        <v>4080</v>
      </c>
      <c r="E1665">
        <v>2013</v>
      </c>
      <c r="F1665" s="9"/>
      <c r="H1665" s="20" t="str">
        <f t="shared" si="25"/>
        <v>(nextval('obj_part_id_seq'), (select id from obj_building_v where zip||'|'||street||'|'||name||'|'||volume = '9470|Churerstrasse 119|Magazin|291.00'), 'P61', 0, null, 2013,null),</v>
      </c>
    </row>
    <row r="1666" spans="1:8" x14ac:dyDescent="0.25">
      <c r="A1666" s="9" t="s">
        <v>2162</v>
      </c>
      <c r="B1666" s="9" t="s">
        <v>1144</v>
      </c>
      <c r="C1666">
        <v>0</v>
      </c>
      <c r="D1666" t="s">
        <v>4080</v>
      </c>
      <c r="E1666">
        <v>2013</v>
      </c>
      <c r="F1666" s="9"/>
      <c r="H1666" s="20" t="str">
        <f t="shared" si="25"/>
        <v>(nextval('obj_part_id_seq'), (select id from obj_building_v where zip||'|'||street||'|'||name||'|'||volume = '9470|Churerstrasse 119|Magazin|291.00'), 'P62', 0, null, 2013,null),</v>
      </c>
    </row>
    <row r="1667" spans="1:8" x14ac:dyDescent="0.25">
      <c r="A1667" s="9" t="s">
        <v>2167</v>
      </c>
      <c r="B1667" s="9" t="s">
        <v>1127</v>
      </c>
      <c r="C1667">
        <v>41</v>
      </c>
      <c r="D1667">
        <v>90</v>
      </c>
      <c r="E1667">
        <v>2013</v>
      </c>
      <c r="F1667" s="9" t="s">
        <v>2168</v>
      </c>
      <c r="H1667" s="20" t="str">
        <f t="shared" si="25"/>
        <v>(nextval('obj_part_id_seq'), (select id from obj_building_v where zip||'|'||street||'|'||name||'|'||volume = '9470|Churerstrasse 119|Turnhalle|1699.00'), 'P48', 41, 90, 2013,'Mauerwerk'),</v>
      </c>
    </row>
    <row r="1668" spans="1:8" x14ac:dyDescent="0.25">
      <c r="A1668" s="9" t="s">
        <v>2167</v>
      </c>
      <c r="B1668" s="9" t="s">
        <v>1129</v>
      </c>
      <c r="C1668">
        <v>0</v>
      </c>
      <c r="D1668" t="s">
        <v>4080</v>
      </c>
      <c r="E1668">
        <v>2013</v>
      </c>
      <c r="F1668" s="9"/>
      <c r="H1668" s="20" t="str">
        <f t="shared" si="25"/>
        <v>(nextval('obj_part_id_seq'), (select id from obj_building_v where zip||'|'||street||'|'||name||'|'||volume = '9470|Churerstrasse 119|Turnhalle|1699.00'), 'P49', 0, null, 2013,null),</v>
      </c>
    </row>
    <row r="1669" spans="1:8" x14ac:dyDescent="0.25">
      <c r="A1669" s="9" t="s">
        <v>2167</v>
      </c>
      <c r="B1669" s="9" t="s">
        <v>1097</v>
      </c>
      <c r="C1669">
        <v>8</v>
      </c>
      <c r="D1669">
        <v>85</v>
      </c>
      <c r="E1669">
        <v>2013</v>
      </c>
      <c r="F1669" s="9" t="s">
        <v>2169</v>
      </c>
      <c r="H1669" s="20" t="str">
        <f t="shared" ref="H1669:H1732" si="26">"(nextval('obj_part_id_seq'), (select id from obj_building_v where zip||'|'||street||'|'||name||'|'||volume = '"&amp;A1669&amp;"'), '"&amp;B1669&amp;"', "&amp;C1669&amp;", "&amp;D1669&amp;", "&amp;IF(ISBLANK(E1669),"null",E1669)&amp;","&amp;IF(ISBLANK(F1669),"null","'"&amp;F1669&amp;"'")&amp;"),"</f>
        <v>(nextval('obj_part_id_seq'), (select id from obj_building_v where zip||'|'||street||'|'||name||'|'||volume = '9470|Churerstrasse 119|Turnhalle|1699.00'), 'P2', 8, 85, 2013,'Satteldach mit Falzziegel, Untersichten mangelhaft, Dachraum konnte nicht besichtigt werden'),</v>
      </c>
    </row>
    <row r="1670" spans="1:8" x14ac:dyDescent="0.25">
      <c r="A1670" s="9" t="s">
        <v>2167</v>
      </c>
      <c r="B1670" s="9" t="s">
        <v>1099</v>
      </c>
      <c r="C1670">
        <v>0</v>
      </c>
      <c r="D1670" t="s">
        <v>4080</v>
      </c>
      <c r="E1670">
        <v>2013</v>
      </c>
      <c r="F1670" s="9"/>
      <c r="H1670" s="20" t="str">
        <f t="shared" si="26"/>
        <v>(nextval('obj_part_id_seq'), (select id from obj_building_v where zip||'|'||street||'|'||name||'|'||volume = '9470|Churerstrasse 119|Turnhalle|1699.00'), 'P3', 0, null, 2013,null),</v>
      </c>
    </row>
    <row r="1671" spans="1:8" x14ac:dyDescent="0.25">
      <c r="A1671" s="9" t="s">
        <v>2167</v>
      </c>
      <c r="B1671" s="9" t="s">
        <v>1100</v>
      </c>
      <c r="C1671">
        <v>7</v>
      </c>
      <c r="D1671">
        <v>80</v>
      </c>
      <c r="E1671">
        <v>2013</v>
      </c>
      <c r="F1671" s="9" t="s">
        <v>2170</v>
      </c>
      <c r="H1671" s="20" t="str">
        <f t="shared" si="26"/>
        <v>(nextval('obj_part_id_seq'), (select id from obj_building_v where zip||'|'||street||'|'||name||'|'||volume = '9470|Churerstrasse 119|Turnhalle|1699.00'), 'P4', 7, 80, 2013,'Mauerwerk verputzt, tw. grössere Risse und stellenweise Abplatzungen vorhanden'),</v>
      </c>
    </row>
    <row r="1672" spans="1:8" x14ac:dyDescent="0.25">
      <c r="A1672" s="9" t="s">
        <v>2167</v>
      </c>
      <c r="B1672" s="9" t="s">
        <v>1102</v>
      </c>
      <c r="C1672">
        <v>10</v>
      </c>
      <c r="D1672">
        <v>80</v>
      </c>
      <c r="E1672">
        <v>2013</v>
      </c>
      <c r="F1672" s="9" t="s">
        <v>2171</v>
      </c>
      <c r="H1672" s="20" t="str">
        <f t="shared" si="26"/>
        <v>(nextval('obj_part_id_seq'), (select id from obj_building_v where zip||'|'||street||'|'||name||'|'||volume = '9470|Churerstrasse 119|Turnhalle|1699.00'), 'P5', 10, 80, 2013,'Holz-Metall 1987, RL-Storen elektr., alte Doppelverglasungsfenster aus Holz mit Holzgewänden (tw. stark verwittert), Kunststofffenster in Garderoben, Aussentüre aus Holz'),</v>
      </c>
    </row>
    <row r="1673" spans="1:8" x14ac:dyDescent="0.25">
      <c r="A1673" s="9" t="s">
        <v>2167</v>
      </c>
      <c r="B1673" s="9" t="s">
        <v>1164</v>
      </c>
      <c r="C1673">
        <v>6</v>
      </c>
      <c r="D1673">
        <v>80</v>
      </c>
      <c r="E1673">
        <v>2013</v>
      </c>
      <c r="F1673" s="9" t="s">
        <v>2172</v>
      </c>
      <c r="H1673" s="20" t="str">
        <f t="shared" si="26"/>
        <v>(nextval('obj_part_id_seq'), (select id from obj_building_v where zip||'|'||street||'|'||name||'|'||volume = '9470|Churerstrasse 119|Turnhalle|1699.00'), 'P50', 6, 80, 2013,'Keramiksicherungen, Beleuchtung älter'),</v>
      </c>
    </row>
    <row r="1674" spans="1:8" x14ac:dyDescent="0.25">
      <c r="A1674" s="9" t="s">
        <v>2167</v>
      </c>
      <c r="B1674" s="9" t="s">
        <v>1166</v>
      </c>
      <c r="C1674">
        <v>1</v>
      </c>
      <c r="D1674">
        <v>90</v>
      </c>
      <c r="E1674">
        <v>2013</v>
      </c>
      <c r="F1674" s="9" t="s">
        <v>1393</v>
      </c>
      <c r="H1674" s="20" t="str">
        <f t="shared" si="26"/>
        <v>(nextval('obj_part_id_seq'), (select id from obj_building_v where zip||'|'||street||'|'||name||'|'||volume = '9470|Churerstrasse 119|Turnhalle|1699.00'), 'P51', 1, 90, 2013,'Uhr, Gong'),</v>
      </c>
    </row>
    <row r="1675" spans="1:8" x14ac:dyDescent="0.25">
      <c r="A1675" s="9" t="s">
        <v>2167</v>
      </c>
      <c r="B1675" s="9" t="s">
        <v>1104</v>
      </c>
      <c r="C1675">
        <v>1</v>
      </c>
      <c r="D1675">
        <v>90</v>
      </c>
      <c r="E1675">
        <v>2013</v>
      </c>
      <c r="F1675" s="9" t="s">
        <v>2173</v>
      </c>
      <c r="H1675" s="20" t="str">
        <f t="shared" si="26"/>
        <v>(nextval('obj_part_id_seq'), (select id from obj_building_v where zip||'|'||street||'|'||name||'|'||volume = '9470|Churerstrasse 119|Turnhalle|1699.00'), 'P6', 1, 90, 2013,'Wärmeerzeugung ist gleichzeitig Wärmeverteilung'),</v>
      </c>
    </row>
    <row r="1676" spans="1:8" x14ac:dyDescent="0.25">
      <c r="A1676" s="9" t="s">
        <v>2167</v>
      </c>
      <c r="B1676" s="9" t="s">
        <v>1106</v>
      </c>
      <c r="C1676">
        <v>3</v>
      </c>
      <c r="D1676">
        <v>90</v>
      </c>
      <c r="E1676">
        <v>2013</v>
      </c>
      <c r="F1676" s="9" t="s">
        <v>1460</v>
      </c>
      <c r="H1676" s="20" t="str">
        <f t="shared" si="26"/>
        <v>(nextval('obj_part_id_seq'), (select id from obj_building_v where zip||'|'||street||'|'||name||'|'||volume = '9470|Churerstrasse 119|Turnhalle|1699.00'), 'P7', 3, 90, 2013,'Lüftungsheizung'),</v>
      </c>
    </row>
    <row r="1677" spans="1:8" x14ac:dyDescent="0.25">
      <c r="A1677" s="9" t="s">
        <v>2167</v>
      </c>
      <c r="B1677" s="9" t="s">
        <v>1108</v>
      </c>
      <c r="C1677">
        <v>4</v>
      </c>
      <c r="D1677">
        <v>80</v>
      </c>
      <c r="E1677">
        <v>2013</v>
      </c>
      <c r="F1677" s="9" t="s">
        <v>2174</v>
      </c>
      <c r="H1677" s="20" t="str">
        <f t="shared" si="26"/>
        <v>(nextval('obj_part_id_seq'), (select id from obj_building_v where zip||'|'||street||'|'||name||'|'||volume = '9470|Churerstrasse 119|Turnhalle|1699.00'), 'P8', 4, 80, 2013,'Apparate älter, aber funktionstüchtig, Leitungen nicht isoliert, Elektroboiler'),</v>
      </c>
    </row>
    <row r="1678" spans="1:8" x14ac:dyDescent="0.25">
      <c r="A1678" s="9" t="s">
        <v>2167</v>
      </c>
      <c r="B1678" s="9" t="s">
        <v>1138</v>
      </c>
      <c r="C1678">
        <v>11</v>
      </c>
      <c r="D1678">
        <v>90</v>
      </c>
      <c r="E1678">
        <v>2013</v>
      </c>
      <c r="F1678" s="9" t="s">
        <v>2175</v>
      </c>
      <c r="H1678" s="20" t="str">
        <f t="shared" si="26"/>
        <v>(nextval('obj_part_id_seq'), (select id from obj_building_v where zip||'|'||street||'|'||name||'|'||volume = '9470|Churerstrasse 119|Turnhalle|1699.00'), 'P57', 11, 90, 2013,'Garderobe, Einbauschränke, Sprossenwand'),</v>
      </c>
    </row>
    <row r="1679" spans="1:8" x14ac:dyDescent="0.25">
      <c r="A1679" s="9" t="s">
        <v>2167</v>
      </c>
      <c r="B1679" s="9" t="s">
        <v>1140</v>
      </c>
      <c r="C1679">
        <v>8</v>
      </c>
      <c r="D1679">
        <v>90</v>
      </c>
      <c r="E1679">
        <v>2013</v>
      </c>
      <c r="F1679" s="9" t="s">
        <v>2176</v>
      </c>
      <c r="H1679" s="20" t="str">
        <f t="shared" si="26"/>
        <v>(nextval('obj_part_id_seq'), (select id from obj_building_v where zip||'|'||street||'|'||name||'|'||volume = '9470|Churerstrasse 119|Turnhalle|1699.00'), 'P58', 8, 90, 2013,'B: Turnhallenboden, Keramik, W: Holz, Keramik, D: Holzfaser, Täfer, Heraklith, Verputz'),</v>
      </c>
    </row>
    <row r="1680" spans="1:8" x14ac:dyDescent="0.25">
      <c r="A1680" s="9" t="s">
        <v>2167</v>
      </c>
      <c r="B1680" s="9" t="s">
        <v>1142</v>
      </c>
      <c r="C1680">
        <v>0</v>
      </c>
      <c r="D1680" t="s">
        <v>4080</v>
      </c>
      <c r="E1680">
        <v>2013</v>
      </c>
      <c r="F1680" s="9"/>
      <c r="H1680" s="20" t="str">
        <f t="shared" si="26"/>
        <v>(nextval('obj_part_id_seq'), (select id from obj_building_v where zip||'|'||street||'|'||name||'|'||volume = '9470|Churerstrasse 119|Turnhalle|1699.00'), 'P60', 0, null, 2013,null),</v>
      </c>
    </row>
    <row r="1681" spans="1:8" x14ac:dyDescent="0.25">
      <c r="A1681" s="9" t="s">
        <v>2167</v>
      </c>
      <c r="B1681" s="9" t="s">
        <v>1143</v>
      </c>
      <c r="C1681">
        <v>0</v>
      </c>
      <c r="D1681" t="s">
        <v>4080</v>
      </c>
      <c r="E1681">
        <v>2013</v>
      </c>
      <c r="F1681" s="9"/>
      <c r="H1681" s="20" t="str">
        <f t="shared" si="26"/>
        <v>(nextval('obj_part_id_seq'), (select id from obj_building_v where zip||'|'||street||'|'||name||'|'||volume = '9470|Churerstrasse 119|Turnhalle|1699.00'), 'P61', 0, null, 2013,null),</v>
      </c>
    </row>
    <row r="1682" spans="1:8" x14ac:dyDescent="0.25">
      <c r="A1682" s="9" t="s">
        <v>2167</v>
      </c>
      <c r="B1682" s="9" t="s">
        <v>1144</v>
      </c>
      <c r="C1682">
        <v>0</v>
      </c>
      <c r="D1682" t="s">
        <v>4080</v>
      </c>
      <c r="E1682">
        <v>2013</v>
      </c>
      <c r="F1682" s="9"/>
      <c r="H1682" s="20" t="str">
        <f t="shared" si="26"/>
        <v>(nextval('obj_part_id_seq'), (select id from obj_building_v where zip||'|'||street||'|'||name||'|'||volume = '9470|Churerstrasse 119|Turnhalle|1699.00'), 'P62', 0, null, 2013,null),</v>
      </c>
    </row>
    <row r="1683" spans="1:8" x14ac:dyDescent="0.25">
      <c r="A1683" s="9" t="s">
        <v>2177</v>
      </c>
      <c r="B1683" s="9" t="s">
        <v>1127</v>
      </c>
      <c r="C1683">
        <v>42</v>
      </c>
      <c r="D1683">
        <v>90</v>
      </c>
      <c r="E1683">
        <v>2013</v>
      </c>
      <c r="F1683" s="9" t="s">
        <v>2178</v>
      </c>
      <c r="H1683" s="20" t="str">
        <f t="shared" si="26"/>
        <v>(nextval('obj_part_id_seq'), (select id from obj_building_v where zip||'|'||street||'|'||name||'|'||volume = '9470|Volksgartenstrasse 1|Kindergarten Kappeli mit Wohnung und Garage|1444.00'), 'P48', 42, 90, 2013,'Mauerwerk mit Holzbalkendecken, tw. Glasbausteine'),</v>
      </c>
    </row>
    <row r="1684" spans="1:8" x14ac:dyDescent="0.25">
      <c r="A1684" s="9" t="s">
        <v>2177</v>
      </c>
      <c r="B1684" s="9" t="s">
        <v>1129</v>
      </c>
      <c r="C1684">
        <v>0</v>
      </c>
      <c r="D1684" t="s">
        <v>4080</v>
      </c>
      <c r="E1684">
        <v>2013</v>
      </c>
      <c r="F1684" s="9"/>
      <c r="H1684" s="20" t="str">
        <f t="shared" si="26"/>
        <v>(nextval('obj_part_id_seq'), (select id from obj_building_v where zip||'|'||street||'|'||name||'|'||volume = '9470|Volksgartenstrasse 1|Kindergarten Kappeli mit Wohnung und Garage|1444.00'), 'P49', 0, null, 2013,null),</v>
      </c>
    </row>
    <row r="1685" spans="1:8" x14ac:dyDescent="0.25">
      <c r="A1685" s="9" t="s">
        <v>2177</v>
      </c>
      <c r="B1685" s="9" t="s">
        <v>1097</v>
      </c>
      <c r="C1685">
        <v>8</v>
      </c>
      <c r="D1685">
        <v>90</v>
      </c>
      <c r="E1685">
        <v>2013</v>
      </c>
      <c r="F1685" s="9" t="s">
        <v>2179</v>
      </c>
      <c r="H1685" s="20" t="str">
        <f t="shared" si="26"/>
        <v>(nextval('obj_part_id_seq'), (select id from obj_building_v where zip||'|'||street||'|'||name||'|'||volume = '9470|Volksgartenstrasse 1|Kindergarten Kappeli mit Wohnung und Garage|1444.00'), 'P2', 8, 90, 2013,'Satteldach mit Falzziegel, Holzwerk in gutem Zustand, Holzschindelunterdach'),</v>
      </c>
    </row>
    <row r="1686" spans="1:8" x14ac:dyDescent="0.25">
      <c r="A1686" s="9" t="s">
        <v>2177</v>
      </c>
      <c r="B1686" s="9" t="s">
        <v>1099</v>
      </c>
      <c r="C1686">
        <v>0</v>
      </c>
      <c r="D1686" t="s">
        <v>4080</v>
      </c>
      <c r="E1686">
        <v>2013</v>
      </c>
      <c r="F1686" s="9"/>
      <c r="H1686" s="20" t="str">
        <f t="shared" si="26"/>
        <v>(nextval('obj_part_id_seq'), (select id from obj_building_v where zip||'|'||street||'|'||name||'|'||volume = '9470|Volksgartenstrasse 1|Kindergarten Kappeli mit Wohnung und Garage|1444.00'), 'P3', 0, null, 2013,null),</v>
      </c>
    </row>
    <row r="1687" spans="1:8" x14ac:dyDescent="0.25">
      <c r="A1687" s="9" t="s">
        <v>2177</v>
      </c>
      <c r="B1687" s="9" t="s">
        <v>1100</v>
      </c>
      <c r="C1687">
        <v>7</v>
      </c>
      <c r="D1687">
        <v>80</v>
      </c>
      <c r="E1687">
        <v>2013</v>
      </c>
      <c r="F1687" s="9" t="s">
        <v>2180</v>
      </c>
      <c r="H1687" s="20" t="str">
        <f t="shared" si="26"/>
        <v>(nextval('obj_part_id_seq'), (select id from obj_building_v where zip||'|'||street||'|'||name||'|'||volume = '9470|Volksgartenstrasse 1|Kindergarten Kappeli mit Wohnung und Garage|1444.00'), 'P4', 7, 80, 2013,'EG: KS-Sicht (tw. Verfärbungen und Riss unterhalb Fensterbank), Betongewände und -fensterbänke OG und tw. EG: Verputz, Balkon, im OG: Metallfensterbänke'),</v>
      </c>
    </row>
    <row r="1688" spans="1:8" x14ac:dyDescent="0.25">
      <c r="A1688" s="9" t="s">
        <v>2177</v>
      </c>
      <c r="B1688" s="9" t="s">
        <v>1102</v>
      </c>
      <c r="C1688">
        <v>10</v>
      </c>
      <c r="D1688">
        <v>85</v>
      </c>
      <c r="E1688">
        <v>2013</v>
      </c>
      <c r="F1688" s="9" t="s">
        <v>2181</v>
      </c>
      <c r="H1688" s="20" t="str">
        <f t="shared" si="26"/>
        <v>(nextval('obj_part_id_seq'), (select id from obj_building_v where zip||'|'||street||'|'||name||'|'||volume = '9470|Volksgartenstrasse 1|Kindergarten Kappeli mit Wohnung und Garage|1444.00'), 'P5', 10, 85, 2013,'Holz (''91), Holztüre ohne Gummilippen, vermutlich undicht, tw. Holzläden und RL-Storen im EG'),</v>
      </c>
    </row>
    <row r="1689" spans="1:8" x14ac:dyDescent="0.25">
      <c r="A1689" s="9" t="s">
        <v>2177</v>
      </c>
      <c r="B1689" s="9" t="s">
        <v>1164</v>
      </c>
      <c r="C1689">
        <v>6</v>
      </c>
      <c r="D1689">
        <v>90</v>
      </c>
      <c r="E1689">
        <v>2013</v>
      </c>
      <c r="F1689" s="9" t="s">
        <v>2182</v>
      </c>
      <c r="H1689" s="20" t="str">
        <f t="shared" si="26"/>
        <v>(nextval('obj_part_id_seq'), (select id from obj_building_v where zip||'|'||street||'|'||name||'|'||volume = '9470|Volksgartenstrasse 1|Kindergarten Kappeli mit Wohnung und Garage|1444.00'), 'P50', 6, 90, 2013,'tw. alte Keramiksicherungen und Schalter'),</v>
      </c>
    </row>
    <row r="1690" spans="1:8" x14ac:dyDescent="0.25">
      <c r="A1690" s="9" t="s">
        <v>2177</v>
      </c>
      <c r="B1690" s="9" t="s">
        <v>1166</v>
      </c>
      <c r="C1690">
        <v>1</v>
      </c>
      <c r="D1690">
        <v>90</v>
      </c>
      <c r="E1690">
        <v>2013</v>
      </c>
      <c r="F1690" s="9" t="s">
        <v>2183</v>
      </c>
      <c r="H1690" s="20" t="str">
        <f t="shared" si="26"/>
        <v>(nextval('obj_part_id_seq'), (select id from obj_building_v where zip||'|'||street||'|'||name||'|'||volume = '9470|Volksgartenstrasse 1|Kindergarten Kappeli mit Wohnung und Garage|1444.00'), 'P51', 1, 90, 2013,'Gong mit Sprechanlage'),</v>
      </c>
    </row>
    <row r="1691" spans="1:8" x14ac:dyDescent="0.25">
      <c r="A1691" s="9" t="s">
        <v>2177</v>
      </c>
      <c r="B1691" s="9" t="s">
        <v>1104</v>
      </c>
      <c r="C1691">
        <v>0</v>
      </c>
      <c r="D1691" t="s">
        <v>4080</v>
      </c>
      <c r="E1691">
        <v>2013</v>
      </c>
      <c r="F1691" s="9" t="s">
        <v>1235</v>
      </c>
      <c r="H1691" s="20" t="str">
        <f t="shared" si="26"/>
        <v>(nextval('obj_part_id_seq'), (select id from obj_building_v where zip||'|'||street||'|'||name||'|'||volume = '9470|Volksgartenstrasse 1|Kindergarten Kappeli mit Wohnung und Garage|1444.00'), 'P6', 0, null, 2013,'Fernwärme'),</v>
      </c>
    </row>
    <row r="1692" spans="1:8" x14ac:dyDescent="0.25">
      <c r="A1692" s="9" t="s">
        <v>2177</v>
      </c>
      <c r="B1692" s="9" t="s">
        <v>1106</v>
      </c>
      <c r="C1692">
        <v>3</v>
      </c>
      <c r="D1692">
        <v>90</v>
      </c>
      <c r="E1692">
        <v>2013</v>
      </c>
      <c r="F1692" s="9" t="s">
        <v>1107</v>
      </c>
      <c r="H1692" s="20" t="str">
        <f t="shared" si="26"/>
        <v>(nextval('obj_part_id_seq'), (select id from obj_building_v where zip||'|'||street||'|'||name||'|'||volume = '9470|Volksgartenstrasse 1|Kindergarten Kappeli mit Wohnung und Garage|1444.00'), 'P7', 3, 90, 2013,'Radiatoren mit Thermostaten'),</v>
      </c>
    </row>
    <row r="1693" spans="1:8" x14ac:dyDescent="0.25">
      <c r="A1693" s="9" t="s">
        <v>2177</v>
      </c>
      <c r="B1693" s="9" t="s">
        <v>1108</v>
      </c>
      <c r="C1693">
        <v>4</v>
      </c>
      <c r="D1693">
        <v>85</v>
      </c>
      <c r="E1693">
        <v>2013</v>
      </c>
      <c r="F1693" s="9" t="s">
        <v>2184</v>
      </c>
      <c r="H1693" s="20" t="str">
        <f t="shared" si="26"/>
        <v>(nextval('obj_part_id_seq'), (select id from obj_building_v where zip||'|'||street||'|'||name||'|'||volume = '9470|Volksgartenstrasse 1|Kindergarten Kappeli mit Wohnung und Garage|1444.00'), 'P8', 4, 85, 2013,'Apparate und Armaturen älter, jedoch funktionstüchtig'),</v>
      </c>
    </row>
    <row r="1694" spans="1:8" x14ac:dyDescent="0.25">
      <c r="A1694" s="9" t="s">
        <v>2177</v>
      </c>
      <c r="B1694" s="9" t="s">
        <v>1138</v>
      </c>
      <c r="C1694">
        <v>11</v>
      </c>
      <c r="D1694">
        <v>85</v>
      </c>
      <c r="E1694">
        <v>2013</v>
      </c>
      <c r="F1694" s="9" t="s">
        <v>2185</v>
      </c>
      <c r="H1694" s="20" t="str">
        <f t="shared" si="26"/>
        <v>(nextval('obj_part_id_seq'), (select id from obj_building_v where zip||'|'||street||'|'||name||'|'||volume = '9470|Volksgartenstrasse 1|Kindergarten Kappeli mit Wohnung und Garage|1444.00'), 'P57', 11, 85, 2013,'Garderobe, Vorhangbretter, Fenstersimse, Küche älter ohne GLK'),</v>
      </c>
    </row>
    <row r="1695" spans="1:8" x14ac:dyDescent="0.25">
      <c r="A1695" s="9" t="s">
        <v>2177</v>
      </c>
      <c r="B1695" s="9" t="s">
        <v>1140</v>
      </c>
      <c r="C1695">
        <v>8</v>
      </c>
      <c r="D1695">
        <v>90</v>
      </c>
      <c r="E1695">
        <v>2013</v>
      </c>
      <c r="F1695" s="9" t="s">
        <v>2186</v>
      </c>
      <c r="H1695" s="20" t="str">
        <f t="shared" si="26"/>
        <v>(nextval('obj_part_id_seq'), (select id from obj_building_v where zip||'|'||street||'|'||name||'|'||volume = '9470|Volksgartenstrasse 1|Kindergarten Kappeli mit Wohnung und Garage|1444.00'), 'P58', 8, 90, 2013,'B: Linol, Laminat, PVC, Kugelgarn, Spannteppich, Klinker, Kunststein, Keramik W: Kokosfasertapete, Rauhfasertapete, tw. Keramik, D: Holz, Heraklith., tw. Verputz'),</v>
      </c>
    </row>
    <row r="1696" spans="1:8" x14ac:dyDescent="0.25">
      <c r="A1696" s="9" t="s">
        <v>2177</v>
      </c>
      <c r="B1696" s="9" t="s">
        <v>1142</v>
      </c>
      <c r="C1696">
        <v>0</v>
      </c>
      <c r="D1696" t="s">
        <v>4080</v>
      </c>
      <c r="E1696">
        <v>2013</v>
      </c>
      <c r="F1696" s="9"/>
      <c r="H1696" s="20" t="str">
        <f t="shared" si="26"/>
        <v>(nextval('obj_part_id_seq'), (select id from obj_building_v where zip||'|'||street||'|'||name||'|'||volume = '9470|Volksgartenstrasse 1|Kindergarten Kappeli mit Wohnung und Garage|1444.00'), 'P60', 0, null, 2013,null),</v>
      </c>
    </row>
    <row r="1697" spans="1:8" x14ac:dyDescent="0.25">
      <c r="A1697" s="9" t="s">
        <v>2177</v>
      </c>
      <c r="B1697" s="9" t="s">
        <v>1143</v>
      </c>
      <c r="C1697">
        <v>0</v>
      </c>
      <c r="D1697" t="s">
        <v>4080</v>
      </c>
      <c r="E1697">
        <v>2013</v>
      </c>
      <c r="F1697" s="9"/>
      <c r="H1697" s="20" t="str">
        <f t="shared" si="26"/>
        <v>(nextval('obj_part_id_seq'), (select id from obj_building_v where zip||'|'||street||'|'||name||'|'||volume = '9470|Volksgartenstrasse 1|Kindergarten Kappeli mit Wohnung und Garage|1444.00'), 'P61', 0, null, 2013,null),</v>
      </c>
    </row>
    <row r="1698" spans="1:8" x14ac:dyDescent="0.25">
      <c r="A1698" s="9" t="s">
        <v>2177</v>
      </c>
      <c r="B1698" s="9" t="s">
        <v>1144</v>
      </c>
      <c r="C1698">
        <v>0</v>
      </c>
      <c r="D1698" t="s">
        <v>4080</v>
      </c>
      <c r="E1698">
        <v>2013</v>
      </c>
      <c r="F1698" s="9"/>
      <c r="H1698" s="20" t="str">
        <f t="shared" si="26"/>
        <v>(nextval('obj_part_id_seq'), (select id from obj_building_v where zip||'|'||street||'|'||name||'|'||volume = '9470|Volksgartenstrasse 1|Kindergarten Kappeli mit Wohnung und Garage|1444.00'), 'P62', 0, null, 2013,null),</v>
      </c>
    </row>
    <row r="1699" spans="1:8" x14ac:dyDescent="0.25">
      <c r="A1699" s="9" t="s">
        <v>2187</v>
      </c>
      <c r="B1699" s="9" t="s">
        <v>1127</v>
      </c>
      <c r="C1699">
        <v>41</v>
      </c>
      <c r="D1699">
        <v>90</v>
      </c>
      <c r="E1699">
        <v>2013</v>
      </c>
      <c r="F1699" s="9" t="s">
        <v>2188</v>
      </c>
      <c r="H1699" s="20" t="str">
        <f t="shared" si="26"/>
        <v>(nextval('obj_part_id_seq'), (select id from obj_building_v where zip||'|'||street||'|'||name||'|'||volume = '9470|Hanflandstr. 5|Schulhaus Hanfland|8296.00'), 'P48', 41, 90, 2013,'Mauerwerk, Stahlbeton mit Stahlstützen'),</v>
      </c>
    </row>
    <row r="1700" spans="1:8" x14ac:dyDescent="0.25">
      <c r="A1700" s="9" t="s">
        <v>2187</v>
      </c>
      <c r="B1700" s="9" t="s">
        <v>1129</v>
      </c>
      <c r="C1700">
        <v>0</v>
      </c>
      <c r="D1700" t="s">
        <v>4080</v>
      </c>
      <c r="E1700">
        <v>2013</v>
      </c>
      <c r="F1700" s="9"/>
      <c r="H1700" s="20" t="str">
        <f t="shared" si="26"/>
        <v>(nextval('obj_part_id_seq'), (select id from obj_building_v where zip||'|'||street||'|'||name||'|'||volume = '9470|Hanflandstr. 5|Schulhaus Hanfland|8296.00'), 'P49', 0, null, 2013,null),</v>
      </c>
    </row>
    <row r="1701" spans="1:8" x14ac:dyDescent="0.25">
      <c r="A1701" s="9" t="s">
        <v>2187</v>
      </c>
      <c r="B1701" s="9" t="s">
        <v>1097</v>
      </c>
      <c r="C1701">
        <v>8</v>
      </c>
      <c r="D1701">
        <v>90</v>
      </c>
      <c r="E1701">
        <v>2013</v>
      </c>
      <c r="F1701" s="9" t="s">
        <v>2189</v>
      </c>
      <c r="H1701" s="20" t="str">
        <f t="shared" si="26"/>
        <v>(nextval('obj_part_id_seq'), (select id from obj_building_v where zip||'|'||street||'|'||name||'|'||volume = '9470|Hanflandstr. 5|Schulhaus Hanfland|8296.00'), 'P2', 8, 90, 2013,'Doppelstehfalzdach aus Kupferblechen mit sehr geringer Neigung'),</v>
      </c>
    </row>
    <row r="1702" spans="1:8" x14ac:dyDescent="0.25">
      <c r="A1702" s="9" t="s">
        <v>2187</v>
      </c>
      <c r="B1702" s="9" t="s">
        <v>1099</v>
      </c>
      <c r="C1702">
        <v>0</v>
      </c>
      <c r="D1702" t="s">
        <v>4080</v>
      </c>
      <c r="E1702">
        <v>2013</v>
      </c>
      <c r="F1702" s="9"/>
      <c r="H1702" s="20" t="str">
        <f t="shared" si="26"/>
        <v>(nextval('obj_part_id_seq'), (select id from obj_building_v where zip||'|'||street||'|'||name||'|'||volume = '9470|Hanflandstr. 5|Schulhaus Hanfland|8296.00'), 'P3', 0, null, 2013,null),</v>
      </c>
    </row>
    <row r="1703" spans="1:8" x14ac:dyDescent="0.25">
      <c r="A1703" s="9" t="s">
        <v>2187</v>
      </c>
      <c r="B1703" s="9" t="s">
        <v>1100</v>
      </c>
      <c r="C1703">
        <v>7</v>
      </c>
      <c r="D1703">
        <v>90</v>
      </c>
      <c r="E1703">
        <v>2013</v>
      </c>
      <c r="F1703" s="9" t="s">
        <v>2190</v>
      </c>
      <c r="H1703" s="20" t="str">
        <f t="shared" si="26"/>
        <v>(nextval('obj_part_id_seq'), (select id from obj_building_v where zip||'|'||street||'|'||name||'|'||volume = '9470|Hanflandstr. 5|Schulhaus Hanfland|8296.00'), 'P4', 7, 90, 2013,'Sichtmauerwerk, Sichtbeton'),</v>
      </c>
    </row>
    <row r="1704" spans="1:8" x14ac:dyDescent="0.25">
      <c r="A1704" s="9" t="s">
        <v>2187</v>
      </c>
      <c r="B1704" s="9" t="s">
        <v>1102</v>
      </c>
      <c r="C1704">
        <v>10</v>
      </c>
      <c r="D1704">
        <v>90</v>
      </c>
      <c r="E1704">
        <v>2013</v>
      </c>
      <c r="F1704" s="9" t="s">
        <v>2191</v>
      </c>
      <c r="H1704" s="20" t="str">
        <f t="shared" si="26"/>
        <v>(nextval('obj_part_id_seq'), (select id from obj_building_v where zip||'|'||street||'|'||name||'|'||volume = '9470|Hanflandstr. 5|Schulhaus Hanfland|8296.00'), 'P5', 10, 90, 2013,'Holz-Metall, RL-Storen, tw. Glasbausteine'),</v>
      </c>
    </row>
    <row r="1705" spans="1:8" x14ac:dyDescent="0.25">
      <c r="A1705" s="9" t="s">
        <v>2187</v>
      </c>
      <c r="B1705" s="9" t="s">
        <v>1164</v>
      </c>
      <c r="C1705">
        <v>6</v>
      </c>
      <c r="D1705">
        <v>90</v>
      </c>
      <c r="E1705">
        <v>2013</v>
      </c>
      <c r="F1705" s="9" t="s">
        <v>2192</v>
      </c>
      <c r="H1705" s="20" t="str">
        <f t="shared" si="26"/>
        <v>(nextval('obj_part_id_seq'), (select id from obj_building_v where zip||'|'||street||'|'||name||'|'||volume = '9470|Hanflandstr. 5|Schulhaus Hanfland|8296.00'), 'P50', 6, 90, 2013,'neuere Sicherungen und Beleuchtungen im Klassenzimmer'),</v>
      </c>
    </row>
    <row r="1706" spans="1:8" x14ac:dyDescent="0.25">
      <c r="A1706" s="9" t="s">
        <v>2187</v>
      </c>
      <c r="B1706" s="9" t="s">
        <v>1166</v>
      </c>
      <c r="C1706">
        <v>1</v>
      </c>
      <c r="D1706">
        <v>90</v>
      </c>
      <c r="E1706">
        <v>2013</v>
      </c>
      <c r="F1706" s="9" t="s">
        <v>1255</v>
      </c>
      <c r="H1706" s="20" t="str">
        <f t="shared" si="26"/>
        <v>(nextval('obj_part_id_seq'), (select id from obj_building_v where zip||'|'||street||'|'||name||'|'||volume = '9470|Hanflandstr. 5|Schulhaus Hanfland|8296.00'), 'P51', 1, 90, 2013,'Uhr, Gong, Funktelefon'),</v>
      </c>
    </row>
    <row r="1707" spans="1:8" x14ac:dyDescent="0.25">
      <c r="A1707" s="9" t="s">
        <v>2187</v>
      </c>
      <c r="B1707" s="9" t="s">
        <v>1104</v>
      </c>
      <c r="C1707">
        <v>0</v>
      </c>
      <c r="D1707" t="s">
        <v>4080</v>
      </c>
      <c r="E1707">
        <v>2013</v>
      </c>
      <c r="F1707" s="9" t="s">
        <v>1235</v>
      </c>
      <c r="H1707" s="20" t="str">
        <f t="shared" si="26"/>
        <v>(nextval('obj_part_id_seq'), (select id from obj_building_v where zip||'|'||street||'|'||name||'|'||volume = '9470|Hanflandstr. 5|Schulhaus Hanfland|8296.00'), 'P6', 0, null, 2013,'Fernwärme'),</v>
      </c>
    </row>
    <row r="1708" spans="1:8" x14ac:dyDescent="0.25">
      <c r="A1708" s="9" t="s">
        <v>2187</v>
      </c>
      <c r="B1708" s="9" t="s">
        <v>1106</v>
      </c>
      <c r="C1708">
        <v>3</v>
      </c>
      <c r="D1708">
        <v>90</v>
      </c>
      <c r="E1708">
        <v>2013</v>
      </c>
      <c r="F1708" s="9" t="s">
        <v>1107</v>
      </c>
      <c r="H1708" s="20" t="str">
        <f t="shared" si="26"/>
        <v>(nextval('obj_part_id_seq'), (select id from obj_building_v where zip||'|'||street||'|'||name||'|'||volume = '9470|Hanflandstr. 5|Schulhaus Hanfland|8296.00'), 'P7', 3, 90, 2013,'Radiatoren mit Thermostaten'),</v>
      </c>
    </row>
    <row r="1709" spans="1:8" x14ac:dyDescent="0.25">
      <c r="A1709" s="9" t="s">
        <v>2187</v>
      </c>
      <c r="B1709" s="9" t="s">
        <v>1108</v>
      </c>
      <c r="C1709">
        <v>4</v>
      </c>
      <c r="D1709">
        <v>80</v>
      </c>
      <c r="E1709">
        <v>2013</v>
      </c>
      <c r="F1709" s="9" t="s">
        <v>2193</v>
      </c>
      <c r="H1709" s="20" t="str">
        <f t="shared" si="26"/>
        <v>(nextval('obj_part_id_seq'), (select id from obj_building_v where zip||'|'||street||'|'||name||'|'||volume = '9470|Hanflandstr. 5|Schulhaus Hanfland|8296.00'), 'P8', 4, 80, 2013,'etwas rostige Abwasserleitungen, Boiler, Apparate neuwertig'),</v>
      </c>
    </row>
    <row r="1710" spans="1:8" x14ac:dyDescent="0.25">
      <c r="A1710" s="9" t="s">
        <v>2187</v>
      </c>
      <c r="B1710" s="9" t="s">
        <v>1138</v>
      </c>
      <c r="C1710">
        <v>11</v>
      </c>
      <c r="D1710">
        <v>90</v>
      </c>
      <c r="E1710">
        <v>2013</v>
      </c>
      <c r="F1710" s="9" t="s">
        <v>2194</v>
      </c>
      <c r="H1710" s="20" t="str">
        <f t="shared" si="26"/>
        <v>(nextval('obj_part_id_seq'), (select id from obj_building_v where zip||'|'||street||'|'||name||'|'||volume = '9470|Hanflandstr. 5|Schulhaus Hanfland|8296.00'), 'P57', 11, 90, 2013,'Garderoben, Fenstersimse, Einbauschränke, Teeküche, Geländer besteigbar'),</v>
      </c>
    </row>
    <row r="1711" spans="1:8" x14ac:dyDescent="0.25">
      <c r="A1711" s="9" t="s">
        <v>2187</v>
      </c>
      <c r="B1711" s="9" t="s">
        <v>1140</v>
      </c>
      <c r="C1711">
        <v>8</v>
      </c>
      <c r="D1711">
        <v>85</v>
      </c>
      <c r="E1711">
        <v>2013</v>
      </c>
      <c r="F1711" s="9" t="s">
        <v>2195</v>
      </c>
      <c r="H1711" s="20" t="str">
        <f t="shared" si="26"/>
        <v>(nextval('obj_part_id_seq'), (select id from obj_building_v where zip||'|'||street||'|'||name||'|'||volume = '9470|Hanflandstr. 5|Schulhaus Hanfland|8296.00'), 'P58', 8, 85, 2013,'B: Kunststein EG, Parkett, PVC, Risse im Eingangsbereich, Gummi, W: Glasfasertapete, Verputz, Holz, D: Heraklith., Holz, Verputz gestrichen'),</v>
      </c>
    </row>
    <row r="1712" spans="1:8" x14ac:dyDescent="0.25">
      <c r="A1712" s="9" t="s">
        <v>2187</v>
      </c>
      <c r="B1712" s="9" t="s">
        <v>1142</v>
      </c>
      <c r="C1712">
        <v>0</v>
      </c>
      <c r="D1712" t="s">
        <v>4080</v>
      </c>
      <c r="E1712">
        <v>2013</v>
      </c>
      <c r="F1712" s="9"/>
      <c r="H1712" s="20" t="str">
        <f t="shared" si="26"/>
        <v>(nextval('obj_part_id_seq'), (select id from obj_building_v where zip||'|'||street||'|'||name||'|'||volume = '9470|Hanflandstr. 5|Schulhaus Hanfland|8296.00'), 'P60', 0, null, 2013,null),</v>
      </c>
    </row>
    <row r="1713" spans="1:8" x14ac:dyDescent="0.25">
      <c r="A1713" s="9" t="s">
        <v>2187</v>
      </c>
      <c r="B1713" s="9" t="s">
        <v>1143</v>
      </c>
      <c r="C1713">
        <v>1</v>
      </c>
      <c r="D1713">
        <v>90</v>
      </c>
      <c r="E1713">
        <v>2013</v>
      </c>
      <c r="F1713" s="9" t="s">
        <v>2110</v>
      </c>
      <c r="H1713" s="20" t="str">
        <f t="shared" si="26"/>
        <v>(nextval('obj_part_id_seq'), (select id from obj_building_v where zip||'|'||street||'|'||name||'|'||volume = '9470|Hanflandstr. 5|Schulhaus Hanfland|8296.00'), 'P61', 1, 90, 2013,'Personenaufzug ohne Mängel'),</v>
      </c>
    </row>
    <row r="1714" spans="1:8" x14ac:dyDescent="0.25">
      <c r="A1714" s="9" t="s">
        <v>2187</v>
      </c>
      <c r="B1714" s="9" t="s">
        <v>1144</v>
      </c>
      <c r="C1714">
        <v>0</v>
      </c>
      <c r="D1714" t="s">
        <v>4080</v>
      </c>
      <c r="E1714">
        <v>2013</v>
      </c>
      <c r="F1714" s="9"/>
      <c r="H1714" s="20" t="str">
        <f t="shared" si="26"/>
        <v>(nextval('obj_part_id_seq'), (select id from obj_building_v where zip||'|'||street||'|'||name||'|'||volume = '9470|Hanflandstr. 5|Schulhaus Hanfland|8296.00'), 'P62', 0, null, 2013,null),</v>
      </c>
    </row>
    <row r="1715" spans="1:8" x14ac:dyDescent="0.25">
      <c r="A1715" s="9" t="s">
        <v>2196</v>
      </c>
      <c r="B1715" s="9" t="s">
        <v>1127</v>
      </c>
      <c r="C1715">
        <v>37</v>
      </c>
      <c r="D1715">
        <v>90</v>
      </c>
      <c r="E1715">
        <v>2013</v>
      </c>
      <c r="F1715" s="9" t="s">
        <v>1369</v>
      </c>
      <c r="H1715" s="20" t="str">
        <f t="shared" si="26"/>
        <v>(nextval('obj_part_id_seq'), (select id from obj_building_v where zip||'|'||street||'|'||name||'|'||volume = '5620|Promenadenstrasse 13|MFH|12994.00'), 'P48', 37, 90, 2013,'Stahlbeton, Mauerwerk'),</v>
      </c>
    </row>
    <row r="1716" spans="1:8" x14ac:dyDescent="0.25">
      <c r="A1716" s="9" t="s">
        <v>2196</v>
      </c>
      <c r="B1716" s="9" t="s">
        <v>1129</v>
      </c>
      <c r="C1716">
        <v>0</v>
      </c>
      <c r="D1716" t="s">
        <v>4080</v>
      </c>
      <c r="E1716">
        <v>2013</v>
      </c>
      <c r="F1716" s="9"/>
      <c r="H1716" s="20" t="str">
        <f t="shared" si="26"/>
        <v>(nextval('obj_part_id_seq'), (select id from obj_building_v where zip||'|'||street||'|'||name||'|'||volume = '5620|Promenadenstrasse 13|MFH|12994.00'), 'P49', 0, null, 2013,null),</v>
      </c>
    </row>
    <row r="1717" spans="1:8" x14ac:dyDescent="0.25">
      <c r="A1717" s="9" t="s">
        <v>2196</v>
      </c>
      <c r="B1717" s="9" t="s">
        <v>1097</v>
      </c>
      <c r="C1717">
        <v>0</v>
      </c>
      <c r="D1717" t="s">
        <v>4080</v>
      </c>
      <c r="E1717">
        <v>2013</v>
      </c>
      <c r="F1717" s="9"/>
      <c r="H1717" s="20" t="str">
        <f t="shared" si="26"/>
        <v>(nextval('obj_part_id_seq'), (select id from obj_building_v where zip||'|'||street||'|'||name||'|'||volume = '5620|Promenadenstrasse 13|MFH|12994.00'), 'P2', 0, null, 2013,null),</v>
      </c>
    </row>
    <row r="1718" spans="1:8" x14ac:dyDescent="0.25">
      <c r="A1718" s="9" t="s">
        <v>2196</v>
      </c>
      <c r="B1718" s="9" t="s">
        <v>1099</v>
      </c>
      <c r="C1718">
        <v>8</v>
      </c>
      <c r="D1718">
        <v>90</v>
      </c>
      <c r="E1718">
        <v>2013</v>
      </c>
      <c r="F1718" s="9" t="s">
        <v>2197</v>
      </c>
      <c r="H1718" s="20" t="str">
        <f t="shared" si="26"/>
        <v>(nextval('obj_part_id_seq'), (select id from obj_building_v where zip||'|'||street||'|'||name||'|'||volume = '5620|Promenadenstrasse 13|MFH|12994.00'), 'P3', 8, 90, 2013,'Kiesklebedach, Oblichter'),</v>
      </c>
    </row>
    <row r="1719" spans="1:8" x14ac:dyDescent="0.25">
      <c r="A1719" s="9" t="s">
        <v>2196</v>
      </c>
      <c r="B1719" s="9" t="s">
        <v>1100</v>
      </c>
      <c r="C1719">
        <v>7</v>
      </c>
      <c r="D1719">
        <v>90</v>
      </c>
      <c r="E1719">
        <v>2013</v>
      </c>
      <c r="F1719" s="9" t="s">
        <v>2198</v>
      </c>
      <c r="H1719" s="20" t="str">
        <f t="shared" si="26"/>
        <v>(nextval('obj_part_id_seq'), (select id from obj_building_v where zip||'|'||street||'|'||name||'|'||volume = '5620|Promenadenstrasse 13|MFH|12994.00'), 'P4', 7, 90, 2013,'Schieferplatten, hinterlüftet, verputzte Aussenwärmedämmung'),</v>
      </c>
    </row>
    <row r="1720" spans="1:8" x14ac:dyDescent="0.25">
      <c r="A1720" s="9" t="s">
        <v>2196</v>
      </c>
      <c r="B1720" s="9" t="s">
        <v>1102</v>
      </c>
      <c r="C1720">
        <v>11</v>
      </c>
      <c r="D1720">
        <v>90</v>
      </c>
      <c r="E1720">
        <v>2013</v>
      </c>
      <c r="F1720" s="9" t="s">
        <v>2199</v>
      </c>
      <c r="H1720" s="20" t="str">
        <f t="shared" si="26"/>
        <v>(nextval('obj_part_id_seq'), (select id from obj_building_v where zip||'|'||street||'|'||name||'|'||volume = '5620|Promenadenstrasse 13|MFH|12994.00'), 'P5', 11, 90, 2013,'Kunststofffenster (''05), IV, Metall-Glastüren, RL-Storen'),</v>
      </c>
    </row>
    <row r="1721" spans="1:8" x14ac:dyDescent="0.25">
      <c r="A1721" s="9" t="s">
        <v>2196</v>
      </c>
      <c r="B1721" s="9" t="s">
        <v>1110</v>
      </c>
      <c r="C1721">
        <v>4</v>
      </c>
      <c r="D1721">
        <v>90</v>
      </c>
      <c r="E1721">
        <v>2013</v>
      </c>
      <c r="F1721" s="9" t="s">
        <v>2200</v>
      </c>
      <c r="H1721" s="20" t="str">
        <f t="shared" si="26"/>
        <v>(nextval('obj_part_id_seq'), (select id from obj_building_v where zip||'|'||street||'|'||name||'|'||volume = '5620|Promenadenstrasse 13|MFH|12994.00'), 'P9', 4, 90, 2013,'neuere Sicherungen, Beleuchtung Hauseingang, Treppenhaus, Sonnerie, TV-/Telefonanschlüsse'),</v>
      </c>
    </row>
    <row r="1722" spans="1:8" x14ac:dyDescent="0.25">
      <c r="A1722" s="9" t="s">
        <v>2196</v>
      </c>
      <c r="B1722" s="9" t="s">
        <v>1104</v>
      </c>
      <c r="C1722">
        <v>0</v>
      </c>
      <c r="D1722" t="s">
        <v>4080</v>
      </c>
      <c r="E1722">
        <v>2013</v>
      </c>
      <c r="F1722" s="9" t="s">
        <v>2201</v>
      </c>
      <c r="H1722" s="20" t="str">
        <f t="shared" si="26"/>
        <v>(nextval('obj_part_id_seq'), (select id from obj_building_v where zip||'|'||street||'|'||name||'|'||volume = '5620|Promenadenstrasse 13|MFH|12994.00'), 'P6', 0, null, 2013,'Fernwärme, Secomat'),</v>
      </c>
    </row>
    <row r="1723" spans="1:8" x14ac:dyDescent="0.25">
      <c r="A1723" s="9" t="s">
        <v>2196</v>
      </c>
      <c r="B1723" s="9" t="s">
        <v>1106</v>
      </c>
      <c r="C1723">
        <v>3</v>
      </c>
      <c r="D1723">
        <v>90</v>
      </c>
      <c r="E1723">
        <v>2013</v>
      </c>
      <c r="F1723" s="9" t="s">
        <v>1107</v>
      </c>
      <c r="H1723" s="20" t="str">
        <f t="shared" si="26"/>
        <v>(nextval('obj_part_id_seq'), (select id from obj_building_v where zip||'|'||street||'|'||name||'|'||volume = '5620|Promenadenstrasse 13|MFH|12994.00'), 'P7', 3, 90, 2013,'Radiatoren mit Thermostaten'),</v>
      </c>
    </row>
    <row r="1724" spans="1:8" x14ac:dyDescent="0.25">
      <c r="A1724" s="9" t="s">
        <v>2196</v>
      </c>
      <c r="B1724" s="9" t="s">
        <v>1135</v>
      </c>
      <c r="C1724">
        <v>3</v>
      </c>
      <c r="D1724">
        <v>90</v>
      </c>
      <c r="E1724">
        <v>2013</v>
      </c>
      <c r="F1724" s="9" t="s">
        <v>2118</v>
      </c>
      <c r="H1724" s="20" t="str">
        <f t="shared" si="26"/>
        <v>(nextval('obj_part_id_seq'), (select id from obj_building_v where zip||'|'||street||'|'||name||'|'||volume = '5620|Promenadenstrasse 13|MFH|12994.00'), 'P54', 3, 90, 2013,'Apparate funktionstüchtig'),</v>
      </c>
    </row>
    <row r="1725" spans="1:8" x14ac:dyDescent="0.25">
      <c r="A1725" s="9" t="s">
        <v>2196</v>
      </c>
      <c r="B1725" s="9" t="s">
        <v>1137</v>
      </c>
      <c r="C1725">
        <v>4</v>
      </c>
      <c r="D1725">
        <v>90</v>
      </c>
      <c r="E1725">
        <v>2013</v>
      </c>
      <c r="F1725" s="9" t="s">
        <v>2202</v>
      </c>
      <c r="H1725" s="20" t="str">
        <f t="shared" si="26"/>
        <v>(nextval('obj_part_id_seq'), (select id from obj_building_v where zip||'|'||street||'|'||name||'|'||volume = '5620|Promenadenstrasse 13|MFH|12994.00'), 'P55', 4, 90, 2013,'Genügender Druck vorhanden'),</v>
      </c>
    </row>
    <row r="1726" spans="1:8" x14ac:dyDescent="0.25">
      <c r="A1726" s="9" t="s">
        <v>2196</v>
      </c>
      <c r="B1726" s="9" t="s">
        <v>1155</v>
      </c>
      <c r="C1726">
        <v>2</v>
      </c>
      <c r="D1726">
        <v>90</v>
      </c>
      <c r="E1726">
        <v>2013</v>
      </c>
      <c r="F1726" s="9" t="s">
        <v>1301</v>
      </c>
      <c r="H1726" s="20" t="str">
        <f t="shared" si="26"/>
        <v>(nextval('obj_part_id_seq'), (select id from obj_building_v where zip||'|'||street||'|'||name||'|'||volume = '5620|Promenadenstrasse 13|MFH|12994.00'), 'P56', 2, 90, 2013,'Aufzug ohne Mängel'),</v>
      </c>
    </row>
    <row r="1727" spans="1:8" x14ac:dyDescent="0.25">
      <c r="A1727" s="9" t="s">
        <v>2196</v>
      </c>
      <c r="B1727" s="9" t="s">
        <v>1138</v>
      </c>
      <c r="C1727">
        <v>9</v>
      </c>
      <c r="D1727">
        <v>90</v>
      </c>
      <c r="E1727">
        <v>2013</v>
      </c>
      <c r="F1727" s="9"/>
      <c r="H1727" s="20" t="str">
        <f t="shared" si="26"/>
        <v>(nextval('obj_part_id_seq'), (select id from obj_building_v where zip||'|'||street||'|'||name||'|'||volume = '5620|Promenadenstrasse 13|MFH|12994.00'), 'P57', 9, 90, 2013,null),</v>
      </c>
    </row>
    <row r="1728" spans="1:8" x14ac:dyDescent="0.25">
      <c r="A1728" s="9" t="s">
        <v>2196</v>
      </c>
      <c r="B1728" s="9" t="s">
        <v>1140</v>
      </c>
      <c r="C1728">
        <v>8</v>
      </c>
      <c r="D1728">
        <v>90</v>
      </c>
      <c r="E1728">
        <v>2013</v>
      </c>
      <c r="F1728" s="9" t="s">
        <v>2203</v>
      </c>
      <c r="H1728" s="20" t="str">
        <f t="shared" si="26"/>
        <v>(nextval('obj_part_id_seq'), (select id from obj_building_v where zip||'|'||street||'|'||name||'|'||volume = '5620|Promenadenstrasse 13|MFH|12994.00'), 'P58', 8, 90, 2013,'B: Kunststeintreppe, Keramik, Linol, Parkett, W+D: Verputz'),</v>
      </c>
    </row>
    <row r="1729" spans="1:8" x14ac:dyDescent="0.25">
      <c r="A1729" s="9" t="s">
        <v>2196</v>
      </c>
      <c r="B1729" s="9" t="s">
        <v>1157</v>
      </c>
      <c r="C1729">
        <v>4</v>
      </c>
      <c r="D1729">
        <v>90</v>
      </c>
      <c r="E1729">
        <v>2013</v>
      </c>
      <c r="F1729" s="9" t="s">
        <v>2204</v>
      </c>
      <c r="H1729" s="20" t="str">
        <f t="shared" si="26"/>
        <v>(nextval('obj_part_id_seq'), (select id from obj_building_v where zip||'|'||street||'|'||name||'|'||volume = '5620|Promenadenstrasse 13|MFH|12994.00'), 'P59', 4, 90, 2013,'Küche, Kühlschrank'),</v>
      </c>
    </row>
    <row r="1730" spans="1:8" x14ac:dyDescent="0.25">
      <c r="A1730" s="9" t="s">
        <v>2196</v>
      </c>
      <c r="B1730" s="9" t="s">
        <v>1142</v>
      </c>
      <c r="C1730">
        <v>0</v>
      </c>
      <c r="D1730" t="s">
        <v>4080</v>
      </c>
      <c r="E1730">
        <v>2013</v>
      </c>
      <c r="F1730" s="9"/>
      <c r="H1730" s="20" t="str">
        <f t="shared" si="26"/>
        <v>(nextval('obj_part_id_seq'), (select id from obj_building_v where zip||'|'||street||'|'||name||'|'||volume = '5620|Promenadenstrasse 13|MFH|12994.00'), 'P60', 0, null, 2013,null),</v>
      </c>
    </row>
    <row r="1731" spans="1:8" x14ac:dyDescent="0.25">
      <c r="A1731" s="9" t="s">
        <v>2196</v>
      </c>
      <c r="B1731" s="9" t="s">
        <v>1143</v>
      </c>
      <c r="C1731">
        <v>0</v>
      </c>
      <c r="D1731" t="s">
        <v>4080</v>
      </c>
      <c r="E1731">
        <v>2013</v>
      </c>
      <c r="F1731" s="9"/>
      <c r="H1731" s="20" t="str">
        <f t="shared" si="26"/>
        <v>(nextval('obj_part_id_seq'), (select id from obj_building_v where zip||'|'||street||'|'||name||'|'||volume = '5620|Promenadenstrasse 13|MFH|12994.00'), 'P61', 0, null, 2013,null),</v>
      </c>
    </row>
    <row r="1732" spans="1:8" x14ac:dyDescent="0.25">
      <c r="A1732" s="9" t="s">
        <v>2196</v>
      </c>
      <c r="B1732" s="9" t="s">
        <v>1144</v>
      </c>
      <c r="C1732">
        <v>0</v>
      </c>
      <c r="D1732" t="s">
        <v>4080</v>
      </c>
      <c r="E1732">
        <v>2013</v>
      </c>
      <c r="F1732" s="9"/>
      <c r="H1732" s="20" t="str">
        <f t="shared" si="26"/>
        <v>(nextval('obj_part_id_seq'), (select id from obj_building_v where zip||'|'||street||'|'||name||'|'||volume = '5620|Promenadenstrasse 13|MFH|12994.00'), 'P62', 0, null, 2013,null),</v>
      </c>
    </row>
    <row r="1733" spans="1:8" x14ac:dyDescent="0.25">
      <c r="A1733" s="9" t="s">
        <v>2205</v>
      </c>
      <c r="B1733" s="9" t="s">
        <v>1127</v>
      </c>
      <c r="C1733">
        <v>27</v>
      </c>
      <c r="D1733">
        <v>90</v>
      </c>
      <c r="E1733">
        <v>2013</v>
      </c>
      <c r="F1733" s="9" t="s">
        <v>2206</v>
      </c>
      <c r="H1733" s="20" t="str">
        <f t="shared" ref="H1733:H1796" si="27">"(nextval('obj_part_id_seq'), (select id from obj_building_v where zip||'|'||street||'|'||name||'|'||volume = '"&amp;A1733&amp;"'), '"&amp;B1733&amp;"', "&amp;C1733&amp;", "&amp;D1733&amp;", "&amp;IF(ISBLANK(E1733),"null",E1733)&amp;","&amp;IF(ISBLANK(F1733),"null","'"&amp;F1733&amp;"'")&amp;"),"</f>
        <v>(nextval('obj_part_id_seq'), (select id from obj_building_v where zip||'|'||street||'|'||name||'|'||volume = '5620|Promenadenstrasse 15|Kindergarten Fuchsächer|1763.00'), 'P48', 27, 90, 2013,'Sichtbeton, Mauerwerk'),</v>
      </c>
    </row>
    <row r="1734" spans="1:8" x14ac:dyDescent="0.25">
      <c r="A1734" s="9" t="s">
        <v>2205</v>
      </c>
      <c r="B1734" s="9" t="s">
        <v>1129</v>
      </c>
      <c r="C1734">
        <v>0</v>
      </c>
      <c r="D1734" t="s">
        <v>4080</v>
      </c>
      <c r="E1734">
        <v>2013</v>
      </c>
      <c r="F1734" s="9"/>
      <c r="H1734" s="20" t="str">
        <f t="shared" si="27"/>
        <v>(nextval('obj_part_id_seq'), (select id from obj_building_v where zip||'|'||street||'|'||name||'|'||volume = '5620|Promenadenstrasse 15|Kindergarten Fuchsächer|1763.00'), 'P49', 0, null, 2013,null),</v>
      </c>
    </row>
    <row r="1735" spans="1:8" x14ac:dyDescent="0.25">
      <c r="A1735" s="9" t="s">
        <v>2205</v>
      </c>
      <c r="B1735" s="9" t="s">
        <v>1097</v>
      </c>
      <c r="C1735">
        <v>0</v>
      </c>
      <c r="D1735" t="s">
        <v>4080</v>
      </c>
      <c r="E1735">
        <v>2013</v>
      </c>
      <c r="F1735" s="9"/>
      <c r="H1735" s="20" t="str">
        <f t="shared" si="27"/>
        <v>(nextval('obj_part_id_seq'), (select id from obj_building_v where zip||'|'||street||'|'||name||'|'||volume = '5620|Promenadenstrasse 15|Kindergarten Fuchsächer|1763.00'), 'P2', 0, null, 2013,null),</v>
      </c>
    </row>
    <row r="1736" spans="1:8" x14ac:dyDescent="0.25">
      <c r="A1736" s="9" t="s">
        <v>2205</v>
      </c>
      <c r="B1736" s="9" t="s">
        <v>1099</v>
      </c>
      <c r="C1736">
        <v>20</v>
      </c>
      <c r="D1736">
        <v>90</v>
      </c>
      <c r="E1736">
        <v>2013</v>
      </c>
      <c r="F1736" s="9" t="s">
        <v>2207</v>
      </c>
      <c r="H1736" s="20" t="str">
        <f t="shared" si="27"/>
        <v>(nextval('obj_part_id_seq'), (select id from obj_building_v where zip||'|'||street||'|'||name||'|'||volume = '5620|Promenadenstrasse 15|Kindergarten Fuchsächer|1763.00'), 'P3', 20, 90, 2013,'Flachdach begrünt, Kunststeinplatten, Oblicht, bei Aussengeräteraum: Nacktdach, Vordach aus Metall-Glas'),</v>
      </c>
    </row>
    <row r="1737" spans="1:8" x14ac:dyDescent="0.25">
      <c r="A1737" s="9" t="s">
        <v>2205</v>
      </c>
      <c r="B1737" s="9" t="s">
        <v>1100</v>
      </c>
      <c r="C1737">
        <v>8</v>
      </c>
      <c r="D1737">
        <v>90</v>
      </c>
      <c r="E1737">
        <v>2013</v>
      </c>
      <c r="F1737" s="9" t="s">
        <v>1698</v>
      </c>
      <c r="H1737" s="20" t="str">
        <f t="shared" si="27"/>
        <v>(nextval('obj_part_id_seq'), (select id from obj_building_v where zip||'|'||street||'|'||name||'|'||volume = '5620|Promenadenstrasse 15|Kindergarten Fuchsächer|1763.00'), 'P4', 8, 90, 2013,'Sichtbeton'),</v>
      </c>
    </row>
    <row r="1738" spans="1:8" x14ac:dyDescent="0.25">
      <c r="A1738" s="9" t="s">
        <v>2205</v>
      </c>
      <c r="B1738" s="9" t="s">
        <v>1102</v>
      </c>
      <c r="C1738">
        <v>14</v>
      </c>
      <c r="D1738">
        <v>90</v>
      </c>
      <c r="E1738">
        <v>2013</v>
      </c>
      <c r="F1738" s="9" t="s">
        <v>2208</v>
      </c>
      <c r="H1738" s="20" t="str">
        <f t="shared" si="27"/>
        <v>(nextval('obj_part_id_seq'), (select id from obj_building_v where zip||'|'||street||'|'||name||'|'||volume = '5620|Promenadenstrasse 15|Kindergarten Fuchsächer|1763.00'), 'P5', 14, 90, 2013,'Holz-Metall (''05), IV, RL-Storen elektr., Metalltüre'),</v>
      </c>
    </row>
    <row r="1739" spans="1:8" x14ac:dyDescent="0.25">
      <c r="A1739" s="9" t="s">
        <v>2205</v>
      </c>
      <c r="B1739" s="9" t="s">
        <v>1110</v>
      </c>
      <c r="C1739">
        <v>4</v>
      </c>
      <c r="D1739">
        <v>90</v>
      </c>
      <c r="E1739">
        <v>2013</v>
      </c>
      <c r="F1739" s="9" t="s">
        <v>2209</v>
      </c>
      <c r="H1739" s="20" t="str">
        <f t="shared" si="27"/>
        <v>(nextval('obj_part_id_seq'), (select id from obj_building_v where zip||'|'||street||'|'||name||'|'||volume = '5620|Promenadenstrasse 15|Kindergarten Fuchsächer|1763.00'), 'P9', 4, 90, 2013,'Beleuchtung, Sicherungen im Nachbargebäude'),</v>
      </c>
    </row>
    <row r="1740" spans="1:8" x14ac:dyDescent="0.25">
      <c r="A1740" s="9" t="s">
        <v>2205</v>
      </c>
      <c r="B1740" s="9" t="s">
        <v>1104</v>
      </c>
      <c r="C1740">
        <v>0</v>
      </c>
      <c r="D1740" t="s">
        <v>4080</v>
      </c>
      <c r="E1740">
        <v>2013</v>
      </c>
      <c r="F1740" s="9" t="s">
        <v>1235</v>
      </c>
      <c r="H1740" s="20" t="str">
        <f t="shared" si="27"/>
        <v>(nextval('obj_part_id_seq'), (select id from obj_building_v where zip||'|'||street||'|'||name||'|'||volume = '5620|Promenadenstrasse 15|Kindergarten Fuchsächer|1763.00'), 'P6', 0, null, 2013,'Fernwärme'),</v>
      </c>
    </row>
    <row r="1741" spans="1:8" x14ac:dyDescent="0.25">
      <c r="A1741" s="9" t="s">
        <v>2205</v>
      </c>
      <c r="B1741" s="9" t="s">
        <v>1106</v>
      </c>
      <c r="C1741">
        <v>3</v>
      </c>
      <c r="D1741">
        <v>90</v>
      </c>
      <c r="E1741">
        <v>2013</v>
      </c>
      <c r="F1741" s="9" t="s">
        <v>2210</v>
      </c>
      <c r="H1741" s="20" t="str">
        <f t="shared" si="27"/>
        <v>(nextval('obj_part_id_seq'), (select id from obj_building_v where zip||'|'||street||'|'||name||'|'||volume = '5620|Promenadenstrasse 15|Kindergarten Fuchsächer|1763.00'), 'P7', 3, 90, 2013,'Radiatoren und Konvektoren mit Thermostaten'),</v>
      </c>
    </row>
    <row r="1742" spans="1:8" x14ac:dyDescent="0.25">
      <c r="A1742" s="9" t="s">
        <v>2205</v>
      </c>
      <c r="B1742" s="9" t="s">
        <v>1135</v>
      </c>
      <c r="C1742">
        <v>1</v>
      </c>
      <c r="D1742">
        <v>90</v>
      </c>
      <c r="E1742">
        <v>2013</v>
      </c>
      <c r="F1742" s="9" t="s">
        <v>2211</v>
      </c>
      <c r="H1742" s="20" t="str">
        <f t="shared" si="27"/>
        <v>(nextval('obj_part_id_seq'), (select id from obj_building_v where zip||'|'||street||'|'||name||'|'||volume = '5620|Promenadenstrasse 15|Kindergarten Fuchsächer|1763.00'), 'P54', 1, 90, 2013,'Apparate sind funktionstüchtig'),</v>
      </c>
    </row>
    <row r="1743" spans="1:8" x14ac:dyDescent="0.25">
      <c r="A1743" s="9" t="s">
        <v>2205</v>
      </c>
      <c r="B1743" s="9" t="s">
        <v>1137</v>
      </c>
      <c r="C1743">
        <v>3</v>
      </c>
      <c r="D1743">
        <v>90</v>
      </c>
      <c r="E1743">
        <v>2013</v>
      </c>
      <c r="F1743" s="9" t="s">
        <v>2202</v>
      </c>
      <c r="H1743" s="20" t="str">
        <f t="shared" si="27"/>
        <v>(nextval('obj_part_id_seq'), (select id from obj_building_v where zip||'|'||street||'|'||name||'|'||volume = '5620|Promenadenstrasse 15|Kindergarten Fuchsächer|1763.00'), 'P55', 3, 90, 2013,'Genügender Druck vorhanden'),</v>
      </c>
    </row>
    <row r="1744" spans="1:8" x14ac:dyDescent="0.25">
      <c r="A1744" s="9" t="s">
        <v>2205</v>
      </c>
      <c r="B1744" s="9" t="s">
        <v>1138</v>
      </c>
      <c r="C1744">
        <v>17</v>
      </c>
      <c r="D1744">
        <v>90</v>
      </c>
      <c r="E1744">
        <v>2013</v>
      </c>
      <c r="F1744" s="9" t="s">
        <v>2212</v>
      </c>
      <c r="H1744" s="20" t="str">
        <f t="shared" si="27"/>
        <v>(nextval('obj_part_id_seq'), (select id from obj_building_v where zip||'|'||street||'|'||name||'|'||volume = '5620|Promenadenstrasse 15|Kindergarten Fuchsächer|1763.00'), 'P57', 17, 90, 2013,'Küche, Einbauschränke, Garderobe'),</v>
      </c>
    </row>
    <row r="1745" spans="1:8" x14ac:dyDescent="0.25">
      <c r="A1745" s="9" t="s">
        <v>2205</v>
      </c>
      <c r="B1745" s="9" t="s">
        <v>1140</v>
      </c>
      <c r="C1745">
        <v>3</v>
      </c>
      <c r="D1745">
        <v>90</v>
      </c>
      <c r="E1745">
        <v>2013</v>
      </c>
      <c r="F1745" s="9" t="s">
        <v>2213</v>
      </c>
      <c r="H1745" s="20" t="str">
        <f t="shared" si="27"/>
        <v>(nextval('obj_part_id_seq'), (select id from obj_building_v where zip||'|'||street||'|'||name||'|'||volume = '5620|Promenadenstrasse 15|Kindergarten Fuchsächer|1763.00'), 'P58', 3, 90, 2013,'B: Linol, D: Täfer, W: Verputz, tw. Tapete gestrichen'),</v>
      </c>
    </row>
    <row r="1746" spans="1:8" x14ac:dyDescent="0.25">
      <c r="A1746" s="9" t="s">
        <v>2205</v>
      </c>
      <c r="B1746" s="9" t="s">
        <v>1142</v>
      </c>
      <c r="C1746">
        <v>0</v>
      </c>
      <c r="D1746" t="s">
        <v>4080</v>
      </c>
      <c r="E1746">
        <v>2013</v>
      </c>
      <c r="F1746" s="9"/>
      <c r="H1746" s="20" t="str">
        <f t="shared" si="27"/>
        <v>(nextval('obj_part_id_seq'), (select id from obj_building_v where zip||'|'||street||'|'||name||'|'||volume = '5620|Promenadenstrasse 15|Kindergarten Fuchsächer|1763.00'), 'P60', 0, null, 2013,null),</v>
      </c>
    </row>
    <row r="1747" spans="1:8" x14ac:dyDescent="0.25">
      <c r="A1747" s="9" t="s">
        <v>2205</v>
      </c>
      <c r="B1747" s="9" t="s">
        <v>1143</v>
      </c>
      <c r="C1747">
        <v>0</v>
      </c>
      <c r="D1747" t="s">
        <v>4080</v>
      </c>
      <c r="E1747">
        <v>2013</v>
      </c>
      <c r="F1747" s="9"/>
      <c r="H1747" s="20" t="str">
        <f t="shared" si="27"/>
        <v>(nextval('obj_part_id_seq'), (select id from obj_building_v where zip||'|'||street||'|'||name||'|'||volume = '5620|Promenadenstrasse 15|Kindergarten Fuchsächer|1763.00'), 'P61', 0, null, 2013,null),</v>
      </c>
    </row>
    <row r="1748" spans="1:8" x14ac:dyDescent="0.25">
      <c r="A1748" s="9" t="s">
        <v>2205</v>
      </c>
      <c r="B1748" s="9" t="s">
        <v>1144</v>
      </c>
      <c r="C1748">
        <v>0</v>
      </c>
      <c r="D1748" t="s">
        <v>4080</v>
      </c>
      <c r="E1748">
        <v>2013</v>
      </c>
      <c r="F1748" s="9"/>
      <c r="H1748" s="20" t="str">
        <f t="shared" si="27"/>
        <v>(nextval('obj_part_id_seq'), (select id from obj_building_v where zip||'|'||street||'|'||name||'|'||volume = '5620|Promenadenstrasse 15|Kindergarten Fuchsächer|1763.00'), 'P62', 0, null, 2013,null),</v>
      </c>
    </row>
    <row r="1749" spans="1:8" x14ac:dyDescent="0.25">
      <c r="A1749" s="9" t="s">
        <v>2214</v>
      </c>
      <c r="B1749" s="9" t="s">
        <v>1127</v>
      </c>
      <c r="C1749">
        <v>39</v>
      </c>
      <c r="D1749">
        <v>90</v>
      </c>
      <c r="E1749">
        <v>2013</v>
      </c>
      <c r="F1749" s="9" t="s">
        <v>1192</v>
      </c>
      <c r="H1749" s="20" t="str">
        <f t="shared" si="27"/>
        <v>(nextval('obj_part_id_seq'), (select id from obj_building_v where zip||'|'||street||'|'||name||'|'||volume = '5620|Zugerstrasse 16/18/20|Gewerbe und Garage|10035.00'), 'P48', 39, 90, 2013,'Stahlbeton'),</v>
      </c>
    </row>
    <row r="1750" spans="1:8" x14ac:dyDescent="0.25">
      <c r="A1750" s="9" t="s">
        <v>2214</v>
      </c>
      <c r="B1750" s="9" t="s">
        <v>1129</v>
      </c>
      <c r="C1750">
        <v>0</v>
      </c>
      <c r="D1750" t="s">
        <v>4080</v>
      </c>
      <c r="E1750">
        <v>2013</v>
      </c>
      <c r="F1750" s="9"/>
      <c r="H1750" s="20" t="str">
        <f t="shared" si="27"/>
        <v>(nextval('obj_part_id_seq'), (select id from obj_building_v where zip||'|'||street||'|'||name||'|'||volume = '5620|Zugerstrasse 16/18/20|Gewerbe und Garage|10035.00'), 'P49', 0, null, 2013,null),</v>
      </c>
    </row>
    <row r="1751" spans="1:8" x14ac:dyDescent="0.25">
      <c r="A1751" s="9" t="s">
        <v>2214</v>
      </c>
      <c r="B1751" s="9" t="s">
        <v>1097</v>
      </c>
      <c r="C1751">
        <v>0</v>
      </c>
      <c r="D1751" t="s">
        <v>4080</v>
      </c>
      <c r="E1751">
        <v>2013</v>
      </c>
      <c r="F1751" s="9"/>
      <c r="H1751" s="20" t="str">
        <f t="shared" si="27"/>
        <v>(nextval('obj_part_id_seq'), (select id from obj_building_v where zip||'|'||street||'|'||name||'|'||volume = '5620|Zugerstrasse 16/18/20|Gewerbe und Garage|10035.00'), 'P2', 0, null, 2013,null),</v>
      </c>
    </row>
    <row r="1752" spans="1:8" x14ac:dyDescent="0.25">
      <c r="A1752" s="9" t="s">
        <v>2214</v>
      </c>
      <c r="B1752" s="9" t="s">
        <v>1099</v>
      </c>
      <c r="C1752">
        <v>8</v>
      </c>
      <c r="D1752">
        <v>90</v>
      </c>
      <c r="E1752">
        <v>2013</v>
      </c>
      <c r="F1752" s="9" t="s">
        <v>1874</v>
      </c>
      <c r="H1752" s="20" t="str">
        <f t="shared" si="27"/>
        <v>(nextval('obj_part_id_seq'), (select id from obj_building_v where zip||'|'||street||'|'||name||'|'||volume = '5620|Zugerstrasse 16/18/20|Gewerbe und Garage|10035.00'), 'P3', 8, 90, 2013,'Kiesklebedach'),</v>
      </c>
    </row>
    <row r="1753" spans="1:8" x14ac:dyDescent="0.25">
      <c r="A1753" s="9" t="s">
        <v>2214</v>
      </c>
      <c r="B1753" s="9" t="s">
        <v>1100</v>
      </c>
      <c r="C1753">
        <v>7</v>
      </c>
      <c r="D1753">
        <v>90</v>
      </c>
      <c r="E1753">
        <v>2013</v>
      </c>
      <c r="F1753" s="9" t="s">
        <v>2215</v>
      </c>
      <c r="H1753" s="20" t="str">
        <f t="shared" si="27"/>
        <v>(nextval('obj_part_id_seq'), (select id from obj_building_v where zip||'|'||street||'|'||name||'|'||volume = '5620|Zugerstrasse 16/18/20|Gewerbe und Garage|10035.00'), 'P4', 7, 90, 2013,'Schieferplatten, verputzte Aussenwärmedämmung (''95)'),</v>
      </c>
    </row>
    <row r="1754" spans="1:8" x14ac:dyDescent="0.25">
      <c r="A1754" s="9" t="s">
        <v>2214</v>
      </c>
      <c r="B1754" s="9" t="s">
        <v>1102</v>
      </c>
      <c r="C1754">
        <v>11</v>
      </c>
      <c r="D1754">
        <v>90</v>
      </c>
      <c r="E1754">
        <v>2013</v>
      </c>
      <c r="F1754" s="9" t="s">
        <v>2216</v>
      </c>
      <c r="H1754" s="20" t="str">
        <f t="shared" si="27"/>
        <v>(nextval('obj_part_id_seq'), (select id from obj_building_v where zip||'|'||street||'|'||name||'|'||volume = '5620|Zugerstrasse 16/18/20|Gewerbe und Garage|10035.00'), 'P5', 11, 90, 2013,'Kunststoff, IV, RL-Storen'),</v>
      </c>
    </row>
    <row r="1755" spans="1:8" x14ac:dyDescent="0.25">
      <c r="A1755" s="9" t="s">
        <v>2214</v>
      </c>
      <c r="B1755" s="9" t="s">
        <v>1110</v>
      </c>
      <c r="C1755">
        <v>4</v>
      </c>
      <c r="D1755">
        <v>90</v>
      </c>
      <c r="E1755">
        <v>2013</v>
      </c>
      <c r="F1755" s="9" t="s">
        <v>2217</v>
      </c>
      <c r="H1755" s="20" t="str">
        <f t="shared" si="27"/>
        <v>(nextval('obj_part_id_seq'), (select id from obj_building_v where zip||'|'||street||'|'||name||'|'||volume = '5620|Zugerstrasse 16/18/20|Gewerbe und Garage|10035.00'), 'P9', 4, 90, 2013,'neuere Sicherungen, Beleuchtung Hauseingang, Treppenhaus'),</v>
      </c>
    </row>
    <row r="1756" spans="1:8" x14ac:dyDescent="0.25">
      <c r="A1756" s="9" t="s">
        <v>2214</v>
      </c>
      <c r="B1756" s="9" t="s">
        <v>1104</v>
      </c>
      <c r="C1756">
        <v>0</v>
      </c>
      <c r="D1756" t="s">
        <v>4080</v>
      </c>
      <c r="E1756">
        <v>2013</v>
      </c>
      <c r="F1756" s="9" t="s">
        <v>2201</v>
      </c>
      <c r="H1756" s="20" t="str">
        <f t="shared" si="27"/>
        <v>(nextval('obj_part_id_seq'), (select id from obj_building_v where zip||'|'||street||'|'||name||'|'||volume = '5620|Zugerstrasse 16/18/20|Gewerbe und Garage|10035.00'), 'P6', 0, null, 2013,'Fernwärme, Secomat'),</v>
      </c>
    </row>
    <row r="1757" spans="1:8" x14ac:dyDescent="0.25">
      <c r="A1757" s="9" t="s">
        <v>2214</v>
      </c>
      <c r="B1757" s="9" t="s">
        <v>1106</v>
      </c>
      <c r="C1757">
        <v>3</v>
      </c>
      <c r="D1757">
        <v>90</v>
      </c>
      <c r="E1757">
        <v>2013</v>
      </c>
      <c r="F1757" s="9" t="s">
        <v>1107</v>
      </c>
      <c r="H1757" s="20" t="str">
        <f t="shared" si="27"/>
        <v>(nextval('obj_part_id_seq'), (select id from obj_building_v where zip||'|'||street||'|'||name||'|'||volume = '5620|Zugerstrasse 16/18/20|Gewerbe und Garage|10035.00'), 'P7', 3, 90, 2013,'Radiatoren mit Thermostaten'),</v>
      </c>
    </row>
    <row r="1758" spans="1:8" x14ac:dyDescent="0.25">
      <c r="A1758" s="9" t="s">
        <v>2214</v>
      </c>
      <c r="B1758" s="9" t="s">
        <v>1135</v>
      </c>
      <c r="C1758">
        <v>3</v>
      </c>
      <c r="D1758">
        <v>90</v>
      </c>
      <c r="E1758">
        <v>2013</v>
      </c>
      <c r="F1758" s="9" t="s">
        <v>2118</v>
      </c>
      <c r="H1758" s="20" t="str">
        <f t="shared" si="27"/>
        <v>(nextval('obj_part_id_seq'), (select id from obj_building_v where zip||'|'||street||'|'||name||'|'||volume = '5620|Zugerstrasse 16/18/20|Gewerbe und Garage|10035.00'), 'P54', 3, 90, 2013,'Apparate funktionstüchtig'),</v>
      </c>
    </row>
    <row r="1759" spans="1:8" x14ac:dyDescent="0.25">
      <c r="A1759" s="9" t="s">
        <v>2214</v>
      </c>
      <c r="B1759" s="9" t="s">
        <v>1137</v>
      </c>
      <c r="C1759">
        <v>4</v>
      </c>
      <c r="D1759">
        <v>90</v>
      </c>
      <c r="E1759">
        <v>2013</v>
      </c>
      <c r="F1759" s="9" t="s">
        <v>2202</v>
      </c>
      <c r="H1759" s="20" t="str">
        <f t="shared" si="27"/>
        <v>(nextval('obj_part_id_seq'), (select id from obj_building_v where zip||'|'||street||'|'||name||'|'||volume = '5620|Zugerstrasse 16/18/20|Gewerbe und Garage|10035.00'), 'P55', 4, 90, 2013,'Genügender Druck vorhanden'),</v>
      </c>
    </row>
    <row r="1760" spans="1:8" x14ac:dyDescent="0.25">
      <c r="A1760" s="9" t="s">
        <v>2214</v>
      </c>
      <c r="B1760" s="9" t="s">
        <v>1155</v>
      </c>
      <c r="C1760">
        <v>0</v>
      </c>
      <c r="D1760" t="s">
        <v>4080</v>
      </c>
      <c r="E1760">
        <v>2013</v>
      </c>
      <c r="F1760" s="9"/>
      <c r="H1760" s="20" t="str">
        <f t="shared" si="27"/>
        <v>(nextval('obj_part_id_seq'), (select id from obj_building_v where zip||'|'||street||'|'||name||'|'||volume = '5620|Zugerstrasse 16/18/20|Gewerbe und Garage|10035.00'), 'P56', 0, null, 2013,null),</v>
      </c>
    </row>
    <row r="1761" spans="1:8" x14ac:dyDescent="0.25">
      <c r="A1761" s="9" t="s">
        <v>2214</v>
      </c>
      <c r="B1761" s="9" t="s">
        <v>1138</v>
      </c>
      <c r="C1761">
        <v>9</v>
      </c>
      <c r="D1761">
        <v>90</v>
      </c>
      <c r="E1761">
        <v>2013</v>
      </c>
      <c r="F1761" s="9" t="s">
        <v>2014</v>
      </c>
      <c r="H1761" s="20" t="str">
        <f t="shared" si="27"/>
        <v>(nextval('obj_part_id_seq'), (select id from obj_building_v where zip||'|'||street||'|'||name||'|'||volume = '5620|Zugerstrasse 16/18/20|Gewerbe und Garage|10035.00'), 'P57', 9, 90, 2013,'Einbauschränke'),</v>
      </c>
    </row>
    <row r="1762" spans="1:8" x14ac:dyDescent="0.25">
      <c r="A1762" s="9" t="s">
        <v>2214</v>
      </c>
      <c r="B1762" s="9" t="s">
        <v>1140</v>
      </c>
      <c r="C1762">
        <v>8</v>
      </c>
      <c r="D1762">
        <v>80</v>
      </c>
      <c r="E1762">
        <v>2013</v>
      </c>
      <c r="F1762" s="9" t="s">
        <v>2218</v>
      </c>
      <c r="H1762" s="20" t="str">
        <f t="shared" si="27"/>
        <v>(nextval('obj_part_id_seq'), (select id from obj_building_v where zip||'|'||street||'|'||name||'|'||volume = '5620|Zugerstrasse 16/18/20|Gewerbe und Garage|10035.00'), 'P58', 8, 80, 2013,'B: Kunststein, Linol, Parkett, W: Rauhfasertapete, gestrichen, D: gestrichen (Farbe blättert tw. ab)'),</v>
      </c>
    </row>
    <row r="1763" spans="1:8" x14ac:dyDescent="0.25">
      <c r="A1763" s="9" t="s">
        <v>2214</v>
      </c>
      <c r="B1763" s="9" t="s">
        <v>1157</v>
      </c>
      <c r="C1763">
        <v>4</v>
      </c>
      <c r="D1763">
        <v>90</v>
      </c>
      <c r="E1763">
        <v>2013</v>
      </c>
      <c r="F1763" s="9" t="s">
        <v>2219</v>
      </c>
      <c r="H1763" s="20" t="str">
        <f t="shared" si="27"/>
        <v>(nextval('obj_part_id_seq'), (select id from obj_building_v where zip||'|'||street||'|'||name||'|'||volume = '5620|Zugerstrasse 16/18/20|Gewerbe und Garage|10035.00'), 'P59', 4, 90, 2013,'Küche mit Glaskeramik, Abzug und GSP'),</v>
      </c>
    </row>
    <row r="1764" spans="1:8" x14ac:dyDescent="0.25">
      <c r="A1764" s="9" t="s">
        <v>2214</v>
      </c>
      <c r="B1764" s="9" t="s">
        <v>1142</v>
      </c>
      <c r="C1764">
        <v>0</v>
      </c>
      <c r="D1764" t="s">
        <v>4080</v>
      </c>
      <c r="E1764">
        <v>2013</v>
      </c>
      <c r="F1764" s="9"/>
      <c r="H1764" s="20" t="str">
        <f t="shared" si="27"/>
        <v>(nextval('obj_part_id_seq'), (select id from obj_building_v where zip||'|'||street||'|'||name||'|'||volume = '5620|Zugerstrasse 16/18/20|Gewerbe und Garage|10035.00'), 'P60', 0, null, 2013,null),</v>
      </c>
    </row>
    <row r="1765" spans="1:8" x14ac:dyDescent="0.25">
      <c r="A1765" s="9" t="s">
        <v>2214</v>
      </c>
      <c r="B1765" s="9" t="s">
        <v>1143</v>
      </c>
      <c r="C1765">
        <v>0</v>
      </c>
      <c r="D1765" t="s">
        <v>4080</v>
      </c>
      <c r="E1765">
        <v>2013</v>
      </c>
      <c r="F1765" s="9"/>
      <c r="H1765" s="20" t="str">
        <f t="shared" si="27"/>
        <v>(nextval('obj_part_id_seq'), (select id from obj_building_v where zip||'|'||street||'|'||name||'|'||volume = '5620|Zugerstrasse 16/18/20|Gewerbe und Garage|10035.00'), 'P61', 0, null, 2013,null),</v>
      </c>
    </row>
    <row r="1766" spans="1:8" x14ac:dyDescent="0.25">
      <c r="A1766" s="9" t="s">
        <v>2214</v>
      </c>
      <c r="B1766" s="9" t="s">
        <v>1144</v>
      </c>
      <c r="C1766">
        <v>0</v>
      </c>
      <c r="D1766" t="s">
        <v>4080</v>
      </c>
      <c r="E1766">
        <v>2013</v>
      </c>
      <c r="F1766" s="9"/>
      <c r="H1766" s="20" t="str">
        <f t="shared" si="27"/>
        <v>(nextval('obj_part_id_seq'), (select id from obj_building_v where zip||'|'||street||'|'||name||'|'||volume = '5620|Zugerstrasse 16/18/20|Gewerbe und Garage|10035.00'), 'P62', 0, null, 2013,null),</v>
      </c>
    </row>
    <row r="1767" spans="1:8" x14ac:dyDescent="0.25">
      <c r="A1767" s="9" t="s">
        <v>2220</v>
      </c>
      <c r="B1767" s="9" t="s">
        <v>1127</v>
      </c>
      <c r="C1767">
        <v>30</v>
      </c>
      <c r="D1767">
        <v>90</v>
      </c>
      <c r="E1767">
        <v>2013</v>
      </c>
      <c r="F1767" s="9" t="s">
        <v>2221</v>
      </c>
      <c r="H1767" s="20" t="str">
        <f t="shared" si="27"/>
        <v>(nextval('obj_part_id_seq'), (select id from obj_building_v where zip||'|'||street||'|'||name||'|'||volume = '5620|Obertorplatz 3|Oberer Zoll ganzes Haus|1957.00'), 'P48', 30, 90, 2013,'Mauerwerk, Metallsäulen'),</v>
      </c>
    </row>
    <row r="1768" spans="1:8" x14ac:dyDescent="0.25">
      <c r="A1768" s="9" t="s">
        <v>2220</v>
      </c>
      <c r="B1768" s="9" t="s">
        <v>1129</v>
      </c>
      <c r="C1768">
        <v>0</v>
      </c>
      <c r="D1768" t="s">
        <v>4080</v>
      </c>
      <c r="E1768">
        <v>2013</v>
      </c>
      <c r="F1768" s="9"/>
      <c r="H1768" s="20" t="str">
        <f t="shared" si="27"/>
        <v>(nextval('obj_part_id_seq'), (select id from obj_building_v where zip||'|'||street||'|'||name||'|'||volume = '5620|Obertorplatz 3|Oberer Zoll ganzes Haus|1957.00'), 'P49', 0, null, 2013,null),</v>
      </c>
    </row>
    <row r="1769" spans="1:8" x14ac:dyDescent="0.25">
      <c r="A1769" s="9" t="s">
        <v>2220</v>
      </c>
      <c r="B1769" s="9" t="s">
        <v>1097</v>
      </c>
      <c r="C1769">
        <v>13</v>
      </c>
      <c r="D1769">
        <v>90</v>
      </c>
      <c r="E1769">
        <v>2013</v>
      </c>
      <c r="F1769" s="9" t="s">
        <v>2222</v>
      </c>
      <c r="H1769" s="20" t="str">
        <f t="shared" si="27"/>
        <v>(nextval('obj_part_id_seq'), (select id from obj_building_v where zip||'|'||street||'|'||name||'|'||volume = '5620|Obertorplatz 3|Oberer Zoll ganzes Haus|1957.00'), 'P2', 13, 90, 2013,'Dachdeckung gem. Liegenschaftenverwalter ohne Mängel'),</v>
      </c>
    </row>
    <row r="1770" spans="1:8" x14ac:dyDescent="0.25">
      <c r="A1770" s="9" t="s">
        <v>2220</v>
      </c>
      <c r="B1770" s="9" t="s">
        <v>1099</v>
      </c>
      <c r="C1770">
        <v>0</v>
      </c>
      <c r="D1770" t="s">
        <v>4080</v>
      </c>
      <c r="E1770">
        <v>2013</v>
      </c>
      <c r="F1770" s="9"/>
      <c r="H1770" s="20" t="str">
        <f t="shared" si="27"/>
        <v>(nextval('obj_part_id_seq'), (select id from obj_building_v where zip||'|'||street||'|'||name||'|'||volume = '5620|Obertorplatz 3|Oberer Zoll ganzes Haus|1957.00'), 'P3', 0, null, 2013,null),</v>
      </c>
    </row>
    <row r="1771" spans="1:8" x14ac:dyDescent="0.25">
      <c r="A1771" s="9" t="s">
        <v>2220</v>
      </c>
      <c r="B1771" s="9" t="s">
        <v>1100</v>
      </c>
      <c r="C1771">
        <v>8</v>
      </c>
      <c r="D1771">
        <v>90</v>
      </c>
      <c r="E1771">
        <v>2013</v>
      </c>
      <c r="F1771" s="9" t="s">
        <v>2223</v>
      </c>
      <c r="H1771" s="20" t="str">
        <f t="shared" si="27"/>
        <v>(nextval('obj_part_id_seq'), (select id from obj_building_v where zip||'|'||street||'|'||name||'|'||volume = '5620|Obertorplatz 3|Oberer Zoll ganzes Haus|1957.00'), 'P4', 8, 90, 2013,'Weissputz, Verputz aussen'),</v>
      </c>
    </row>
    <row r="1772" spans="1:8" x14ac:dyDescent="0.25">
      <c r="A1772" s="9" t="s">
        <v>2220</v>
      </c>
      <c r="B1772" s="9" t="s">
        <v>1102</v>
      </c>
      <c r="C1772">
        <v>13</v>
      </c>
      <c r="D1772">
        <v>90</v>
      </c>
      <c r="E1772">
        <v>2013</v>
      </c>
      <c r="F1772" s="9" t="s">
        <v>2224</v>
      </c>
      <c r="H1772" s="20" t="str">
        <f t="shared" si="27"/>
        <v>(nextval('obj_part_id_seq'), (select id from obj_building_v where zip||'|'||street||'|'||name||'|'||volume = '5620|Obertorplatz 3|Oberer Zoll ganzes Haus|1957.00'), 'P5', 13, 90, 2013,'Holz, Doppelverglasung, Holzläden'),</v>
      </c>
    </row>
    <row r="1773" spans="1:8" x14ac:dyDescent="0.25">
      <c r="A1773" s="9" t="s">
        <v>2220</v>
      </c>
      <c r="B1773" s="9" t="s">
        <v>1110</v>
      </c>
      <c r="C1773">
        <v>3</v>
      </c>
      <c r="D1773">
        <v>90</v>
      </c>
      <c r="E1773">
        <v>2013</v>
      </c>
      <c r="F1773" s="9" t="s">
        <v>2225</v>
      </c>
      <c r="H1773" s="20" t="str">
        <f t="shared" si="27"/>
        <v>(nextval('obj_part_id_seq'), (select id from obj_building_v where zip||'|'||street||'|'||name||'|'||volume = '5620|Obertorplatz 3|Oberer Zoll ganzes Haus|1957.00'), 'P9', 3, 90, 2013,'alte Keramiksicherungen, EDV, Kopierer, Brandmeldeanlage'),</v>
      </c>
    </row>
    <row r="1774" spans="1:8" x14ac:dyDescent="0.25">
      <c r="A1774" s="9" t="s">
        <v>2220</v>
      </c>
      <c r="B1774" s="9" t="s">
        <v>1104</v>
      </c>
      <c r="C1774">
        <v>4</v>
      </c>
      <c r="D1774">
        <v>90</v>
      </c>
      <c r="E1774">
        <v>2013</v>
      </c>
      <c r="F1774" s="9" t="s">
        <v>2226</v>
      </c>
      <c r="H1774" s="20" t="str">
        <f t="shared" si="27"/>
        <v>(nextval('obj_part_id_seq'), (select id from obj_building_v where zip||'|'||street||'|'||name||'|'||volume = '5620|Obertorplatz 3|Oberer Zoll ganzes Haus|1957.00'), 'P6', 4, 90, 2013,'Fernwärmeanschluss wird noch nicht genutzt, Boiler rel. neu, Durchlauferhitzer im Büro EG'),</v>
      </c>
    </row>
    <row r="1775" spans="1:8" x14ac:dyDescent="0.25">
      <c r="A1775" s="9" t="s">
        <v>2220</v>
      </c>
      <c r="B1775" s="9" t="s">
        <v>1106</v>
      </c>
      <c r="C1775">
        <v>3</v>
      </c>
      <c r="D1775">
        <v>90</v>
      </c>
      <c r="E1775">
        <v>2013</v>
      </c>
      <c r="F1775" s="9" t="s">
        <v>2227</v>
      </c>
      <c r="H1775" s="20" t="str">
        <f t="shared" si="27"/>
        <v>(nextval('obj_part_id_seq'), (select id from obj_building_v where zip||'|'||street||'|'||name||'|'||volume = '5620|Obertorplatz 3|Oberer Zoll ganzes Haus|1957.00'), 'P7', 3, 90, 2013,'Elektroheizung'),</v>
      </c>
    </row>
    <row r="1776" spans="1:8" x14ac:dyDescent="0.25">
      <c r="A1776" s="9" t="s">
        <v>2220</v>
      </c>
      <c r="B1776" s="9" t="s">
        <v>1135</v>
      </c>
      <c r="C1776">
        <v>2</v>
      </c>
      <c r="D1776">
        <v>90</v>
      </c>
      <c r="E1776">
        <v>2013</v>
      </c>
      <c r="F1776" s="9" t="s">
        <v>2118</v>
      </c>
      <c r="H1776" s="20" t="str">
        <f t="shared" si="27"/>
        <v>(nextval('obj_part_id_seq'), (select id from obj_building_v where zip||'|'||street||'|'||name||'|'||volume = '5620|Obertorplatz 3|Oberer Zoll ganzes Haus|1957.00'), 'P54', 2, 90, 2013,'Apparate funktionstüchtig'),</v>
      </c>
    </row>
    <row r="1777" spans="1:8" x14ac:dyDescent="0.25">
      <c r="A1777" s="9" t="s">
        <v>2220</v>
      </c>
      <c r="B1777" s="9" t="s">
        <v>1137</v>
      </c>
      <c r="C1777">
        <v>4</v>
      </c>
      <c r="D1777">
        <v>90</v>
      </c>
      <c r="E1777">
        <v>2013</v>
      </c>
      <c r="F1777" s="9" t="s">
        <v>2202</v>
      </c>
      <c r="H1777" s="20" t="str">
        <f t="shared" si="27"/>
        <v>(nextval('obj_part_id_seq'), (select id from obj_building_v where zip||'|'||street||'|'||name||'|'||volume = '5620|Obertorplatz 3|Oberer Zoll ganzes Haus|1957.00'), 'P55', 4, 90, 2013,'Genügender Druck vorhanden'),</v>
      </c>
    </row>
    <row r="1778" spans="1:8" x14ac:dyDescent="0.25">
      <c r="A1778" s="9" t="s">
        <v>2220</v>
      </c>
      <c r="B1778" s="9" t="s">
        <v>1138</v>
      </c>
      <c r="C1778">
        <v>10</v>
      </c>
      <c r="D1778">
        <v>90</v>
      </c>
      <c r="E1778">
        <v>2013</v>
      </c>
      <c r="F1778" s="9" t="s">
        <v>2228</v>
      </c>
      <c r="H1778" s="20" t="str">
        <f t="shared" si="27"/>
        <v>(nextval('obj_part_id_seq'), (select id from obj_building_v where zip||'|'||street||'|'||name||'|'||volume = '5620|Obertorplatz 3|Oberer Zoll ganzes Haus|1957.00'), 'P57', 10, 90, 2013,'Glaswand, Einbauschränke, Schalterhalle'),</v>
      </c>
    </row>
    <row r="1779" spans="1:8" x14ac:dyDescent="0.25">
      <c r="A1779" s="9" t="s">
        <v>2220</v>
      </c>
      <c r="B1779" s="9" t="s">
        <v>1140</v>
      </c>
      <c r="C1779">
        <v>6</v>
      </c>
      <c r="D1779">
        <v>90</v>
      </c>
      <c r="E1779">
        <v>2013</v>
      </c>
      <c r="F1779" s="9" t="s">
        <v>2229</v>
      </c>
      <c r="H1779" s="20" t="str">
        <f t="shared" si="27"/>
        <v>(nextval('obj_part_id_seq'), (select id from obj_building_v where zip||'|'||street||'|'||name||'|'||volume = '5620|Obertorplatz 3|Oberer Zoll ganzes Haus|1957.00'), 'P58', 6, 90, 2013,'B: Klinker, Holztreppen,  Teppich, Keramik, Laminat, Porphyrplatten, D: heruntergehängte Gipsdecke, Täfer W: Verputz'),</v>
      </c>
    </row>
    <row r="1780" spans="1:8" x14ac:dyDescent="0.25">
      <c r="A1780" s="9" t="s">
        <v>2220</v>
      </c>
      <c r="B1780" s="9" t="s">
        <v>1157</v>
      </c>
      <c r="C1780">
        <v>4</v>
      </c>
      <c r="D1780">
        <v>90</v>
      </c>
      <c r="E1780">
        <v>2013</v>
      </c>
      <c r="F1780" s="9" t="s">
        <v>2230</v>
      </c>
      <c r="H1780" s="20" t="str">
        <f t="shared" si="27"/>
        <v>(nextval('obj_part_id_seq'), (select id from obj_building_v where zip||'|'||street||'|'||name||'|'||volume = '5620|Obertorplatz 3|Oberer Zoll ganzes Haus|1957.00'), 'P59', 4, 90, 2013,'Teeküche'),</v>
      </c>
    </row>
    <row r="1781" spans="1:8" x14ac:dyDescent="0.25">
      <c r="A1781" s="9" t="s">
        <v>2220</v>
      </c>
      <c r="B1781" s="9" t="s">
        <v>1142</v>
      </c>
      <c r="C1781">
        <v>0</v>
      </c>
      <c r="D1781" t="s">
        <v>4080</v>
      </c>
      <c r="E1781">
        <v>2013</v>
      </c>
      <c r="F1781" s="9"/>
      <c r="H1781" s="20" t="str">
        <f t="shared" si="27"/>
        <v>(nextval('obj_part_id_seq'), (select id from obj_building_v where zip||'|'||street||'|'||name||'|'||volume = '5620|Obertorplatz 3|Oberer Zoll ganzes Haus|1957.00'), 'P60', 0, null, 2013,null),</v>
      </c>
    </row>
    <row r="1782" spans="1:8" x14ac:dyDescent="0.25">
      <c r="A1782" s="9" t="s">
        <v>2220</v>
      </c>
      <c r="B1782" s="9" t="s">
        <v>1143</v>
      </c>
      <c r="C1782">
        <v>0</v>
      </c>
      <c r="D1782" t="s">
        <v>4080</v>
      </c>
      <c r="E1782">
        <v>2013</v>
      </c>
      <c r="F1782" s="9"/>
      <c r="H1782" s="20" t="str">
        <f t="shared" si="27"/>
        <v>(nextval('obj_part_id_seq'), (select id from obj_building_v where zip||'|'||street||'|'||name||'|'||volume = '5620|Obertorplatz 3|Oberer Zoll ganzes Haus|1957.00'), 'P61', 0, null, 2013,null),</v>
      </c>
    </row>
    <row r="1783" spans="1:8" x14ac:dyDescent="0.25">
      <c r="A1783" s="9" t="s">
        <v>2220</v>
      </c>
      <c r="B1783" s="9" t="s">
        <v>1144</v>
      </c>
      <c r="C1783">
        <v>0</v>
      </c>
      <c r="D1783" t="s">
        <v>4080</v>
      </c>
      <c r="E1783">
        <v>2013</v>
      </c>
      <c r="F1783" s="9"/>
      <c r="H1783" s="20" t="str">
        <f t="shared" si="27"/>
        <v>(nextval('obj_part_id_seq'), (select id from obj_building_v where zip||'|'||street||'|'||name||'|'||volume = '5620|Obertorplatz 3|Oberer Zoll ganzes Haus|1957.00'), 'P62', 0, null, 2013,null),</v>
      </c>
    </row>
    <row r="1784" spans="1:8" x14ac:dyDescent="0.25">
      <c r="A1784" s="9" t="s">
        <v>2231</v>
      </c>
      <c r="B1784" s="9" t="s">
        <v>1127</v>
      </c>
      <c r="C1784">
        <v>37</v>
      </c>
      <c r="D1784">
        <v>90</v>
      </c>
      <c r="E1784">
        <v>2013</v>
      </c>
      <c r="F1784" s="9" t="s">
        <v>2232</v>
      </c>
      <c r="H1784" s="20" t="str">
        <f t="shared" si="27"/>
        <v>(nextval('obj_part_id_seq'), (select id from obj_building_v where zip||'|'||street||'|'||name||'|'||volume = '5620|Schellenhausplatz|Zeughaus|3215.00'), 'P48', 37, 90, 2013,'Einsteinmauerwerk, Holzbalkendecken'),</v>
      </c>
    </row>
    <row r="1785" spans="1:8" x14ac:dyDescent="0.25">
      <c r="A1785" s="9" t="s">
        <v>2231</v>
      </c>
      <c r="B1785" s="9" t="s">
        <v>1129</v>
      </c>
      <c r="C1785">
        <v>0</v>
      </c>
      <c r="D1785" t="s">
        <v>4080</v>
      </c>
      <c r="E1785">
        <v>2013</v>
      </c>
      <c r="F1785" s="9"/>
      <c r="H1785" s="20" t="str">
        <f t="shared" si="27"/>
        <v>(nextval('obj_part_id_seq'), (select id from obj_building_v where zip||'|'||street||'|'||name||'|'||volume = '5620|Schellenhausplatz|Zeughaus|3215.00'), 'P49', 0, null, 2013,null),</v>
      </c>
    </row>
    <row r="1786" spans="1:8" x14ac:dyDescent="0.25">
      <c r="A1786" s="9" t="s">
        <v>2231</v>
      </c>
      <c r="B1786" s="9" t="s">
        <v>1097</v>
      </c>
      <c r="C1786">
        <v>14</v>
      </c>
      <c r="D1786">
        <v>90</v>
      </c>
      <c r="E1786">
        <v>2013</v>
      </c>
      <c r="F1786" s="9" t="s">
        <v>1370</v>
      </c>
      <c r="H1786" s="20" t="str">
        <f t="shared" si="27"/>
        <v>(nextval('obj_part_id_seq'), (select id from obj_building_v where zip||'|'||street||'|'||name||'|'||volume = '5620|Schellenhausplatz|Zeughaus|3215.00'), 'P2', 14, 90, 2013,'Ziegeldach'),</v>
      </c>
    </row>
    <row r="1787" spans="1:8" x14ac:dyDescent="0.25">
      <c r="A1787" s="9" t="s">
        <v>2231</v>
      </c>
      <c r="B1787" s="9" t="s">
        <v>1099</v>
      </c>
      <c r="C1787">
        <v>0</v>
      </c>
      <c r="D1787" t="s">
        <v>4080</v>
      </c>
      <c r="E1787">
        <v>2013</v>
      </c>
      <c r="F1787" s="9"/>
      <c r="H1787" s="20" t="str">
        <f t="shared" si="27"/>
        <v>(nextval('obj_part_id_seq'), (select id from obj_building_v where zip||'|'||street||'|'||name||'|'||volume = '5620|Schellenhausplatz|Zeughaus|3215.00'), 'P3', 0, null, 2013,null),</v>
      </c>
    </row>
    <row r="1788" spans="1:8" x14ac:dyDescent="0.25">
      <c r="A1788" s="9" t="s">
        <v>2231</v>
      </c>
      <c r="B1788" s="9" t="s">
        <v>1100</v>
      </c>
      <c r="C1788">
        <v>12</v>
      </c>
      <c r="D1788">
        <v>90</v>
      </c>
      <c r="E1788">
        <v>2013</v>
      </c>
      <c r="F1788" s="9" t="s">
        <v>2233</v>
      </c>
      <c r="H1788" s="20" t="str">
        <f t="shared" si="27"/>
        <v>(nextval('obj_part_id_seq'), (select id from obj_building_v where zip||'|'||street||'|'||name||'|'||volume = '5620|Schellenhausplatz|Zeughaus|3215.00'), 'P4', 12, 90, 2013,'verputztes und gestrichenes Natursteinmauerwerk'),</v>
      </c>
    </row>
    <row r="1789" spans="1:8" x14ac:dyDescent="0.25">
      <c r="A1789" s="9" t="s">
        <v>2231</v>
      </c>
      <c r="B1789" s="9" t="s">
        <v>1102</v>
      </c>
      <c r="C1789">
        <v>10</v>
      </c>
      <c r="D1789">
        <v>90</v>
      </c>
      <c r="E1789">
        <v>2013</v>
      </c>
      <c r="F1789" s="9" t="s">
        <v>2234</v>
      </c>
      <c r="H1789" s="20" t="str">
        <f t="shared" si="27"/>
        <v>(nextval('obj_part_id_seq'), (select id from obj_building_v where zip||'|'||street||'|'||name||'|'||volume = '5620|Schellenhausplatz|Zeughaus|3215.00'), 'P5', 10, 90, 2013,'Holz mit Doppelverglasung, Holzläden, Eisengitter'),</v>
      </c>
    </row>
    <row r="1790" spans="1:8" x14ac:dyDescent="0.25">
      <c r="A1790" s="9" t="s">
        <v>2231</v>
      </c>
      <c r="B1790" s="9" t="s">
        <v>1110</v>
      </c>
      <c r="C1790">
        <v>3</v>
      </c>
      <c r="D1790">
        <v>90</v>
      </c>
      <c r="E1790">
        <v>2013</v>
      </c>
      <c r="F1790" s="9" t="s">
        <v>2235</v>
      </c>
      <c r="H1790" s="20" t="str">
        <f t="shared" si="27"/>
        <v>(nextval('obj_part_id_seq'), (select id from obj_building_v where zip||'|'||street||'|'||name||'|'||volume = '5620|Schellenhausplatz|Zeughaus|3215.00'), 'P9', 3, 90, 2013,'Brandmeldeanlage, alte Lichtschalter, jedoch noch funktionstüchtig'),</v>
      </c>
    </row>
    <row r="1791" spans="1:8" x14ac:dyDescent="0.25">
      <c r="A1791" s="9" t="s">
        <v>2231</v>
      </c>
      <c r="B1791" s="9" t="s">
        <v>1104</v>
      </c>
      <c r="C1791">
        <v>1</v>
      </c>
      <c r="D1791">
        <v>90</v>
      </c>
      <c r="E1791">
        <v>2013</v>
      </c>
      <c r="F1791" s="9" t="s">
        <v>2236</v>
      </c>
      <c r="H1791" s="20" t="str">
        <f t="shared" si="27"/>
        <v>(nextval('obj_part_id_seq'), (select id from obj_building_v where zip||'|'||street||'|'||name||'|'||volume = '5620|Schellenhausplatz|Zeughaus|3215.00'), 'P6', 1, 90, 2013,'Elektrospeicherheizung (Fernwärme vorgesehen)'),</v>
      </c>
    </row>
    <row r="1792" spans="1:8" x14ac:dyDescent="0.25">
      <c r="A1792" s="9" t="s">
        <v>2231</v>
      </c>
      <c r="B1792" s="9" t="s">
        <v>1106</v>
      </c>
      <c r="C1792">
        <v>3</v>
      </c>
      <c r="D1792">
        <v>90</v>
      </c>
      <c r="E1792">
        <v>2013</v>
      </c>
      <c r="F1792" s="9" t="s">
        <v>2237</v>
      </c>
      <c r="H1792" s="20" t="str">
        <f t="shared" si="27"/>
        <v>(nextval('obj_part_id_seq'), (select id from obj_building_v where zip||'|'||street||'|'||name||'|'||volume = '5620|Schellenhausplatz|Zeughaus|3215.00'), 'P7', 3, 90, 2013,'Elektroheizungen'),</v>
      </c>
    </row>
    <row r="1793" spans="1:8" x14ac:dyDescent="0.25">
      <c r="A1793" s="9" t="s">
        <v>2231</v>
      </c>
      <c r="B1793" s="9" t="s">
        <v>1403</v>
      </c>
      <c r="C1793">
        <v>0</v>
      </c>
      <c r="D1793" t="s">
        <v>4080</v>
      </c>
      <c r="E1793">
        <v>2013</v>
      </c>
      <c r="F1793" s="9"/>
      <c r="H1793" s="20" t="str">
        <f t="shared" si="27"/>
        <v>(nextval('obj_part_id_seq'), (select id from obj_building_v where zip||'|'||street||'|'||name||'|'||volume = '5620|Schellenhausplatz|Zeughaus|3215.00'), 'P52', 0, null, 2013,null),</v>
      </c>
    </row>
    <row r="1794" spans="1:8" x14ac:dyDescent="0.25">
      <c r="A1794" s="9" t="s">
        <v>2231</v>
      </c>
      <c r="B1794" s="9" t="s">
        <v>1404</v>
      </c>
      <c r="C1794">
        <v>0</v>
      </c>
      <c r="D1794" t="s">
        <v>4080</v>
      </c>
      <c r="E1794">
        <v>2013</v>
      </c>
      <c r="F1794" s="9"/>
      <c r="H1794" s="20" t="str">
        <f t="shared" si="27"/>
        <v>(nextval('obj_part_id_seq'), (select id from obj_building_v where zip||'|'||street||'|'||name||'|'||volume = '5620|Schellenhausplatz|Zeughaus|3215.00'), 'P53', 0, null, 2013,null),</v>
      </c>
    </row>
    <row r="1795" spans="1:8" x14ac:dyDescent="0.25">
      <c r="A1795" s="9" t="s">
        <v>2231</v>
      </c>
      <c r="B1795" s="9" t="s">
        <v>1108</v>
      </c>
      <c r="C1795">
        <v>5</v>
      </c>
      <c r="D1795">
        <v>90</v>
      </c>
      <c r="E1795">
        <v>2013</v>
      </c>
      <c r="F1795" s="9" t="s">
        <v>2238</v>
      </c>
      <c r="H1795" s="20" t="str">
        <f t="shared" si="27"/>
        <v>(nextval('obj_part_id_seq'), (select id from obj_building_v where zip||'|'||street||'|'||name||'|'||volume = '5620|Schellenhausplatz|Zeughaus|3215.00'), 'P8', 5, 90, 2013,'Apparate und Leitungen funktionstüchtig, Feuerlöschposten'),</v>
      </c>
    </row>
    <row r="1796" spans="1:8" x14ac:dyDescent="0.25">
      <c r="A1796" s="9" t="s">
        <v>2231</v>
      </c>
      <c r="B1796" s="9" t="s">
        <v>1138</v>
      </c>
      <c r="C1796">
        <v>11</v>
      </c>
      <c r="D1796">
        <v>90</v>
      </c>
      <c r="E1796">
        <v>2013</v>
      </c>
      <c r="F1796" s="9" t="s">
        <v>2239</v>
      </c>
      <c r="H1796" s="20" t="str">
        <f t="shared" si="27"/>
        <v>(nextval('obj_part_id_seq'), (select id from obj_building_v where zip||'|'||street||'|'||name||'|'||volume = '5620|Schellenhausplatz|Zeughaus|3215.00'), 'P57', 11, 90, 2013,'Holztüre, Holztreppe'),</v>
      </c>
    </row>
    <row r="1797" spans="1:8" x14ac:dyDescent="0.25">
      <c r="A1797" s="9" t="s">
        <v>2231</v>
      </c>
      <c r="B1797" s="9" t="s">
        <v>1140</v>
      </c>
      <c r="C1797">
        <v>4</v>
      </c>
      <c r="D1797">
        <v>90</v>
      </c>
      <c r="E1797">
        <v>2013</v>
      </c>
      <c r="F1797" s="9" t="s">
        <v>2240</v>
      </c>
      <c r="H1797" s="20" t="str">
        <f t="shared" ref="H1797:H1860" si="28">"(nextval('obj_part_id_seq'), (select id from obj_building_v where zip||'|'||street||'|'||name||'|'||volume = '"&amp;A1797&amp;"'), '"&amp;B1797&amp;"', "&amp;C1797&amp;", "&amp;D1797&amp;", "&amp;IF(ISBLANK(E1797),"null",E1797)&amp;","&amp;IF(ISBLANK(F1797),"null","'"&amp;F1797&amp;"'")&amp;"),"</f>
        <v>(nextval('obj_part_id_seq'), (select id from obj_building_v where zip||'|'||street||'|'||name||'|'||volume = '5620|Schellenhausplatz|Zeughaus|3215.00'), 'P58', 4, 90, 2013,'B: Klinker, Teppich, W: Täfer, Verputz, D: Holzbalken'),</v>
      </c>
    </row>
    <row r="1798" spans="1:8" x14ac:dyDescent="0.25">
      <c r="A1798" s="9" t="s">
        <v>2231</v>
      </c>
      <c r="B1798" s="9" t="s">
        <v>1157</v>
      </c>
      <c r="C1798">
        <v>0</v>
      </c>
      <c r="D1798" t="s">
        <v>4080</v>
      </c>
      <c r="E1798">
        <v>2013</v>
      </c>
      <c r="F1798" s="9"/>
      <c r="H1798" s="20" t="str">
        <f t="shared" si="28"/>
        <v>(nextval('obj_part_id_seq'), (select id from obj_building_v where zip||'|'||street||'|'||name||'|'||volume = '5620|Schellenhausplatz|Zeughaus|3215.00'), 'P59', 0, null, 2013,null),</v>
      </c>
    </row>
    <row r="1799" spans="1:8" x14ac:dyDescent="0.25">
      <c r="A1799" s="9" t="s">
        <v>2231</v>
      </c>
      <c r="B1799" s="9" t="s">
        <v>1142</v>
      </c>
      <c r="C1799">
        <v>0</v>
      </c>
      <c r="D1799" t="s">
        <v>4080</v>
      </c>
      <c r="E1799">
        <v>2013</v>
      </c>
      <c r="F1799" s="9"/>
      <c r="H1799" s="20" t="str">
        <f t="shared" si="28"/>
        <v>(nextval('obj_part_id_seq'), (select id from obj_building_v where zip||'|'||street||'|'||name||'|'||volume = '5620|Schellenhausplatz|Zeughaus|3215.00'), 'P60', 0, null, 2013,null),</v>
      </c>
    </row>
    <row r="1800" spans="1:8" x14ac:dyDescent="0.25">
      <c r="A1800" s="9" t="s">
        <v>2231</v>
      </c>
      <c r="B1800" s="9" t="s">
        <v>1143</v>
      </c>
      <c r="C1800">
        <v>0</v>
      </c>
      <c r="D1800" t="s">
        <v>4080</v>
      </c>
      <c r="E1800">
        <v>2013</v>
      </c>
      <c r="F1800" s="9"/>
      <c r="H1800" s="20" t="str">
        <f t="shared" si="28"/>
        <v>(nextval('obj_part_id_seq'), (select id from obj_building_v where zip||'|'||street||'|'||name||'|'||volume = '5620|Schellenhausplatz|Zeughaus|3215.00'), 'P61', 0, null, 2013,null),</v>
      </c>
    </row>
    <row r="1801" spans="1:8" x14ac:dyDescent="0.25">
      <c r="A1801" s="9" t="s">
        <v>2231</v>
      </c>
      <c r="B1801" s="9" t="s">
        <v>1144</v>
      </c>
      <c r="C1801">
        <v>0</v>
      </c>
      <c r="D1801" t="s">
        <v>4080</v>
      </c>
      <c r="E1801">
        <v>2013</v>
      </c>
      <c r="F1801" s="9"/>
      <c r="H1801" s="20" t="str">
        <f t="shared" si="28"/>
        <v>(nextval('obj_part_id_seq'), (select id from obj_building_v where zip||'|'||street||'|'||name||'|'||volume = '5620|Schellenhausplatz|Zeughaus|3215.00'), 'P62', 0, null, 2013,null),</v>
      </c>
    </row>
    <row r="1802" spans="1:8" x14ac:dyDescent="0.25">
      <c r="A1802" s="9" t="s">
        <v>2241</v>
      </c>
      <c r="B1802" s="9" t="s">
        <v>1127</v>
      </c>
      <c r="C1802">
        <v>24</v>
      </c>
      <c r="D1802">
        <v>90</v>
      </c>
      <c r="E1802">
        <v>2013</v>
      </c>
      <c r="F1802" s="9" t="s">
        <v>2242</v>
      </c>
      <c r="H1802" s="20" t="str">
        <f t="shared" si="28"/>
        <v>(nextval('obj_part_id_seq'), (select id from obj_building_v where zip||'|'||street||'|'||name||'|'||volume = '5620|Schellenhausplatz|Schellenhaus|5672.00'), 'P48', 24, 90, 2013,'Bruchsteinmauerwerk mit Holzbalkendecken'),</v>
      </c>
    </row>
    <row r="1803" spans="1:8" x14ac:dyDescent="0.25">
      <c r="A1803" s="9" t="s">
        <v>2241</v>
      </c>
      <c r="B1803" s="9" t="s">
        <v>1129</v>
      </c>
      <c r="C1803">
        <v>0</v>
      </c>
      <c r="D1803" t="s">
        <v>4080</v>
      </c>
      <c r="E1803">
        <v>2013</v>
      </c>
      <c r="F1803" s="9"/>
      <c r="H1803" s="20" t="str">
        <f t="shared" si="28"/>
        <v>(nextval('obj_part_id_seq'), (select id from obj_building_v where zip||'|'||street||'|'||name||'|'||volume = '5620|Schellenhausplatz|Schellenhaus|5672.00'), 'P49', 0, null, 2013,null),</v>
      </c>
    </row>
    <row r="1804" spans="1:8" x14ac:dyDescent="0.25">
      <c r="A1804" s="9" t="s">
        <v>2241</v>
      </c>
      <c r="B1804" s="9" t="s">
        <v>1097</v>
      </c>
      <c r="C1804">
        <v>14</v>
      </c>
      <c r="D1804">
        <v>90</v>
      </c>
      <c r="E1804">
        <v>2013</v>
      </c>
      <c r="F1804" s="9" t="s">
        <v>2243</v>
      </c>
      <c r="H1804" s="20" t="str">
        <f t="shared" si="28"/>
        <v>(nextval('obj_part_id_seq'), (select id from obj_building_v where zip||'|'||street||'|'||name||'|'||volume = '5620|Schellenhausplatz|Schellenhaus|5672.00'), 'P2', 14, 90, 2013,'Pfettendach mit isoliertem Dachraum, Biberschwanzziegel, Holzwerk i.O.'),</v>
      </c>
    </row>
    <row r="1805" spans="1:8" x14ac:dyDescent="0.25">
      <c r="A1805" s="9" t="s">
        <v>2241</v>
      </c>
      <c r="B1805" s="9" t="s">
        <v>1099</v>
      </c>
      <c r="C1805">
        <v>0</v>
      </c>
      <c r="D1805" t="s">
        <v>4080</v>
      </c>
      <c r="E1805">
        <v>2013</v>
      </c>
      <c r="F1805" s="9"/>
      <c r="H1805" s="20" t="str">
        <f t="shared" si="28"/>
        <v>(nextval('obj_part_id_seq'), (select id from obj_building_v where zip||'|'||street||'|'||name||'|'||volume = '5620|Schellenhausplatz|Schellenhaus|5672.00'), 'P3', 0, null, 2013,null),</v>
      </c>
    </row>
    <row r="1806" spans="1:8" x14ac:dyDescent="0.25">
      <c r="A1806" s="9" t="s">
        <v>2241</v>
      </c>
      <c r="B1806" s="9" t="s">
        <v>1100</v>
      </c>
      <c r="C1806">
        <v>12</v>
      </c>
      <c r="D1806">
        <v>85</v>
      </c>
      <c r="E1806">
        <v>2013</v>
      </c>
      <c r="F1806" s="9" t="s">
        <v>2244</v>
      </c>
      <c r="H1806" s="20" t="str">
        <f t="shared" si="28"/>
        <v>(nextval('obj_part_id_seq'), (select id from obj_building_v where zip||'|'||street||'|'||name||'|'||volume = '5620|Schellenhausplatz|Schellenhaus|5672.00'), 'P4', 12, 85, 2013,'Verputz, tw. verschmutzt, Riss in Giebelfassade mit Verfärbungen im Putz (Feuchteschaden)'),</v>
      </c>
    </row>
    <row r="1807" spans="1:8" x14ac:dyDescent="0.25">
      <c r="A1807" s="9" t="s">
        <v>2241</v>
      </c>
      <c r="B1807" s="9" t="s">
        <v>1102</v>
      </c>
      <c r="C1807">
        <v>9</v>
      </c>
      <c r="D1807">
        <v>90</v>
      </c>
      <c r="E1807">
        <v>2013</v>
      </c>
      <c r="F1807" s="9" t="s">
        <v>2245</v>
      </c>
      <c r="H1807" s="20" t="str">
        <f t="shared" si="28"/>
        <v>(nextval('obj_part_id_seq'), (select id from obj_building_v where zip||'|'||street||'|'||name||'|'||volume = '5620|Schellenhausplatz|Schellenhaus|5672.00'), 'P5', 9, 90, 2013,'Holz (''06), IV-Verglasung mit aufgeklebten Kunststoffsprossen'),</v>
      </c>
    </row>
    <row r="1808" spans="1:8" x14ac:dyDescent="0.25">
      <c r="A1808" s="9" t="s">
        <v>2241</v>
      </c>
      <c r="B1808" s="9" t="s">
        <v>1110</v>
      </c>
      <c r="C1808">
        <v>4</v>
      </c>
      <c r="D1808">
        <v>90</v>
      </c>
      <c r="E1808">
        <v>2013</v>
      </c>
      <c r="F1808" s="9" t="s">
        <v>2246</v>
      </c>
      <c r="H1808" s="20" t="str">
        <f t="shared" si="28"/>
        <v>(nextval('obj_part_id_seq'), (select id from obj_building_v where zip||'|'||street||'|'||name||'|'||volume = '5620|Schellenhausplatz|Schellenhaus|5672.00'), 'P9', 4, 90, 2013,'Tw. alte Keramiksicherungen, Absicherung jedoch  i.O., BMA, Bühnentechnik'),</v>
      </c>
    </row>
    <row r="1809" spans="1:8" x14ac:dyDescent="0.25">
      <c r="A1809" s="9" t="s">
        <v>2241</v>
      </c>
      <c r="B1809" s="9" t="s">
        <v>1104</v>
      </c>
      <c r="C1809">
        <v>0</v>
      </c>
      <c r="D1809" t="s">
        <v>4080</v>
      </c>
      <c r="E1809">
        <v>2013</v>
      </c>
      <c r="F1809" s="9" t="s">
        <v>1235</v>
      </c>
      <c r="H1809" s="20" t="str">
        <f t="shared" si="28"/>
        <v>(nextval('obj_part_id_seq'), (select id from obj_building_v where zip||'|'||street||'|'||name||'|'||volume = '5620|Schellenhausplatz|Schellenhaus|5672.00'), 'P6', 0, null, 2013,'Fernwärme'),</v>
      </c>
    </row>
    <row r="1810" spans="1:8" x14ac:dyDescent="0.25">
      <c r="A1810" s="9" t="s">
        <v>2241</v>
      </c>
      <c r="B1810" s="9" t="s">
        <v>1106</v>
      </c>
      <c r="C1810">
        <v>4</v>
      </c>
      <c r="D1810">
        <v>90</v>
      </c>
      <c r="E1810">
        <v>2013</v>
      </c>
      <c r="F1810" s="9" t="s">
        <v>1107</v>
      </c>
      <c r="H1810" s="20" t="str">
        <f t="shared" si="28"/>
        <v>(nextval('obj_part_id_seq'), (select id from obj_building_v where zip||'|'||street||'|'||name||'|'||volume = '5620|Schellenhausplatz|Schellenhaus|5672.00'), 'P7', 4, 90, 2013,'Radiatoren mit Thermostaten'),</v>
      </c>
    </row>
    <row r="1811" spans="1:8" x14ac:dyDescent="0.25">
      <c r="A1811" s="9" t="s">
        <v>2241</v>
      </c>
      <c r="B1811" s="9" t="s">
        <v>1403</v>
      </c>
      <c r="C1811">
        <v>3</v>
      </c>
      <c r="D1811">
        <v>90</v>
      </c>
      <c r="E1811">
        <v>2013</v>
      </c>
      <c r="F1811" s="9" t="s">
        <v>2247</v>
      </c>
      <c r="H1811" s="20" t="str">
        <f t="shared" si="28"/>
        <v>(nextval('obj_part_id_seq'), (select id from obj_building_v where zip||'|'||street||'|'||name||'|'||volume = '5620|Schellenhausplatz|Schellenhaus|5672.00'), 'P52', 3, 90, 2013,'OG: Lüftung des Theaters neu 2012'),</v>
      </c>
    </row>
    <row r="1812" spans="1:8" x14ac:dyDescent="0.25">
      <c r="A1812" s="9" t="s">
        <v>2241</v>
      </c>
      <c r="B1812" s="9" t="s">
        <v>1404</v>
      </c>
      <c r="C1812">
        <v>3</v>
      </c>
      <c r="D1812">
        <v>90</v>
      </c>
      <c r="E1812">
        <v>2013</v>
      </c>
      <c r="F1812" s="9" t="s">
        <v>2000</v>
      </c>
      <c r="H1812" s="20" t="str">
        <f t="shared" si="28"/>
        <v>(nextval('obj_part_id_seq'), (select id from obj_building_v where zip||'|'||street||'|'||name||'|'||volume = '5620|Schellenhausplatz|Schellenhaus|5672.00'), 'P53', 3, 90, 2013,'Saallüftung'),</v>
      </c>
    </row>
    <row r="1813" spans="1:8" x14ac:dyDescent="0.25">
      <c r="A1813" s="9" t="s">
        <v>2241</v>
      </c>
      <c r="B1813" s="9" t="s">
        <v>1108</v>
      </c>
      <c r="C1813">
        <v>5</v>
      </c>
      <c r="D1813">
        <v>90</v>
      </c>
      <c r="E1813">
        <v>2013</v>
      </c>
      <c r="F1813" s="9" t="s">
        <v>2248</v>
      </c>
      <c r="H1813" s="20" t="str">
        <f t="shared" si="28"/>
        <v>(nextval('obj_part_id_seq'), (select id from obj_building_v where zip||'|'||street||'|'||name||'|'||volume = '5620|Schellenhausplatz|Schellenhaus|5672.00'), 'P8', 5, 90, 2013,'Apparate funktionstüchtig und Leitungen: genüg. Druck vorh.'),</v>
      </c>
    </row>
    <row r="1814" spans="1:8" x14ac:dyDescent="0.25">
      <c r="A1814" s="9" t="s">
        <v>2241</v>
      </c>
      <c r="B1814" s="9" t="s">
        <v>1138</v>
      </c>
      <c r="C1814">
        <v>11</v>
      </c>
      <c r="D1814">
        <v>90</v>
      </c>
      <c r="E1814">
        <v>2013</v>
      </c>
      <c r="F1814" s="9" t="s">
        <v>2249</v>
      </c>
      <c r="H1814" s="20" t="str">
        <f t="shared" si="28"/>
        <v>(nextval('obj_part_id_seq'), (select id from obj_building_v where zip||'|'||street||'|'||name||'|'||volume = '5620|Schellenhausplatz|Schellenhaus|5672.00'), 'P57', 11, 90, 2013,'Holz-Glas-Türe, Schiebewand, Garderobe, Bühneneinrichtung'),</v>
      </c>
    </row>
    <row r="1815" spans="1:8" x14ac:dyDescent="0.25">
      <c r="A1815" s="9" t="s">
        <v>2241</v>
      </c>
      <c r="B1815" s="9" t="s">
        <v>1140</v>
      </c>
      <c r="C1815">
        <v>4</v>
      </c>
      <c r="D1815">
        <v>90</v>
      </c>
      <c r="E1815">
        <v>2013</v>
      </c>
      <c r="F1815" s="9" t="s">
        <v>2250</v>
      </c>
      <c r="H1815" s="20" t="str">
        <f t="shared" si="28"/>
        <v>(nextval('obj_part_id_seq'), (select id from obj_building_v where zip||'|'||street||'|'||name||'|'||volume = '5620|Schellenhausplatz|Schellenhaus|5672.00'), 'P58', 4, 90, 2013,'B: Keramik, Parkett, Klinker, W: Verputz, Holz D: Akustikd, Verputz'),</v>
      </c>
    </row>
    <row r="1816" spans="1:8" x14ac:dyDescent="0.25">
      <c r="A1816" s="9" t="s">
        <v>2241</v>
      </c>
      <c r="B1816" s="9" t="s">
        <v>1157</v>
      </c>
      <c r="C1816">
        <v>5</v>
      </c>
      <c r="D1816">
        <v>90</v>
      </c>
      <c r="E1816">
        <v>2013</v>
      </c>
      <c r="F1816" s="9" t="s">
        <v>2251</v>
      </c>
      <c r="H1816" s="20" t="str">
        <f t="shared" si="28"/>
        <v>(nextval('obj_part_id_seq'), (select id from obj_building_v where zip||'|'||street||'|'||name||'|'||volume = '5620|Schellenhausplatz|Schellenhaus|5672.00'), 'P59', 5, 90, 2013,'Kühlschränke, Apéroküche, Küchenanbauten'),</v>
      </c>
    </row>
    <row r="1817" spans="1:8" x14ac:dyDescent="0.25">
      <c r="A1817" s="9" t="s">
        <v>2241</v>
      </c>
      <c r="B1817" s="9" t="s">
        <v>1142</v>
      </c>
      <c r="C1817">
        <v>0</v>
      </c>
      <c r="D1817" t="s">
        <v>4080</v>
      </c>
      <c r="E1817">
        <v>2013</v>
      </c>
      <c r="F1817" s="9"/>
      <c r="H1817" s="20" t="str">
        <f t="shared" si="28"/>
        <v>(nextval('obj_part_id_seq'), (select id from obj_building_v where zip||'|'||street||'|'||name||'|'||volume = '5620|Schellenhausplatz|Schellenhaus|5672.00'), 'P60', 0, null, 2013,null),</v>
      </c>
    </row>
    <row r="1818" spans="1:8" x14ac:dyDescent="0.25">
      <c r="A1818" s="9" t="s">
        <v>2241</v>
      </c>
      <c r="B1818" s="9" t="s">
        <v>1143</v>
      </c>
      <c r="C1818">
        <v>2</v>
      </c>
      <c r="D1818">
        <v>90</v>
      </c>
      <c r="E1818">
        <v>2013</v>
      </c>
      <c r="F1818" s="9" t="s">
        <v>2252</v>
      </c>
      <c r="H1818" s="20" t="str">
        <f t="shared" si="28"/>
        <v>(nextval('obj_part_id_seq'), (select id from obj_building_v where zip||'|'||street||'|'||name||'|'||volume = '5620|Schellenhausplatz|Schellenhaus|5672.00'), 'P61', 2, 90, 2013,'Aufzug i.O.'),</v>
      </c>
    </row>
    <row r="1819" spans="1:8" x14ac:dyDescent="0.25">
      <c r="A1819" s="9" t="s">
        <v>2241</v>
      </c>
      <c r="B1819" s="9" t="s">
        <v>1144</v>
      </c>
      <c r="C1819">
        <v>0</v>
      </c>
      <c r="D1819" t="s">
        <v>4080</v>
      </c>
      <c r="E1819">
        <v>2013</v>
      </c>
      <c r="F1819" s="9"/>
      <c r="H1819" s="20" t="str">
        <f t="shared" si="28"/>
        <v>(nextval('obj_part_id_seq'), (select id from obj_building_v where zip||'|'||street||'|'||name||'|'||volume = '5620|Schellenhausplatz|Schellenhaus|5672.00'), 'P62', 0, null, 2013,null),</v>
      </c>
    </row>
    <row r="1820" spans="1:8" x14ac:dyDescent="0.25">
      <c r="A1820" s="9" t="s">
        <v>2253</v>
      </c>
      <c r="B1820" s="9" t="s">
        <v>1127</v>
      </c>
      <c r="C1820">
        <v>38</v>
      </c>
      <c r="D1820">
        <v>90</v>
      </c>
      <c r="E1820">
        <v>2012</v>
      </c>
      <c r="F1820" s="9" t="s">
        <v>2254</v>
      </c>
      <c r="H1820" s="20" t="str">
        <f t="shared" si="28"/>
        <v>(nextval('obj_part_id_seq'), (select id from obj_building_v where zip||'|'||street||'|'||name||'|'||volume = '3034|Murzelenstrasse 80|Wohnhaus (3 Whg.)|1375.00'), 'P48', 38, 90, 2012,'Mauerwerk, Kunststeintreppe'),</v>
      </c>
    </row>
    <row r="1821" spans="1:8" x14ac:dyDescent="0.25">
      <c r="A1821" s="9" t="s">
        <v>2253</v>
      </c>
      <c r="B1821" s="9" t="s">
        <v>1129</v>
      </c>
      <c r="C1821">
        <v>0</v>
      </c>
      <c r="D1821" t="s">
        <v>4080</v>
      </c>
      <c r="E1821">
        <v>2012</v>
      </c>
      <c r="F1821" s="9"/>
      <c r="H1821" s="20" t="str">
        <f t="shared" si="28"/>
        <v>(nextval('obj_part_id_seq'), (select id from obj_building_v where zip||'|'||street||'|'||name||'|'||volume = '3034|Murzelenstrasse 80|Wohnhaus (3 Whg.)|1375.00'), 'P49', 0, null, 2012,null),</v>
      </c>
    </row>
    <row r="1822" spans="1:8" x14ac:dyDescent="0.25">
      <c r="A1822" s="9" t="s">
        <v>2253</v>
      </c>
      <c r="B1822" s="9" t="s">
        <v>1097</v>
      </c>
      <c r="C1822">
        <v>9</v>
      </c>
      <c r="D1822">
        <v>90</v>
      </c>
      <c r="E1822">
        <v>2012</v>
      </c>
      <c r="F1822" s="9" t="s">
        <v>2255</v>
      </c>
      <c r="H1822" s="20" t="str">
        <f t="shared" si="28"/>
        <v>(nextval('obj_part_id_seq'), (select id from obj_building_v where zip||'|'||street||'|'||name||'|'||volume = '3034|Murzelenstrasse 80|Wohnhaus (3 Whg.)|1375.00'), 'P2', 9, 90, 2012,'Falzziegeldach, Untersicht und Spenglerarbeiten i.O.'),</v>
      </c>
    </row>
    <row r="1823" spans="1:8" x14ac:dyDescent="0.25">
      <c r="A1823" s="9" t="s">
        <v>2253</v>
      </c>
      <c r="B1823" s="9" t="s">
        <v>1099</v>
      </c>
      <c r="C1823">
        <v>0</v>
      </c>
      <c r="D1823" t="s">
        <v>4080</v>
      </c>
      <c r="E1823">
        <v>2012</v>
      </c>
      <c r="F1823" s="9"/>
      <c r="H1823" s="20" t="str">
        <f t="shared" si="28"/>
        <v>(nextval('obj_part_id_seq'), (select id from obj_building_v where zip||'|'||street||'|'||name||'|'||volume = '3034|Murzelenstrasse 80|Wohnhaus (3 Whg.)|1375.00'), 'P3', 0, null, 2012,null),</v>
      </c>
    </row>
    <row r="1824" spans="1:8" x14ac:dyDescent="0.25">
      <c r="A1824" s="9" t="s">
        <v>2253</v>
      </c>
      <c r="B1824" s="9" t="s">
        <v>1100</v>
      </c>
      <c r="C1824">
        <v>7</v>
      </c>
      <c r="D1824">
        <v>80</v>
      </c>
      <c r="E1824">
        <v>2012</v>
      </c>
      <c r="F1824" s="9" t="s">
        <v>2256</v>
      </c>
      <c r="H1824" s="20" t="str">
        <f t="shared" si="28"/>
        <v>(nextval('obj_part_id_seq'), (select id from obj_building_v where zip||'|'||street||'|'||name||'|'||volume = '3034|Murzelenstrasse 80|Wohnhaus (3 Whg.)|1375.00'), 'P4', 7, 80, 2012,'Mauerwerk, verputzt, auf Ostseite Putzschäden, Kunststeingewände i.O.'),</v>
      </c>
    </row>
    <row r="1825" spans="1:8" x14ac:dyDescent="0.25">
      <c r="A1825" s="9" t="s">
        <v>2253</v>
      </c>
      <c r="B1825" s="9" t="s">
        <v>1102</v>
      </c>
      <c r="C1825">
        <v>11</v>
      </c>
      <c r="D1825">
        <v>90</v>
      </c>
      <c r="E1825">
        <v>2012</v>
      </c>
      <c r="F1825" s="9" t="s">
        <v>2257</v>
      </c>
      <c r="H1825" s="20" t="str">
        <f t="shared" si="28"/>
        <v>(nextval('obj_part_id_seq'), (select id from obj_building_v where zip||'|'||street||'|'||name||'|'||volume = '3034|Murzelenstrasse 80|Wohnhaus (3 Whg.)|1375.00'), 'P5', 11, 90, 2012,'Holztüren und Holz-/Metallfenster (Glas ''03) mit innenlieg. Sprossen, Holzläden und Storen, Rollladen im WZ'),</v>
      </c>
    </row>
    <row r="1826" spans="1:8" x14ac:dyDescent="0.25">
      <c r="A1826" s="9" t="s">
        <v>2253</v>
      </c>
      <c r="B1826" s="9" t="s">
        <v>1110</v>
      </c>
      <c r="C1826">
        <v>4</v>
      </c>
      <c r="D1826">
        <v>90</v>
      </c>
      <c r="E1826">
        <v>2012</v>
      </c>
      <c r="F1826" s="9" t="s">
        <v>2258</v>
      </c>
      <c r="H1826" s="20" t="str">
        <f t="shared" si="28"/>
        <v>(nextval('obj_part_id_seq'), (select id from obj_building_v where zip||'|'||street||'|'||name||'|'||volume = '3034|Murzelenstrasse 80|Wohnhaus (3 Whg.)|1375.00'), 'P9', 4, 90, 2012,'Alte Sicherungen, tw. neu f. WM, Beleuchtung im UG neu'),</v>
      </c>
    </row>
    <row r="1827" spans="1:8" x14ac:dyDescent="0.25">
      <c r="A1827" s="9" t="s">
        <v>2253</v>
      </c>
      <c r="B1827" s="9" t="s">
        <v>1104</v>
      </c>
      <c r="C1827">
        <v>0</v>
      </c>
      <c r="D1827">
        <v>90</v>
      </c>
      <c r="E1827">
        <v>2012</v>
      </c>
      <c r="F1827" s="9" t="s">
        <v>2259</v>
      </c>
      <c r="H1827" s="20" t="str">
        <f t="shared" si="28"/>
        <v>(nextval('obj_part_id_seq'), (select id from obj_building_v where zip||'|'||street||'|'||name||'|'||volume = '3034|Murzelenstrasse 80|Wohnhaus (3 Whg.)|1375.00'), 'P6', 0, 90, 2012,'Fernwärme, WW: Boiler 600 Liter ''78'),</v>
      </c>
    </row>
    <row r="1828" spans="1:8" x14ac:dyDescent="0.25">
      <c r="A1828" s="9" t="s">
        <v>2253</v>
      </c>
      <c r="B1828" s="9" t="s">
        <v>1106</v>
      </c>
      <c r="C1828">
        <v>3</v>
      </c>
      <c r="D1828">
        <v>90</v>
      </c>
      <c r="E1828">
        <v>2012</v>
      </c>
      <c r="F1828" s="9" t="s">
        <v>2260</v>
      </c>
      <c r="H1828" s="20" t="str">
        <f t="shared" si="28"/>
        <v>(nextval('obj_part_id_seq'), (select id from obj_building_v where zip||'|'||street||'|'||name||'|'||volume = '3034|Murzelenstrasse 80|Wohnhaus (3 Whg.)|1375.00'), 'P7', 3, 90, 2012,'Radiatoren m. Thermostaten ausser im Bad'),</v>
      </c>
    </row>
    <row r="1829" spans="1:8" x14ac:dyDescent="0.25">
      <c r="A1829" s="9" t="s">
        <v>2253</v>
      </c>
      <c r="B1829" s="9" t="s">
        <v>1135</v>
      </c>
      <c r="C1829">
        <v>3</v>
      </c>
      <c r="D1829">
        <v>90</v>
      </c>
      <c r="E1829">
        <v>2012</v>
      </c>
      <c r="F1829" s="9" t="s">
        <v>2261</v>
      </c>
      <c r="H1829" s="20" t="str">
        <f t="shared" si="28"/>
        <v>(nextval('obj_part_id_seq'), (select id from obj_building_v where zip||'|'||street||'|'||name||'|'||volume = '3034|Murzelenstrasse 80|Wohnhaus (3 Whg.)|1375.00'), 'P54', 3, 90, 2012,'Apparate älter, tw. o. Mischarmaturen, WM/WT rel. neu'),</v>
      </c>
    </row>
    <row r="1830" spans="1:8" x14ac:dyDescent="0.25">
      <c r="A1830" s="9" t="s">
        <v>2253</v>
      </c>
      <c r="B1830" s="9" t="s">
        <v>1137</v>
      </c>
      <c r="C1830">
        <v>4</v>
      </c>
      <c r="D1830">
        <v>90</v>
      </c>
      <c r="E1830">
        <v>2012</v>
      </c>
      <c r="F1830" s="9" t="s">
        <v>2262</v>
      </c>
      <c r="H1830" s="20" t="str">
        <f t="shared" si="28"/>
        <v>(nextval('obj_part_id_seq'), (select id from obj_building_v where zip||'|'||street||'|'||name||'|'||volume = '3034|Murzelenstrasse 80|Wohnhaus (3 Whg.)|1375.00'), 'P55', 4, 90, 2012,'Leitungen i.O.'),</v>
      </c>
    </row>
    <row r="1831" spans="1:8" x14ac:dyDescent="0.25">
      <c r="A1831" s="9" t="s">
        <v>2253</v>
      </c>
      <c r="B1831" s="9" t="s">
        <v>1155</v>
      </c>
      <c r="C1831">
        <v>0</v>
      </c>
      <c r="D1831" t="s">
        <v>4080</v>
      </c>
      <c r="E1831">
        <v>2012</v>
      </c>
      <c r="F1831" s="9"/>
      <c r="H1831" s="20" t="str">
        <f t="shared" si="28"/>
        <v>(nextval('obj_part_id_seq'), (select id from obj_building_v where zip||'|'||street||'|'||name||'|'||volume = '3034|Murzelenstrasse 80|Wohnhaus (3 Whg.)|1375.00'), 'P56', 0, null, 2012,null),</v>
      </c>
    </row>
    <row r="1832" spans="1:8" x14ac:dyDescent="0.25">
      <c r="A1832" s="9" t="s">
        <v>2253</v>
      </c>
      <c r="B1832" s="9" t="s">
        <v>1138</v>
      </c>
      <c r="C1832">
        <v>9</v>
      </c>
      <c r="D1832">
        <v>90</v>
      </c>
      <c r="E1832">
        <v>2012</v>
      </c>
      <c r="F1832" s="9"/>
      <c r="H1832" s="20" t="str">
        <f t="shared" si="28"/>
        <v>(nextval('obj_part_id_seq'), (select id from obj_building_v where zip||'|'||street||'|'||name||'|'||volume = '3034|Murzelenstrasse 80|Wohnhaus (3 Whg.)|1375.00'), 'P57', 9, 90, 2012,null),</v>
      </c>
    </row>
    <row r="1833" spans="1:8" x14ac:dyDescent="0.25">
      <c r="A1833" s="9" t="s">
        <v>2253</v>
      </c>
      <c r="B1833" s="9" t="s">
        <v>1140</v>
      </c>
      <c r="C1833">
        <v>8</v>
      </c>
      <c r="D1833">
        <v>90</v>
      </c>
      <c r="E1833">
        <v>2012</v>
      </c>
      <c r="F1833" s="9" t="s">
        <v>2263</v>
      </c>
      <c r="H1833" s="20" t="str">
        <f t="shared" si="28"/>
        <v>(nextval('obj_part_id_seq'), (select id from obj_building_v where zip||'|'||street||'|'||name||'|'||volume = '3034|Murzelenstrasse 80|Wohnhaus (3 Whg.)|1375.00'), 'P58', 8, 90, 2012,'B: Klinker, Parkett, Teppich (Kugelgarn), PVC in Kü&lt;br&gt;W: Plattenschild, Putz&lt;br&gt;D: Putz'),</v>
      </c>
    </row>
    <row r="1834" spans="1:8" x14ac:dyDescent="0.25">
      <c r="A1834" s="9" t="s">
        <v>2253</v>
      </c>
      <c r="B1834" s="9" t="s">
        <v>1157</v>
      </c>
      <c r="C1834">
        <v>4</v>
      </c>
      <c r="D1834">
        <v>90</v>
      </c>
      <c r="E1834">
        <v>2012</v>
      </c>
      <c r="F1834" s="9" t="s">
        <v>2264</v>
      </c>
      <c r="H1834" s="20" t="str">
        <f t="shared" si="28"/>
        <v>(nextval('obj_part_id_seq'), (select id from obj_building_v where zip||'|'||street||'|'||name||'|'||volume = '3034|Murzelenstrasse 80|Wohnhaus (3 Whg.)|1375.00'), 'P59', 4, 90, 2012,'Küche m. GSP u. Glaskeramikkochfeld, ren. ''15'),</v>
      </c>
    </row>
    <row r="1835" spans="1:8" x14ac:dyDescent="0.25">
      <c r="A1835" s="9" t="s">
        <v>2253</v>
      </c>
      <c r="B1835" s="9" t="s">
        <v>1142</v>
      </c>
      <c r="C1835">
        <v>0</v>
      </c>
      <c r="D1835" t="s">
        <v>4080</v>
      </c>
      <c r="E1835">
        <v>2012</v>
      </c>
      <c r="F1835" s="9"/>
      <c r="H1835" s="20" t="str">
        <f t="shared" si="28"/>
        <v>(nextval('obj_part_id_seq'), (select id from obj_building_v where zip||'|'||street||'|'||name||'|'||volume = '3034|Murzelenstrasse 80|Wohnhaus (3 Whg.)|1375.00'), 'P60', 0, null, 2012,null),</v>
      </c>
    </row>
    <row r="1836" spans="1:8" x14ac:dyDescent="0.25">
      <c r="A1836" s="9" t="s">
        <v>2253</v>
      </c>
      <c r="B1836" s="9" t="s">
        <v>1143</v>
      </c>
      <c r="C1836">
        <v>0</v>
      </c>
      <c r="D1836" t="s">
        <v>4080</v>
      </c>
      <c r="E1836">
        <v>2012</v>
      </c>
      <c r="F1836" s="9"/>
      <c r="H1836" s="20" t="str">
        <f t="shared" si="28"/>
        <v>(nextval('obj_part_id_seq'), (select id from obj_building_v where zip||'|'||street||'|'||name||'|'||volume = '3034|Murzelenstrasse 80|Wohnhaus (3 Whg.)|1375.00'), 'P61', 0, null, 2012,null),</v>
      </c>
    </row>
    <row r="1837" spans="1:8" x14ac:dyDescent="0.25">
      <c r="A1837" s="9" t="s">
        <v>2253</v>
      </c>
      <c r="B1837" s="9" t="s">
        <v>1144</v>
      </c>
      <c r="C1837">
        <v>0</v>
      </c>
      <c r="D1837" t="s">
        <v>4080</v>
      </c>
      <c r="E1837">
        <v>2012</v>
      </c>
      <c r="F1837" s="9"/>
      <c r="H1837" s="20" t="str">
        <f t="shared" si="28"/>
        <v>(nextval('obj_part_id_seq'), (select id from obj_building_v where zip||'|'||street||'|'||name||'|'||volume = '3034|Murzelenstrasse 80|Wohnhaus (3 Whg.)|1375.00'), 'P62', 0, null, 2012,null),</v>
      </c>
    </row>
    <row r="1838" spans="1:8" x14ac:dyDescent="0.25">
      <c r="A1838" s="9" t="s">
        <v>2265</v>
      </c>
      <c r="B1838" s="9" t="s">
        <v>1095</v>
      </c>
      <c r="C1838">
        <v>38</v>
      </c>
      <c r="D1838">
        <v>90</v>
      </c>
      <c r="E1838">
        <v>2012</v>
      </c>
      <c r="F1838" s="9" t="s">
        <v>2266</v>
      </c>
      <c r="H1838" s="20" t="str">
        <f t="shared" si="28"/>
        <v>(nextval('obj_part_id_seq'), (select id from obj_building_v where zip||'|'||street||'|'||name||'|'||volume = '3034|Murzelenstrasse 82A|Garagen/Aussengeräteraum Schule|360.00'), 'P1', 38, 90, 2012,'Betonsteine (MW), Holzdachstuhl'),</v>
      </c>
    </row>
    <row r="1839" spans="1:8" x14ac:dyDescent="0.25">
      <c r="A1839" s="9" t="s">
        <v>2265</v>
      </c>
      <c r="B1839" s="9" t="s">
        <v>1097</v>
      </c>
      <c r="C1839">
        <v>12</v>
      </c>
      <c r="D1839">
        <v>90</v>
      </c>
      <c r="E1839">
        <v>2012</v>
      </c>
      <c r="F1839" s="9" t="s">
        <v>2267</v>
      </c>
      <c r="H1839" s="20" t="str">
        <f t="shared" si="28"/>
        <v>(nextval('obj_part_id_seq'), (select id from obj_building_v where zip||'|'||street||'|'||name||'|'||volume = '3034|Murzelenstrasse 82A|Garagen/Aussengeräteraum Schule|360.00'), 'P2', 12, 90, 2012,'Welleternit, unisol.'),</v>
      </c>
    </row>
    <row r="1840" spans="1:8" x14ac:dyDescent="0.25">
      <c r="A1840" s="9" t="s">
        <v>2265</v>
      </c>
      <c r="B1840" s="9" t="s">
        <v>1099</v>
      </c>
      <c r="C1840">
        <v>0</v>
      </c>
      <c r="D1840" t="s">
        <v>4080</v>
      </c>
      <c r="E1840">
        <v>2012</v>
      </c>
      <c r="F1840" s="9"/>
      <c r="H1840" s="20" t="str">
        <f t="shared" si="28"/>
        <v>(nextval('obj_part_id_seq'), (select id from obj_building_v where zip||'|'||street||'|'||name||'|'||volume = '3034|Murzelenstrasse 82A|Garagen/Aussengeräteraum Schule|360.00'), 'P3', 0, null, 2012,null),</v>
      </c>
    </row>
    <row r="1841" spans="1:8" x14ac:dyDescent="0.25">
      <c r="A1841" s="9" t="s">
        <v>2265</v>
      </c>
      <c r="B1841" s="9" t="s">
        <v>1100</v>
      </c>
      <c r="C1841">
        <v>8</v>
      </c>
      <c r="D1841">
        <v>90</v>
      </c>
      <c r="E1841">
        <v>2012</v>
      </c>
      <c r="F1841" s="9" t="s">
        <v>2268</v>
      </c>
      <c r="H1841" s="20" t="str">
        <f t="shared" si="28"/>
        <v>(nextval('obj_part_id_seq'), (select id from obj_building_v where zip||'|'||street||'|'||name||'|'||volume = '3034|Murzelenstrasse 82A|Garagen/Aussengeräteraum Schule|360.00'), 'P4', 8, 90, 2012,'Betonsteine, roh, Welleternit'),</v>
      </c>
    </row>
    <row r="1842" spans="1:8" x14ac:dyDescent="0.25">
      <c r="A1842" s="9" t="s">
        <v>2265</v>
      </c>
      <c r="B1842" s="9" t="s">
        <v>1102</v>
      </c>
      <c r="C1842">
        <v>8</v>
      </c>
      <c r="D1842">
        <v>90</v>
      </c>
      <c r="E1842">
        <v>2012</v>
      </c>
      <c r="F1842" s="9" t="s">
        <v>2269</v>
      </c>
      <c r="H1842" s="20" t="str">
        <f t="shared" si="28"/>
        <v>(nextval('obj_part_id_seq'), (select id from obj_building_v where zip||'|'||street||'|'||name||'|'||volume = '3034|Murzelenstrasse 82A|Garagen/Aussengeräteraum Schule|360.00'), 'P5', 8, 90, 2012,'Garagentore neu (''13)'),</v>
      </c>
    </row>
    <row r="1843" spans="1:8" x14ac:dyDescent="0.25">
      <c r="A1843" s="9" t="s">
        <v>2265</v>
      </c>
      <c r="B1843" s="9" t="s">
        <v>1104</v>
      </c>
      <c r="C1843">
        <v>0</v>
      </c>
      <c r="D1843" t="s">
        <v>4080</v>
      </c>
      <c r="E1843">
        <v>2012</v>
      </c>
      <c r="F1843" s="9"/>
      <c r="H1843" s="20" t="str">
        <f t="shared" si="28"/>
        <v>(nextval('obj_part_id_seq'), (select id from obj_building_v where zip||'|'||street||'|'||name||'|'||volume = '3034|Murzelenstrasse 82A|Garagen/Aussengeräteraum Schule|360.00'), 'P6', 0, null, 2012,null),</v>
      </c>
    </row>
    <row r="1844" spans="1:8" x14ac:dyDescent="0.25">
      <c r="A1844" s="9" t="s">
        <v>2265</v>
      </c>
      <c r="B1844" s="9" t="s">
        <v>1106</v>
      </c>
      <c r="C1844">
        <v>0</v>
      </c>
      <c r="D1844" t="s">
        <v>4080</v>
      </c>
      <c r="E1844">
        <v>2012</v>
      </c>
      <c r="F1844" s="9"/>
      <c r="H1844" s="20" t="str">
        <f t="shared" si="28"/>
        <v>(nextval('obj_part_id_seq'), (select id from obj_building_v where zip||'|'||street||'|'||name||'|'||volume = '3034|Murzelenstrasse 82A|Garagen/Aussengeräteraum Schule|360.00'), 'P7', 0, null, 2012,null),</v>
      </c>
    </row>
    <row r="1845" spans="1:8" x14ac:dyDescent="0.25">
      <c r="A1845" s="9" t="s">
        <v>2265</v>
      </c>
      <c r="B1845" s="9" t="s">
        <v>1108</v>
      </c>
      <c r="C1845">
        <v>3</v>
      </c>
      <c r="D1845">
        <v>85</v>
      </c>
      <c r="E1845">
        <v>2012</v>
      </c>
      <c r="F1845" s="9" t="s">
        <v>2270</v>
      </c>
      <c r="H1845" s="20" t="str">
        <f t="shared" si="28"/>
        <v>(nextval('obj_part_id_seq'), (select id from obj_building_v where zip||'|'||street||'|'||name||'|'||volume = '3034|Murzelenstrasse 82A|Garagen/Aussengeräteraum Schule|360.00'), 'P8', 3, 85, 2012,'Aussenanschl.'),</v>
      </c>
    </row>
    <row r="1846" spans="1:8" x14ac:dyDescent="0.25">
      <c r="A1846" s="9" t="s">
        <v>2265</v>
      </c>
      <c r="B1846" s="9" t="s">
        <v>1110</v>
      </c>
      <c r="C1846">
        <v>4</v>
      </c>
      <c r="D1846">
        <v>85</v>
      </c>
      <c r="E1846">
        <v>2012</v>
      </c>
      <c r="F1846" s="9" t="s">
        <v>2271</v>
      </c>
      <c r="H1846" s="20" t="str">
        <f t="shared" si="28"/>
        <v>(nextval('obj_part_id_seq'), (select id from obj_building_v where zip||'|'||street||'|'||name||'|'||volume = '3034|Murzelenstrasse 82A|Garagen/Aussengeräteraum Schule|360.00'), 'P9', 4, 85, 2012,'Aussenbeleuchtung'),</v>
      </c>
    </row>
    <row r="1847" spans="1:8" x14ac:dyDescent="0.25">
      <c r="A1847" s="9" t="s">
        <v>2265</v>
      </c>
      <c r="B1847" s="9" t="s">
        <v>1112</v>
      </c>
      <c r="C1847">
        <v>0</v>
      </c>
      <c r="D1847" t="s">
        <v>4080</v>
      </c>
      <c r="E1847">
        <v>2012</v>
      </c>
      <c r="F1847" s="9"/>
      <c r="H1847" s="20" t="str">
        <f t="shared" si="28"/>
        <v>(nextval('obj_part_id_seq'), (select id from obj_building_v where zip||'|'||street||'|'||name||'|'||volume = '3034|Murzelenstrasse 82A|Garagen/Aussengeräteraum Schule|360.00'), 'P10', 0, null, 2012,null),</v>
      </c>
    </row>
    <row r="1848" spans="1:8" x14ac:dyDescent="0.25">
      <c r="A1848" s="9" t="s">
        <v>2265</v>
      </c>
      <c r="B1848" s="9" t="s">
        <v>1114</v>
      </c>
      <c r="C1848">
        <v>27</v>
      </c>
      <c r="D1848">
        <v>90</v>
      </c>
      <c r="E1848">
        <v>2012</v>
      </c>
      <c r="F1848" s="9" t="s">
        <v>2272</v>
      </c>
      <c r="H1848" s="20" t="str">
        <f t="shared" si="28"/>
        <v>(nextval('obj_part_id_seq'), (select id from obj_building_v where zip||'|'||street||'|'||name||'|'||volume = '3034|Murzelenstrasse 82A|Garagen/Aussengeräteraum Schule|360.00'), 'P11', 27, 90, 2012,'B: Zementüberzug, Betonverbundsteine, W: Betonsteine, roh, D: -'),</v>
      </c>
    </row>
    <row r="1849" spans="1:8" x14ac:dyDescent="0.25">
      <c r="A1849" s="9" t="s">
        <v>2265</v>
      </c>
      <c r="B1849" s="9" t="s">
        <v>1114</v>
      </c>
      <c r="C1849">
        <v>0</v>
      </c>
      <c r="D1849" t="s">
        <v>4080</v>
      </c>
      <c r="E1849">
        <v>2012</v>
      </c>
      <c r="F1849" s="9"/>
      <c r="H1849" s="20" t="str">
        <f t="shared" si="28"/>
        <v>(nextval('obj_part_id_seq'), (select id from obj_building_v where zip||'|'||street||'|'||name||'|'||volume = '3034|Murzelenstrasse 82A|Garagen/Aussengeräteraum Schule|360.00'), 'P11', 0, null, 2012,null),</v>
      </c>
    </row>
    <row r="1850" spans="1:8" x14ac:dyDescent="0.25">
      <c r="A1850" s="9" t="s">
        <v>2265</v>
      </c>
      <c r="B1850" s="9" t="s">
        <v>1116</v>
      </c>
      <c r="C1850">
        <v>0</v>
      </c>
      <c r="D1850" t="s">
        <v>4080</v>
      </c>
      <c r="E1850">
        <v>2012</v>
      </c>
      <c r="F1850" s="9"/>
      <c r="H1850" s="20" t="str">
        <f t="shared" si="28"/>
        <v>(nextval('obj_part_id_seq'), (select id from obj_building_v where zip||'|'||street||'|'||name||'|'||volume = '3034|Murzelenstrasse 82A|Garagen/Aussengeräteraum Schule|360.00'), 'P12', 0, null, 2012,null),</v>
      </c>
    </row>
    <row r="1851" spans="1:8" x14ac:dyDescent="0.25">
      <c r="A1851" s="9" t="s">
        <v>2273</v>
      </c>
      <c r="B1851" s="9" t="s">
        <v>1095</v>
      </c>
      <c r="C1851">
        <v>36</v>
      </c>
      <c r="D1851">
        <v>90</v>
      </c>
      <c r="E1851">
        <v>2012</v>
      </c>
      <c r="F1851" s="9" t="s">
        <v>2274</v>
      </c>
      <c r="H1851" s="20" t="str">
        <f t="shared" si="28"/>
        <v>(nextval('obj_part_id_seq'), (select id from obj_building_v where zip||'|'||street||'|'||name||'|'||volume = '3043|Schülerweg 11|ZS-Lager/BSA/Einstellhalle/Rasenspielfeld|7300.00'), 'P1', 36, 90, 2012,'Stahlbeton, KS-Wände'),</v>
      </c>
    </row>
    <row r="1852" spans="1:8" x14ac:dyDescent="0.25">
      <c r="A1852" s="9" t="s">
        <v>2273</v>
      </c>
      <c r="B1852" s="9" t="s">
        <v>1097</v>
      </c>
      <c r="C1852">
        <v>0</v>
      </c>
      <c r="D1852" t="s">
        <v>4080</v>
      </c>
      <c r="E1852">
        <v>2012</v>
      </c>
      <c r="F1852" s="9"/>
      <c r="H1852" s="20" t="str">
        <f t="shared" si="28"/>
        <v>(nextval('obj_part_id_seq'), (select id from obj_building_v where zip||'|'||street||'|'||name||'|'||volume = '3043|Schülerweg 11|ZS-Lager/BSA/Einstellhalle/Rasenspielfeld|7300.00'), 'P2', 0, null, 2012,null),</v>
      </c>
    </row>
    <row r="1853" spans="1:8" x14ac:dyDescent="0.25">
      <c r="A1853" s="9" t="s">
        <v>2273</v>
      </c>
      <c r="B1853" s="9" t="s">
        <v>1099</v>
      </c>
      <c r="C1853">
        <v>8</v>
      </c>
      <c r="D1853">
        <v>85</v>
      </c>
      <c r="E1853">
        <v>2012</v>
      </c>
      <c r="F1853" s="9" t="s">
        <v>2275</v>
      </c>
      <c r="H1853" s="20" t="str">
        <f t="shared" si="28"/>
        <v>(nextval('obj_part_id_seq'), (select id from obj_building_v where zip||'|'||street||'|'||name||'|'||volume = '3043|Schülerweg 11|ZS-Lager/BSA/Einstellhalle/Rasenspielfeld|7300.00'), 'P3', 8, 85, 2012,'Flachdach mit Rasenspielfeld'),</v>
      </c>
    </row>
    <row r="1854" spans="1:8" x14ac:dyDescent="0.25">
      <c r="A1854" s="9" t="s">
        <v>2273</v>
      </c>
      <c r="B1854" s="9" t="s">
        <v>1100</v>
      </c>
      <c r="C1854">
        <v>8</v>
      </c>
      <c r="D1854">
        <v>90</v>
      </c>
      <c r="E1854">
        <v>2012</v>
      </c>
      <c r="F1854" s="9"/>
      <c r="H1854" s="20" t="str">
        <f t="shared" si="28"/>
        <v>(nextval('obj_part_id_seq'), (select id from obj_building_v where zip||'|'||street||'|'||name||'|'||volume = '3043|Schülerweg 11|ZS-Lager/BSA/Einstellhalle/Rasenspielfeld|7300.00'), 'P4', 8, 90, 2012,null),</v>
      </c>
    </row>
    <row r="1855" spans="1:8" x14ac:dyDescent="0.25">
      <c r="A1855" s="9" t="s">
        <v>2273</v>
      </c>
      <c r="B1855" s="9" t="s">
        <v>1102</v>
      </c>
      <c r="C1855">
        <v>8</v>
      </c>
      <c r="D1855">
        <v>90</v>
      </c>
      <c r="E1855">
        <v>2012</v>
      </c>
      <c r="F1855" s="9" t="s">
        <v>2276</v>
      </c>
      <c r="H1855" s="20" t="str">
        <f t="shared" si="28"/>
        <v>(nextval('obj_part_id_seq'), (select id from obj_building_v where zip||'|'||street||'|'||name||'|'||volume = '3043|Schülerweg 11|ZS-Lager/BSA/Einstellhalle/Rasenspielfeld|7300.00'), 'P5', 8, 90, 2012,'Holzfenster, IV, Metalltor'),</v>
      </c>
    </row>
    <row r="1856" spans="1:8" x14ac:dyDescent="0.25">
      <c r="A1856" s="9" t="s">
        <v>2273</v>
      </c>
      <c r="B1856" s="9" t="s">
        <v>1104</v>
      </c>
      <c r="C1856">
        <v>0</v>
      </c>
      <c r="D1856" t="s">
        <v>4080</v>
      </c>
      <c r="E1856">
        <v>2012</v>
      </c>
      <c r="F1856" s="9" t="s">
        <v>1235</v>
      </c>
      <c r="H1856" s="20" t="str">
        <f t="shared" si="28"/>
        <v>(nextval('obj_part_id_seq'), (select id from obj_building_v where zip||'|'||street||'|'||name||'|'||volume = '3043|Schülerweg 11|ZS-Lager/BSA/Einstellhalle/Rasenspielfeld|7300.00'), 'P6', 0, null, 2012,'Fernwärme'),</v>
      </c>
    </row>
    <row r="1857" spans="1:8" x14ac:dyDescent="0.25">
      <c r="A1857" s="9" t="s">
        <v>2273</v>
      </c>
      <c r="B1857" s="9" t="s">
        <v>1106</v>
      </c>
      <c r="C1857">
        <v>2</v>
      </c>
      <c r="D1857">
        <v>90</v>
      </c>
      <c r="E1857">
        <v>2012</v>
      </c>
      <c r="F1857" s="9" t="s">
        <v>2277</v>
      </c>
      <c r="H1857" s="20" t="str">
        <f t="shared" si="28"/>
        <v>(nextval('obj_part_id_seq'), (select id from obj_building_v where zip||'|'||street||'|'||name||'|'||volume = '3043|Schülerweg 11|ZS-Lager/BSA/Einstellhalle/Rasenspielfeld|7300.00'), 'P7', 2, 90, 2012,'Radiatoren in zwei Räumen, m. Thermostat'),</v>
      </c>
    </row>
    <row r="1858" spans="1:8" x14ac:dyDescent="0.25">
      <c r="A1858" s="9" t="s">
        <v>2273</v>
      </c>
      <c r="B1858" s="9" t="s">
        <v>1108</v>
      </c>
      <c r="C1858">
        <v>6</v>
      </c>
      <c r="D1858">
        <v>85</v>
      </c>
      <c r="E1858">
        <v>2012</v>
      </c>
      <c r="F1858" s="9" t="s">
        <v>2278</v>
      </c>
      <c r="H1858" s="20" t="str">
        <f t="shared" si="28"/>
        <v>(nextval('obj_part_id_seq'), (select id from obj_building_v where zip||'|'||street||'|'||name||'|'||volume = '3043|Schülerweg 11|ZS-Lager/BSA/Einstellhalle/Rasenspielfeld|7300.00'), 'P8', 6, 85, 2012,'BSA: Küche, Lavabo, WC, Rinnen Garagenboden'),</v>
      </c>
    </row>
    <row r="1859" spans="1:8" x14ac:dyDescent="0.25">
      <c r="A1859" s="9" t="s">
        <v>2273</v>
      </c>
      <c r="B1859" s="9" t="s">
        <v>1110</v>
      </c>
      <c r="C1859">
        <v>6</v>
      </c>
      <c r="D1859">
        <v>85</v>
      </c>
      <c r="E1859">
        <v>2012</v>
      </c>
      <c r="F1859" s="9" t="s">
        <v>2279</v>
      </c>
      <c r="H1859" s="20" t="str">
        <f t="shared" si="28"/>
        <v>(nextval('obj_part_id_seq'), (select id from obj_building_v where zip||'|'||street||'|'||name||'|'||volume = '3043|Schülerweg 11|ZS-Lager/BSA/Einstellhalle/Rasenspielfeld|7300.00'), 'P9', 6, 85, 2012,'Beleuchtung ZS, Garage'),</v>
      </c>
    </row>
    <row r="1860" spans="1:8" x14ac:dyDescent="0.25">
      <c r="A1860" s="9" t="s">
        <v>2273</v>
      </c>
      <c r="B1860" s="9" t="s">
        <v>1112</v>
      </c>
      <c r="C1860">
        <v>3</v>
      </c>
      <c r="D1860">
        <v>80</v>
      </c>
      <c r="E1860">
        <v>2012</v>
      </c>
      <c r="F1860" s="9" t="s">
        <v>2280</v>
      </c>
      <c r="H1860" s="20" t="str">
        <f t="shared" si="28"/>
        <v>(nextval('obj_part_id_seq'), (select id from obj_building_v where zip||'|'||street||'|'||name||'|'||volume = '3043|Schülerweg 11|ZS-Lager/BSA/Einstellhalle/Rasenspielfeld|7300.00'), 'P10', 3, 80, 2012,'Lüftung, Abzug Küche'),</v>
      </c>
    </row>
    <row r="1861" spans="1:8" x14ac:dyDescent="0.25">
      <c r="A1861" s="9" t="s">
        <v>2273</v>
      </c>
      <c r="B1861" s="9" t="s">
        <v>1114</v>
      </c>
      <c r="C1861">
        <v>23</v>
      </c>
      <c r="D1861">
        <v>90</v>
      </c>
      <c r="E1861">
        <v>2012</v>
      </c>
      <c r="F1861" s="9" t="s">
        <v>2281</v>
      </c>
      <c r="H1861" s="20" t="str">
        <f t="shared" ref="H1861:H1924" si="29">"(nextval('obj_part_id_seq'), (select id from obj_building_v where zip||'|'||street||'|'||name||'|'||volume = '"&amp;A1861&amp;"'), '"&amp;B1861&amp;"', "&amp;C1861&amp;", "&amp;D1861&amp;", "&amp;IF(ISBLANK(E1861),"null",E1861)&amp;","&amp;IF(ISBLANK(F1861),"null","'"&amp;F1861&amp;"'")&amp;"),"</f>
        <v>(nextval('obj_part_id_seq'), (select id from obj_building_v where zip||'|'||street||'|'||name||'|'||volume = '3043|Schülerweg 11|ZS-Lager/BSA/Einstellhalle/Rasenspielfeld|7300.00'), 'P11', 23, 90, 2012,'Holztrennwände, B: Linol, Zementüberzug oder Hartbeton, gestr.&lt;br&gt;W: verp. u. Keramik, KS roh, Beton roh&lt;br&gt;D: Heraklit'),</v>
      </c>
    </row>
    <row r="1862" spans="1:8" x14ac:dyDescent="0.25">
      <c r="A1862" s="9" t="s">
        <v>2273</v>
      </c>
      <c r="B1862" s="9" t="s">
        <v>1114</v>
      </c>
      <c r="C1862">
        <v>0</v>
      </c>
      <c r="D1862" t="s">
        <v>4080</v>
      </c>
      <c r="E1862">
        <v>2012</v>
      </c>
      <c r="F1862" s="9"/>
      <c r="H1862" s="20" t="str">
        <f t="shared" si="29"/>
        <v>(nextval('obj_part_id_seq'), (select id from obj_building_v where zip||'|'||street||'|'||name||'|'||volume = '3043|Schülerweg 11|ZS-Lager/BSA/Einstellhalle/Rasenspielfeld|7300.00'), 'P11', 0, null, 2012,null),</v>
      </c>
    </row>
    <row r="1863" spans="1:8" x14ac:dyDescent="0.25">
      <c r="A1863" s="9" t="s">
        <v>2273</v>
      </c>
      <c r="B1863" s="9" t="s">
        <v>1116</v>
      </c>
      <c r="C1863">
        <v>0</v>
      </c>
      <c r="D1863" t="s">
        <v>4080</v>
      </c>
      <c r="E1863">
        <v>2012</v>
      </c>
      <c r="F1863" s="9"/>
      <c r="H1863" s="20" t="str">
        <f t="shared" si="29"/>
        <v>(nextval('obj_part_id_seq'), (select id from obj_building_v where zip||'|'||street||'|'||name||'|'||volume = '3043|Schülerweg 11|ZS-Lager/BSA/Einstellhalle/Rasenspielfeld|7300.00'), 'P12', 0, null, 2012,null),</v>
      </c>
    </row>
    <row r="1864" spans="1:8" x14ac:dyDescent="0.25">
      <c r="A1864" s="9" t="s">
        <v>2282</v>
      </c>
      <c r="B1864" s="9" t="s">
        <v>1127</v>
      </c>
      <c r="C1864">
        <v>39</v>
      </c>
      <c r="D1864">
        <v>85</v>
      </c>
      <c r="E1864">
        <v>2012</v>
      </c>
      <c r="F1864" s="9" t="s">
        <v>2283</v>
      </c>
      <c r="H1864" s="20" t="str">
        <f t="shared" si="29"/>
        <v>(nextval('obj_part_id_seq'), (select id from obj_building_v where zip||'|'||street||'|'||name||'|'||volume = '3043|Schülerweg 12|Doppelkindergarten/Musikschule/Jugendtr.|3000.00'), 'P48', 39, 85, 2012,'Mauerwerk, Stahlbeton, leichter Riss'),</v>
      </c>
    </row>
    <row r="1865" spans="1:8" x14ac:dyDescent="0.25">
      <c r="A1865" s="9" t="s">
        <v>2282</v>
      </c>
      <c r="B1865" s="9" t="s">
        <v>1129</v>
      </c>
      <c r="C1865">
        <v>2</v>
      </c>
      <c r="D1865">
        <v>90</v>
      </c>
      <c r="E1865">
        <v>2012</v>
      </c>
      <c r="F1865" s="9" t="s">
        <v>2284</v>
      </c>
      <c r="H1865" s="20" t="str">
        <f t="shared" si="29"/>
        <v>(nextval('obj_part_id_seq'), (select id from obj_building_v where zip||'|'||street||'|'||name||'|'||volume = '3043|Schülerweg 12|Doppelkindergarten/Musikschule/Jugendtr.|3000.00'), 'P49', 2, 90, 2012,'Zw.boden'),</v>
      </c>
    </row>
    <row r="1866" spans="1:8" x14ac:dyDescent="0.25">
      <c r="A1866" s="9" t="s">
        <v>2282</v>
      </c>
      <c r="B1866" s="9" t="s">
        <v>1097</v>
      </c>
      <c r="C1866">
        <v>8</v>
      </c>
      <c r="D1866">
        <v>90</v>
      </c>
      <c r="E1866">
        <v>2012</v>
      </c>
      <c r="F1866" s="9" t="s">
        <v>2285</v>
      </c>
      <c r="H1866" s="20" t="str">
        <f t="shared" si="29"/>
        <v>(nextval('obj_part_id_seq'), (select id from obj_building_v where zip||'|'||street||'|'||name||'|'||volume = '3043|Schülerweg 12|Doppelkindergarten/Musikschule/Jugendtr.|3000.00'), 'P2', 8, 90, 2012,'Eternitschindeldach, Dachflächenfenster, Spenglerarbeiten i.O.'),</v>
      </c>
    </row>
    <row r="1867" spans="1:8" x14ac:dyDescent="0.25">
      <c r="A1867" s="9" t="s">
        <v>2282</v>
      </c>
      <c r="B1867" s="9" t="s">
        <v>1099</v>
      </c>
      <c r="C1867">
        <v>0</v>
      </c>
      <c r="D1867" t="s">
        <v>4080</v>
      </c>
      <c r="E1867">
        <v>2012</v>
      </c>
      <c r="F1867" s="9"/>
      <c r="H1867" s="20" t="str">
        <f t="shared" si="29"/>
        <v>(nextval('obj_part_id_seq'), (select id from obj_building_v where zip||'|'||street||'|'||name||'|'||volume = '3043|Schülerweg 12|Doppelkindergarten/Musikschule/Jugendtr.|3000.00'), 'P3', 0, null, 2012,null),</v>
      </c>
    </row>
    <row r="1868" spans="1:8" x14ac:dyDescent="0.25">
      <c r="A1868" s="9" t="s">
        <v>2282</v>
      </c>
      <c r="B1868" s="9" t="s">
        <v>1100</v>
      </c>
      <c r="C1868">
        <v>7</v>
      </c>
      <c r="D1868">
        <v>90</v>
      </c>
      <c r="E1868">
        <v>2012</v>
      </c>
      <c r="F1868" s="9" t="s">
        <v>2286</v>
      </c>
      <c r="H1868" s="20" t="str">
        <f t="shared" si="29"/>
        <v>(nextval('obj_part_id_seq'), (select id from obj_building_v where zip||'|'||street||'|'||name||'|'||volume = '3043|Schülerweg 12|Doppelkindergarten/Musikschule/Jugendtr.|3000.00'), 'P4', 7, 90, 2012,'Zweischalenmauerwerk, verputzt'),</v>
      </c>
    </row>
    <row r="1869" spans="1:8" x14ac:dyDescent="0.25">
      <c r="A1869" s="9" t="s">
        <v>2282</v>
      </c>
      <c r="B1869" s="9" t="s">
        <v>1102</v>
      </c>
      <c r="C1869">
        <v>10</v>
      </c>
      <c r="D1869">
        <v>90</v>
      </c>
      <c r="E1869">
        <v>2012</v>
      </c>
      <c r="F1869" s="9" t="s">
        <v>2287</v>
      </c>
      <c r="H1869" s="20" t="str">
        <f t="shared" si="29"/>
        <v>(nextval('obj_part_id_seq'), (select id from obj_building_v where zip||'|'||street||'|'||name||'|'||volume = '3043|Schülerweg 12|Doppelkindergarten/Musikschule/Jugendtr.|3000.00'), 'P5', 10, 90, 2012,'Holzfenster IV 2-fach/3-fach, Rafflamellenstoren, Metalltüre aussen, Musikraum'),</v>
      </c>
    </row>
    <row r="1870" spans="1:8" x14ac:dyDescent="0.25">
      <c r="A1870" s="9" t="s">
        <v>2282</v>
      </c>
      <c r="B1870" s="9" t="s">
        <v>1164</v>
      </c>
      <c r="C1870">
        <v>6</v>
      </c>
      <c r="D1870">
        <v>90</v>
      </c>
      <c r="E1870">
        <v>2012</v>
      </c>
      <c r="F1870" s="9" t="s">
        <v>2288</v>
      </c>
      <c r="H1870" s="20" t="str">
        <f t="shared" si="29"/>
        <v>(nextval('obj_part_id_seq'), (select id from obj_building_v where zip||'|'||street||'|'||name||'|'||volume = '3043|Schülerweg 12|Doppelkindergarten/Musikschule/Jugendtr.|3000.00'), 'P50', 6, 90, 2012,'Neue Sicherungen, Beleuchtung'),</v>
      </c>
    </row>
    <row r="1871" spans="1:8" x14ac:dyDescent="0.25">
      <c r="A1871" s="9" t="s">
        <v>2282</v>
      </c>
      <c r="B1871" s="9" t="s">
        <v>1166</v>
      </c>
      <c r="C1871">
        <v>1</v>
      </c>
      <c r="D1871">
        <v>85</v>
      </c>
      <c r="E1871">
        <v>2012</v>
      </c>
      <c r="F1871" s="9" t="s">
        <v>2289</v>
      </c>
      <c r="H1871" s="20" t="str">
        <f t="shared" si="29"/>
        <v>(nextval('obj_part_id_seq'), (select id from obj_building_v where zip||'|'||street||'|'||name||'|'||volume = '3043|Schülerweg 12|Doppelkindergarten/Musikschule/Jugendtr.|3000.00'), 'P51', 1, 85, 2012,'Glocke, Tel.'),</v>
      </c>
    </row>
    <row r="1872" spans="1:8" x14ac:dyDescent="0.25">
      <c r="A1872" s="9" t="s">
        <v>2282</v>
      </c>
      <c r="B1872" s="9" t="s">
        <v>1104</v>
      </c>
      <c r="C1872">
        <v>0</v>
      </c>
      <c r="D1872" t="s">
        <v>4080</v>
      </c>
      <c r="E1872">
        <v>2012</v>
      </c>
      <c r="F1872" s="9" t="s">
        <v>2290</v>
      </c>
      <c r="H1872" s="20" t="str">
        <f t="shared" si="29"/>
        <v>(nextval('obj_part_id_seq'), (select id from obj_building_v where zip||'|'||street||'|'||name||'|'||volume = '3043|Schülerweg 12|Doppelkindergarten/Musikschule/Jugendtr.|3000.00'), 'P6', 0, null, 2012,'Fernwärme (früher Wärmepumpe)'),</v>
      </c>
    </row>
    <row r="1873" spans="1:8" x14ac:dyDescent="0.25">
      <c r="A1873" s="9" t="s">
        <v>2282</v>
      </c>
      <c r="B1873" s="9" t="s">
        <v>1106</v>
      </c>
      <c r="C1873">
        <v>3</v>
      </c>
      <c r="D1873">
        <v>90</v>
      </c>
      <c r="E1873">
        <v>2012</v>
      </c>
      <c r="F1873" s="9" t="s">
        <v>2291</v>
      </c>
      <c r="H1873" s="20" t="str">
        <f t="shared" si="29"/>
        <v>(nextval('obj_part_id_seq'), (select id from obj_building_v where zip||'|'||street||'|'||name||'|'||volume = '3043|Schülerweg 12|Doppelkindergarten/Musikschule/Jugendtr.|3000.00'), 'P7', 3, 90, 2012,'Bodenheizung, im UG Radiatoren'),</v>
      </c>
    </row>
    <row r="1874" spans="1:8" x14ac:dyDescent="0.25">
      <c r="A1874" s="9" t="s">
        <v>2282</v>
      </c>
      <c r="B1874" s="9" t="s">
        <v>1108</v>
      </c>
      <c r="C1874">
        <v>4</v>
      </c>
      <c r="D1874">
        <v>85</v>
      </c>
      <c r="E1874">
        <v>2012</v>
      </c>
      <c r="F1874" s="9" t="s">
        <v>2292</v>
      </c>
      <c r="H1874" s="20" t="str">
        <f t="shared" si="29"/>
        <v>(nextval('obj_part_id_seq'), (select id from obj_building_v where zip||'|'||street||'|'||name||'|'||volume = '3043|Schülerweg 12|Doppelkindergarten/Musikschule/Jugendtr.|3000.00'), 'P8', 4, 85, 2012,'Lavabo im KG, Küche, Dachwasserablauf, Flüssiggasanlage'),</v>
      </c>
    </row>
    <row r="1875" spans="1:8" x14ac:dyDescent="0.25">
      <c r="A1875" s="9" t="s">
        <v>2282</v>
      </c>
      <c r="B1875" s="9" t="s">
        <v>1138</v>
      </c>
      <c r="C1875">
        <v>11</v>
      </c>
      <c r="D1875">
        <v>90</v>
      </c>
      <c r="E1875">
        <v>2012</v>
      </c>
      <c r="F1875" s="9" t="s">
        <v>2293</v>
      </c>
      <c r="H1875" s="20" t="str">
        <f t="shared" si="29"/>
        <v>(nextval('obj_part_id_seq'), (select id from obj_building_v where zip||'|'||street||'|'||name||'|'||volume = '3043|Schülerweg 12|Doppelkindergarten/Musikschule/Jugendtr.|3000.00'), 'P57', 11, 90, 2012,'Einbauschränke, Simse'),</v>
      </c>
    </row>
    <row r="1876" spans="1:8" x14ac:dyDescent="0.25">
      <c r="A1876" s="9" t="s">
        <v>2282</v>
      </c>
      <c r="B1876" s="9" t="s">
        <v>1140</v>
      </c>
      <c r="C1876">
        <v>9</v>
      </c>
      <c r="D1876">
        <v>85</v>
      </c>
      <c r="E1876">
        <v>2012</v>
      </c>
      <c r="F1876" s="9" t="s">
        <v>2294</v>
      </c>
      <c r="H1876" s="20" t="str">
        <f t="shared" si="29"/>
        <v>(nextval('obj_part_id_seq'), (select id from obj_building_v where zip||'|'||street||'|'||name||'|'||volume = '3043|Schülerweg 12|Doppelkindergarten/Musikschule/Jugendtr.|3000.00'), 'P58', 9, 85, 2012,'B: Keramik, Teppich SS, Parkett/Novilon&lt;br&gt;W: Pl.schild Küche, Putz, gestr., Täfer in Musikr., Keramik in WC&lt;br&gt;D: Täfer, Gipskartonpl. in Materialr., Pavatexpl. in Musikr., in Jugendraum Beton, gestr.'),</v>
      </c>
    </row>
    <row r="1877" spans="1:8" x14ac:dyDescent="0.25">
      <c r="A1877" s="9" t="s">
        <v>2282</v>
      </c>
      <c r="B1877" s="9" t="s">
        <v>1142</v>
      </c>
      <c r="C1877">
        <v>0</v>
      </c>
      <c r="D1877" t="s">
        <v>4080</v>
      </c>
      <c r="E1877">
        <v>2012</v>
      </c>
      <c r="F1877" s="9"/>
      <c r="H1877" s="20" t="str">
        <f t="shared" si="29"/>
        <v>(nextval('obj_part_id_seq'), (select id from obj_building_v where zip||'|'||street||'|'||name||'|'||volume = '3043|Schülerweg 12|Doppelkindergarten/Musikschule/Jugendtr.|3000.00'), 'P60', 0, null, 2012,null),</v>
      </c>
    </row>
    <row r="1878" spans="1:8" x14ac:dyDescent="0.25">
      <c r="A1878" s="9" t="s">
        <v>2282</v>
      </c>
      <c r="B1878" s="9" t="s">
        <v>1143</v>
      </c>
      <c r="C1878">
        <v>0</v>
      </c>
      <c r="D1878" t="s">
        <v>4080</v>
      </c>
      <c r="E1878">
        <v>2012</v>
      </c>
      <c r="F1878" s="9"/>
      <c r="H1878" s="20" t="str">
        <f t="shared" si="29"/>
        <v>(nextval('obj_part_id_seq'), (select id from obj_building_v where zip||'|'||street||'|'||name||'|'||volume = '3043|Schülerweg 12|Doppelkindergarten/Musikschule/Jugendtr.|3000.00'), 'P61', 0, null, 2012,null),</v>
      </c>
    </row>
    <row r="1879" spans="1:8" x14ac:dyDescent="0.25">
      <c r="A1879" s="9" t="s">
        <v>2282</v>
      </c>
      <c r="B1879" s="9" t="s">
        <v>1144</v>
      </c>
      <c r="C1879">
        <v>0</v>
      </c>
      <c r="D1879" t="s">
        <v>4080</v>
      </c>
      <c r="E1879">
        <v>2012</v>
      </c>
      <c r="F1879" s="9"/>
      <c r="H1879" s="20" t="str">
        <f t="shared" si="29"/>
        <v>(nextval('obj_part_id_seq'), (select id from obj_building_v where zip||'|'||street||'|'||name||'|'||volume = '3043|Schülerweg 12|Doppelkindergarten/Musikschule/Jugendtr.|3000.00'), 'P62', 0, null, 2012,null),</v>
      </c>
    </row>
    <row r="1880" spans="1:8" x14ac:dyDescent="0.25">
      <c r="A1880" s="9" t="s">
        <v>2295</v>
      </c>
      <c r="B1880" s="9" t="s">
        <v>1127</v>
      </c>
      <c r="C1880">
        <v>27</v>
      </c>
      <c r="D1880">
        <v>90</v>
      </c>
      <c r="E1880">
        <v>2013</v>
      </c>
      <c r="F1880" s="9" t="s">
        <v>2296</v>
      </c>
      <c r="H1880" s="20" t="str">
        <f t="shared" si="29"/>
        <v>(nextval('obj_part_id_seq'), (select id from obj_building_v where zip||'|'||street||'|'||name||'|'||volume = '9220|Sandbänkli 4|Pavillon|1005.00'), 'P48', 27, 90, 2013,'Vorfabrizierter Elementbau mit Stahlrahmen'),</v>
      </c>
    </row>
    <row r="1881" spans="1:8" x14ac:dyDescent="0.25">
      <c r="A1881" s="9" t="s">
        <v>2295</v>
      </c>
      <c r="B1881" s="9" t="s">
        <v>1129</v>
      </c>
      <c r="C1881">
        <v>0</v>
      </c>
      <c r="D1881" t="s">
        <v>4080</v>
      </c>
      <c r="E1881">
        <v>2013</v>
      </c>
      <c r="F1881" s="9"/>
      <c r="H1881" s="20" t="str">
        <f t="shared" si="29"/>
        <v>(nextval('obj_part_id_seq'), (select id from obj_building_v where zip||'|'||street||'|'||name||'|'||volume = '9220|Sandbänkli 4|Pavillon|1005.00'), 'P49', 0, null, 2013,null),</v>
      </c>
    </row>
    <row r="1882" spans="1:8" x14ac:dyDescent="0.25">
      <c r="A1882" s="9" t="s">
        <v>2295</v>
      </c>
      <c r="B1882" s="9" t="s">
        <v>1097</v>
      </c>
      <c r="C1882">
        <v>0</v>
      </c>
      <c r="D1882" t="s">
        <v>4080</v>
      </c>
      <c r="E1882">
        <v>2013</v>
      </c>
      <c r="F1882" s="9"/>
      <c r="H1882" s="20" t="str">
        <f t="shared" si="29"/>
        <v>(nextval('obj_part_id_seq'), (select id from obj_building_v where zip||'|'||street||'|'||name||'|'||volume = '9220|Sandbänkli 4|Pavillon|1005.00'), 'P2', 0, null, 2013,null),</v>
      </c>
    </row>
    <row r="1883" spans="1:8" x14ac:dyDescent="0.25">
      <c r="A1883" s="9" t="s">
        <v>2295</v>
      </c>
      <c r="B1883" s="9" t="s">
        <v>1099</v>
      </c>
      <c r="C1883">
        <v>20</v>
      </c>
      <c r="D1883">
        <v>80</v>
      </c>
      <c r="E1883">
        <v>2013</v>
      </c>
      <c r="F1883" s="9" t="s">
        <v>2297</v>
      </c>
      <c r="H1883" s="20" t="str">
        <f t="shared" si="29"/>
        <v>(nextval('obj_part_id_seq'), (select id from obj_building_v where zip||'|'||street||'|'||name||'|'||volume = '9220|Sandbänkli 4|Pavillon|1005.00'), 'P3', 20, 80, 2013,'Nacktdach, stark vermoost'),</v>
      </c>
    </row>
    <row r="1884" spans="1:8" x14ac:dyDescent="0.25">
      <c r="A1884" s="9" t="s">
        <v>2295</v>
      </c>
      <c r="B1884" s="9" t="s">
        <v>1100</v>
      </c>
      <c r="C1884">
        <v>8</v>
      </c>
      <c r="D1884">
        <v>80</v>
      </c>
      <c r="E1884">
        <v>2013</v>
      </c>
      <c r="F1884" s="9" t="s">
        <v>2298</v>
      </c>
      <c r="H1884" s="20" t="str">
        <f t="shared" si="29"/>
        <v>(nextval('obj_part_id_seq'), (select id from obj_building_v where zip||'|'||street||'|'||name||'|'||volume = '9220|Sandbänkli 4|Pavillon|1005.00'), 'P4', 8, 80, 2013,'verputzt'),</v>
      </c>
    </row>
    <row r="1885" spans="1:8" x14ac:dyDescent="0.25">
      <c r="A1885" s="9" t="s">
        <v>2295</v>
      </c>
      <c r="B1885" s="9" t="s">
        <v>1102</v>
      </c>
      <c r="C1885">
        <v>14</v>
      </c>
      <c r="D1885">
        <v>80</v>
      </c>
      <c r="E1885">
        <v>2013</v>
      </c>
      <c r="F1885" s="9" t="s">
        <v>2299</v>
      </c>
      <c r="H1885" s="20" t="str">
        <f t="shared" si="29"/>
        <v>(nextval('obj_part_id_seq'), (select id from obj_building_v where zip||'|'||street||'|'||name||'|'||volume = '9220|Sandbänkli 4|Pavillon|1005.00'), 'P5', 14, 80, 2013,'Kunststofffenster ''92 Rafflamellenstoren'),</v>
      </c>
    </row>
    <row r="1886" spans="1:8" x14ac:dyDescent="0.25">
      <c r="A1886" s="9" t="s">
        <v>2295</v>
      </c>
      <c r="B1886" s="9" t="s">
        <v>1110</v>
      </c>
      <c r="C1886">
        <v>4</v>
      </c>
      <c r="D1886">
        <v>85</v>
      </c>
      <c r="E1886">
        <v>2013</v>
      </c>
      <c r="F1886" s="9"/>
      <c r="H1886" s="20" t="str">
        <f t="shared" si="29"/>
        <v>(nextval('obj_part_id_seq'), (select id from obj_building_v where zip||'|'||street||'|'||name||'|'||volume = '9220|Sandbänkli 4|Pavillon|1005.00'), 'P9', 4, 85, 2013,null),</v>
      </c>
    </row>
    <row r="1887" spans="1:8" x14ac:dyDescent="0.25">
      <c r="A1887" s="9" t="s">
        <v>2295</v>
      </c>
      <c r="B1887" s="9" t="s">
        <v>1104</v>
      </c>
      <c r="C1887">
        <v>3</v>
      </c>
      <c r="D1887">
        <v>85</v>
      </c>
      <c r="E1887">
        <v>2013</v>
      </c>
      <c r="F1887" s="9" t="s">
        <v>2300</v>
      </c>
      <c r="H1887" s="20" t="str">
        <f t="shared" si="29"/>
        <v>(nextval('obj_part_id_seq'), (select id from obj_building_v where zip||'|'||street||'|'||name||'|'||volume = '9220|Sandbänkli 4|Pavillon|1005.00'), 'P6', 3, 85, 2013,'Elektroheizung dezentral'),</v>
      </c>
    </row>
    <row r="1888" spans="1:8" x14ac:dyDescent="0.25">
      <c r="A1888" s="9" t="s">
        <v>2295</v>
      </c>
      <c r="B1888" s="9" t="s">
        <v>1106</v>
      </c>
      <c r="C1888">
        <v>0</v>
      </c>
      <c r="D1888" t="s">
        <v>4080</v>
      </c>
      <c r="E1888">
        <v>2013</v>
      </c>
      <c r="F1888" s="9" t="s">
        <v>2301</v>
      </c>
      <c r="H1888" s="20" t="str">
        <f t="shared" si="29"/>
        <v>(nextval('obj_part_id_seq'), (select id from obj_building_v where zip||'|'||street||'|'||name||'|'||volume = '9220|Sandbänkli 4|Pavillon|1005.00'), 'P7', 0, null, 2013,'Wärmeverteilung in Element Wärmeerzeugung enthalten.'),</v>
      </c>
    </row>
    <row r="1889" spans="1:8" x14ac:dyDescent="0.25">
      <c r="A1889" s="9" t="s">
        <v>2295</v>
      </c>
      <c r="B1889" s="9" t="s">
        <v>1135</v>
      </c>
      <c r="C1889">
        <v>1</v>
      </c>
      <c r="D1889">
        <v>90</v>
      </c>
      <c r="E1889">
        <v>2013</v>
      </c>
      <c r="F1889" s="9" t="s">
        <v>2302</v>
      </c>
      <c r="H1889" s="20" t="str">
        <f t="shared" si="29"/>
        <v>(nextval('obj_part_id_seq'), (select id from obj_building_v where zip||'|'||street||'|'||name||'|'||volume = '9220|Sandbänkli 4|Pavillon|1005.00'), 'P54', 1, 90, 2013,'Lavabo mit Mischventilarmatur'),</v>
      </c>
    </row>
    <row r="1890" spans="1:8" x14ac:dyDescent="0.25">
      <c r="A1890" s="9" t="s">
        <v>2295</v>
      </c>
      <c r="B1890" s="9" t="s">
        <v>1137</v>
      </c>
      <c r="C1890">
        <v>3</v>
      </c>
      <c r="D1890">
        <v>90</v>
      </c>
      <c r="E1890">
        <v>2013</v>
      </c>
      <c r="F1890" s="9"/>
      <c r="H1890" s="20" t="str">
        <f t="shared" si="29"/>
        <v>(nextval('obj_part_id_seq'), (select id from obj_building_v where zip||'|'||street||'|'||name||'|'||volume = '9220|Sandbänkli 4|Pavillon|1005.00'), 'P55', 3, 90, 2013,null),</v>
      </c>
    </row>
    <row r="1891" spans="1:8" x14ac:dyDescent="0.25">
      <c r="A1891" s="9" t="s">
        <v>2295</v>
      </c>
      <c r="B1891" s="9" t="s">
        <v>1138</v>
      </c>
      <c r="C1891">
        <v>17</v>
      </c>
      <c r="D1891">
        <v>90</v>
      </c>
      <c r="E1891">
        <v>2013</v>
      </c>
      <c r="F1891" s="9"/>
      <c r="H1891" s="20" t="str">
        <f t="shared" si="29"/>
        <v>(nextval('obj_part_id_seq'), (select id from obj_building_v where zip||'|'||street||'|'||name||'|'||volume = '9220|Sandbänkli 4|Pavillon|1005.00'), 'P57', 17, 90, 2013,null),</v>
      </c>
    </row>
    <row r="1892" spans="1:8" x14ac:dyDescent="0.25">
      <c r="A1892" s="9" t="s">
        <v>2295</v>
      </c>
      <c r="B1892" s="9" t="s">
        <v>1140</v>
      </c>
      <c r="C1892">
        <v>3</v>
      </c>
      <c r="D1892">
        <v>85</v>
      </c>
      <c r="E1892">
        <v>2013</v>
      </c>
      <c r="F1892" s="9" t="s">
        <v>2303</v>
      </c>
      <c r="H1892" s="20" t="str">
        <f t="shared" si="29"/>
        <v>(nextval('obj_part_id_seq'), (select id from obj_building_v where zip||'|'||street||'|'||name||'|'||volume = '9220|Sandbänkli 4|Pavillon|1005.00'), 'P58', 3, 85, 2013,'B: Teppich, PVC D: Akustikdecken W: Elementwände'),</v>
      </c>
    </row>
    <row r="1893" spans="1:8" x14ac:dyDescent="0.25">
      <c r="A1893" s="9" t="s">
        <v>2295</v>
      </c>
      <c r="B1893" s="9" t="s">
        <v>1142</v>
      </c>
      <c r="C1893">
        <v>0</v>
      </c>
      <c r="D1893" t="s">
        <v>4080</v>
      </c>
      <c r="E1893">
        <v>2013</v>
      </c>
      <c r="F1893" s="9"/>
      <c r="H1893" s="20" t="str">
        <f t="shared" si="29"/>
        <v>(nextval('obj_part_id_seq'), (select id from obj_building_v where zip||'|'||street||'|'||name||'|'||volume = '9220|Sandbänkli 4|Pavillon|1005.00'), 'P60', 0, null, 2013,null),</v>
      </c>
    </row>
    <row r="1894" spans="1:8" x14ac:dyDescent="0.25">
      <c r="A1894" s="9" t="s">
        <v>2295</v>
      </c>
      <c r="B1894" s="9" t="s">
        <v>1143</v>
      </c>
      <c r="C1894">
        <v>0</v>
      </c>
      <c r="D1894" t="s">
        <v>4080</v>
      </c>
      <c r="E1894">
        <v>2013</v>
      </c>
      <c r="F1894" s="9"/>
      <c r="H1894" s="20" t="str">
        <f t="shared" si="29"/>
        <v>(nextval('obj_part_id_seq'), (select id from obj_building_v where zip||'|'||street||'|'||name||'|'||volume = '9220|Sandbänkli 4|Pavillon|1005.00'), 'P61', 0, null, 2013,null),</v>
      </c>
    </row>
    <row r="1895" spans="1:8" x14ac:dyDescent="0.25">
      <c r="A1895" s="9" t="s">
        <v>2295</v>
      </c>
      <c r="B1895" s="9" t="s">
        <v>1144</v>
      </c>
      <c r="C1895">
        <v>0</v>
      </c>
      <c r="D1895" t="s">
        <v>4080</v>
      </c>
      <c r="E1895">
        <v>2013</v>
      </c>
      <c r="F1895" s="9"/>
      <c r="H1895" s="20" t="str">
        <f t="shared" si="29"/>
        <v>(nextval('obj_part_id_seq'), (select id from obj_building_v where zip||'|'||street||'|'||name||'|'||volume = '9220|Sandbänkli 4|Pavillon|1005.00'), 'P62', 0, null, 2013,null),</v>
      </c>
    </row>
    <row r="1896" spans="1:8" x14ac:dyDescent="0.25">
      <c r="A1896" s="9" t="s">
        <v>2304</v>
      </c>
      <c r="B1896" s="9" t="s">
        <v>1127</v>
      </c>
      <c r="C1896">
        <v>41</v>
      </c>
      <c r="D1896">
        <v>90</v>
      </c>
      <c r="E1896">
        <v>2013</v>
      </c>
      <c r="F1896" s="9" t="s">
        <v>1674</v>
      </c>
      <c r="H1896" s="20" t="str">
        <f t="shared" si="29"/>
        <v>(nextval('obj_part_id_seq'), (select id from obj_building_v where zip||'|'||street||'|'||name||'|'||volume = '9223|Waldplatzstrasse|Primarschulanlage Kenzenau; Schulhaus, Wohnungen, Garage|2984.00'), 'P48', 41, 90, 2013,'Mauerwerk und Holzbalkendecken'),</v>
      </c>
    </row>
    <row r="1897" spans="1:8" x14ac:dyDescent="0.25">
      <c r="A1897" s="9" t="s">
        <v>2304</v>
      </c>
      <c r="B1897" s="9" t="s">
        <v>1129</v>
      </c>
      <c r="C1897">
        <v>0</v>
      </c>
      <c r="D1897" t="s">
        <v>4080</v>
      </c>
      <c r="E1897">
        <v>2013</v>
      </c>
      <c r="F1897" s="9"/>
      <c r="H1897" s="20" t="str">
        <f t="shared" si="29"/>
        <v>(nextval('obj_part_id_seq'), (select id from obj_building_v where zip||'|'||street||'|'||name||'|'||volume = '9223|Waldplatzstrasse|Primarschulanlage Kenzenau; Schulhaus, Wohnungen, Garage|2984.00'), 'P49', 0, null, 2013,null),</v>
      </c>
    </row>
    <row r="1898" spans="1:8" x14ac:dyDescent="0.25">
      <c r="A1898" s="9" t="s">
        <v>2304</v>
      </c>
      <c r="B1898" s="9" t="s">
        <v>1097</v>
      </c>
      <c r="C1898">
        <v>8</v>
      </c>
      <c r="D1898">
        <v>90</v>
      </c>
      <c r="E1898">
        <v>2013</v>
      </c>
      <c r="F1898" s="9" t="s">
        <v>2305</v>
      </c>
      <c r="H1898" s="20" t="str">
        <f t="shared" si="29"/>
        <v>(nextval('obj_part_id_seq'), (select id from obj_building_v where zip||'|'||street||'|'||name||'|'||volume = '9223|Waldplatzstrasse|Primarschulanlage Kenzenau; Schulhaus, Wohnungen, Garage|2984.00'), 'P2', 8, 90, 2013,'Unterdach aus Holzschindel und Holzgerüst, Biberschwanzziegel'),</v>
      </c>
    </row>
    <row r="1899" spans="1:8" x14ac:dyDescent="0.25">
      <c r="A1899" s="9" t="s">
        <v>2304</v>
      </c>
      <c r="B1899" s="9" t="s">
        <v>1099</v>
      </c>
      <c r="C1899">
        <v>0</v>
      </c>
      <c r="D1899" t="s">
        <v>4080</v>
      </c>
      <c r="E1899">
        <v>2013</v>
      </c>
      <c r="F1899" s="9"/>
      <c r="H1899" s="20" t="str">
        <f t="shared" si="29"/>
        <v>(nextval('obj_part_id_seq'), (select id from obj_building_v where zip||'|'||street||'|'||name||'|'||volume = '9223|Waldplatzstrasse|Primarschulanlage Kenzenau; Schulhaus, Wohnungen, Garage|2984.00'), 'P3', 0, null, 2013,null),</v>
      </c>
    </row>
    <row r="1900" spans="1:8" x14ac:dyDescent="0.25">
      <c r="A1900" s="9" t="s">
        <v>2304</v>
      </c>
      <c r="B1900" s="9" t="s">
        <v>1100</v>
      </c>
      <c r="C1900">
        <v>7</v>
      </c>
      <c r="D1900">
        <v>85</v>
      </c>
      <c r="E1900">
        <v>2013</v>
      </c>
      <c r="F1900" s="9" t="s">
        <v>2306</v>
      </c>
      <c r="H1900" s="20" t="str">
        <f t="shared" si="29"/>
        <v>(nextval('obj_part_id_seq'), (select id from obj_building_v where zip||'|'||street||'|'||name||'|'||volume = '9223|Waldplatzstrasse|Primarschulanlage Kenzenau; Schulhaus, Wohnungen, Garage|2984.00'), 'P4', 7, 85, 2013,'Verputztes Mauerwerk mit Kuststeingewänden, Risse im Sockelbereich'),</v>
      </c>
    </row>
    <row r="1901" spans="1:8" x14ac:dyDescent="0.25">
      <c r="A1901" s="9" t="s">
        <v>2304</v>
      </c>
      <c r="B1901" s="9" t="s">
        <v>1102</v>
      </c>
      <c r="C1901">
        <v>10</v>
      </c>
      <c r="D1901">
        <v>80</v>
      </c>
      <c r="E1901">
        <v>2013</v>
      </c>
      <c r="F1901" s="9" t="s">
        <v>2307</v>
      </c>
      <c r="H1901" s="20" t="str">
        <f t="shared" si="29"/>
        <v>(nextval('obj_part_id_seq'), (select id from obj_building_v where zip||'|'||street||'|'||name||'|'||volume = '9223|Waldplatzstrasse|Primarschulanlage Kenzenau; Schulhaus, Wohnungen, Garage|2984.00'), 'P5', 10, 80, 2013,'Holzfenster mit Sprossen IV ''93, Fenster im Eingangsbereich 2012, Rafflamellen und Fensterläden, Aussentüren undicht'),</v>
      </c>
    </row>
    <row r="1902" spans="1:8" x14ac:dyDescent="0.25">
      <c r="A1902" s="9" t="s">
        <v>2304</v>
      </c>
      <c r="B1902" s="9" t="s">
        <v>1164</v>
      </c>
      <c r="C1902">
        <v>6</v>
      </c>
      <c r="D1902">
        <v>90</v>
      </c>
      <c r="E1902">
        <v>2013</v>
      </c>
      <c r="F1902" s="9" t="s">
        <v>1604</v>
      </c>
      <c r="H1902" s="20" t="str">
        <f t="shared" si="29"/>
        <v>(nextval('obj_part_id_seq'), (select id from obj_building_v where zip||'|'||street||'|'||name||'|'||volume = '9223|Waldplatzstrasse|Primarschulanlage Kenzenau; Schulhaus, Wohnungen, Garage|2984.00'), 'P50', 6, 90, 2013,'Beleuchtung ''93'),</v>
      </c>
    </row>
    <row r="1903" spans="1:8" x14ac:dyDescent="0.25">
      <c r="A1903" s="9" t="s">
        <v>2304</v>
      </c>
      <c r="B1903" s="9" t="s">
        <v>1166</v>
      </c>
      <c r="C1903">
        <v>1</v>
      </c>
      <c r="D1903">
        <v>90</v>
      </c>
      <c r="E1903">
        <v>2013</v>
      </c>
      <c r="F1903" s="9" t="s">
        <v>2308</v>
      </c>
      <c r="H1903" s="20" t="str">
        <f t="shared" si="29"/>
        <v>(nextval('obj_part_id_seq'), (select id from obj_building_v where zip||'|'||street||'|'||name||'|'||volume = '9223|Waldplatzstrasse|Primarschulanlage Kenzenau; Schulhaus, Wohnungen, Garage|2984.00'), 'P51', 1, 90, 2013,'Gegensprechanlage, Pausenglocke, EDV-Inst., Telefon'),</v>
      </c>
    </row>
    <row r="1904" spans="1:8" x14ac:dyDescent="0.25">
      <c r="A1904" s="9" t="s">
        <v>2304</v>
      </c>
      <c r="B1904" s="9" t="s">
        <v>1104</v>
      </c>
      <c r="C1904">
        <v>1</v>
      </c>
      <c r="D1904">
        <v>90</v>
      </c>
      <c r="E1904">
        <v>2013</v>
      </c>
      <c r="F1904" s="9" t="s">
        <v>2309</v>
      </c>
      <c r="H1904" s="20" t="str">
        <f t="shared" si="29"/>
        <v>(nextval('obj_part_id_seq'), (select id from obj_building_v where zip||'|'||street||'|'||name||'|'||volume = '9223|Waldplatzstrasse|Primarschulanlage Kenzenau; Schulhaus, Wohnungen, Garage|2984.00'), 'P6', 1, 90, 2013,'Ölheizung 2007, Öltank Revision 2009'),</v>
      </c>
    </row>
    <row r="1905" spans="1:8" x14ac:dyDescent="0.25">
      <c r="A1905" s="9" t="s">
        <v>2304</v>
      </c>
      <c r="B1905" s="9" t="s">
        <v>1106</v>
      </c>
      <c r="C1905">
        <v>3</v>
      </c>
      <c r="D1905">
        <v>80</v>
      </c>
      <c r="E1905">
        <v>2013</v>
      </c>
      <c r="F1905" s="9" t="s">
        <v>2310</v>
      </c>
      <c r="H1905" s="20" t="str">
        <f t="shared" si="29"/>
        <v>(nextval('obj_part_id_seq'), (select id from obj_building_v where zip||'|'||street||'|'||name||'|'||volume = '9223|Waldplatzstrasse|Primarschulanlage Kenzenau; Schulhaus, Wohnungen, Garage|2984.00'), 'P7', 3, 80, 2013,'Wohnung: Radiatoren im Bad, ansonsten Bodenheizung, Schulhaus: Radiatoren mit Thermostaten'),</v>
      </c>
    </row>
    <row r="1906" spans="1:8" x14ac:dyDescent="0.25">
      <c r="A1906" s="9" t="s">
        <v>2304</v>
      </c>
      <c r="B1906" s="9" t="s">
        <v>1108</v>
      </c>
      <c r="C1906">
        <v>4</v>
      </c>
      <c r="D1906">
        <v>80</v>
      </c>
      <c r="E1906">
        <v>2013</v>
      </c>
      <c r="F1906" s="9" t="s">
        <v>2311</v>
      </c>
      <c r="H1906" s="20" t="str">
        <f t="shared" si="29"/>
        <v>(nextval('obj_part_id_seq'), (select id from obj_building_v where zip||'|'||street||'|'||name||'|'||volume = '9223|Waldplatzstrasse|Primarschulanlage Kenzenau; Schulhaus, Wohnungen, Garage|2984.00'), 'P8', 4, 80, 2013,'Wasserdurchfluss in der Küche der Wohnung schwach'),</v>
      </c>
    </row>
    <row r="1907" spans="1:8" x14ac:dyDescent="0.25">
      <c r="A1907" s="9" t="s">
        <v>2304</v>
      </c>
      <c r="B1907" s="9" t="s">
        <v>1138</v>
      </c>
      <c r="C1907">
        <v>11</v>
      </c>
      <c r="D1907">
        <v>85</v>
      </c>
      <c r="E1907">
        <v>2013</v>
      </c>
      <c r="F1907" s="9" t="s">
        <v>2312</v>
      </c>
      <c r="H1907" s="20" t="str">
        <f t="shared" si="29"/>
        <v>(nextval('obj_part_id_seq'), (select id from obj_building_v where zip||'|'||street||'|'||name||'|'||volume = '9223|Waldplatzstrasse|Primarschulanlage Kenzenau; Schulhaus, Wohnungen, Garage|2984.00'), 'P57', 11, 85, 2013,'Einbauschränke, Fenstersimse, Küche und innere Verglasung in der Wohnung, Risse im Putz'),</v>
      </c>
    </row>
    <row r="1908" spans="1:8" x14ac:dyDescent="0.25">
      <c r="A1908" s="9" t="s">
        <v>2304</v>
      </c>
      <c r="B1908" s="9" t="s">
        <v>1140</v>
      </c>
      <c r="C1908">
        <v>8</v>
      </c>
      <c r="D1908">
        <v>85</v>
      </c>
      <c r="E1908">
        <v>2013</v>
      </c>
      <c r="F1908" s="9" t="s">
        <v>2313</v>
      </c>
      <c r="H1908" s="20" t="str">
        <f t="shared" si="29"/>
        <v>(nextval('obj_part_id_seq'), (select id from obj_building_v where zip||'|'||street||'|'||name||'|'||volume = '9223|Waldplatzstrasse|Primarschulanlage Kenzenau; Schulhaus, Wohnungen, Garage|2984.00'), 'P58', 8, 85, 2013,'B: Holz,Teppich, Marmor, Linol oder PVC, W: Verputzt und gestrichen oder Keramikplatten, D: Holz oder Gips'),</v>
      </c>
    </row>
    <row r="1909" spans="1:8" x14ac:dyDescent="0.25">
      <c r="A1909" s="9" t="s">
        <v>2304</v>
      </c>
      <c r="B1909" s="9" t="s">
        <v>1142</v>
      </c>
      <c r="C1909">
        <v>0</v>
      </c>
      <c r="D1909" t="s">
        <v>4080</v>
      </c>
      <c r="E1909">
        <v>2013</v>
      </c>
      <c r="F1909" s="9"/>
      <c r="H1909" s="20" t="str">
        <f t="shared" si="29"/>
        <v>(nextval('obj_part_id_seq'), (select id from obj_building_v where zip||'|'||street||'|'||name||'|'||volume = '9223|Waldplatzstrasse|Primarschulanlage Kenzenau; Schulhaus, Wohnungen, Garage|2984.00'), 'P60', 0, null, 2013,null),</v>
      </c>
    </row>
    <row r="1910" spans="1:8" x14ac:dyDescent="0.25">
      <c r="A1910" s="9" t="s">
        <v>2304</v>
      </c>
      <c r="B1910" s="9" t="s">
        <v>1143</v>
      </c>
      <c r="C1910">
        <v>0</v>
      </c>
      <c r="D1910" t="s">
        <v>4080</v>
      </c>
      <c r="E1910">
        <v>2013</v>
      </c>
      <c r="F1910" s="9"/>
      <c r="H1910" s="20" t="str">
        <f t="shared" si="29"/>
        <v>(nextval('obj_part_id_seq'), (select id from obj_building_v where zip||'|'||street||'|'||name||'|'||volume = '9223|Waldplatzstrasse|Primarschulanlage Kenzenau; Schulhaus, Wohnungen, Garage|2984.00'), 'P61', 0, null, 2013,null),</v>
      </c>
    </row>
    <row r="1911" spans="1:8" x14ac:dyDescent="0.25">
      <c r="A1911" s="9" t="s">
        <v>2304</v>
      </c>
      <c r="B1911" s="9" t="s">
        <v>1144</v>
      </c>
      <c r="C1911">
        <v>0</v>
      </c>
      <c r="D1911" t="s">
        <v>4080</v>
      </c>
      <c r="E1911">
        <v>2013</v>
      </c>
      <c r="F1911" s="9"/>
      <c r="H1911" s="20" t="str">
        <f t="shared" si="29"/>
        <v>(nextval('obj_part_id_seq'), (select id from obj_building_v where zip||'|'||street||'|'||name||'|'||volume = '9223|Waldplatzstrasse|Primarschulanlage Kenzenau; Schulhaus, Wohnungen, Garage|2984.00'), 'P62', 0, null, 2013,null),</v>
      </c>
    </row>
    <row r="1912" spans="1:8" x14ac:dyDescent="0.25">
      <c r="A1912" s="9" t="s">
        <v>2314</v>
      </c>
      <c r="B1912" s="9" t="s">
        <v>1127</v>
      </c>
      <c r="C1912">
        <v>41</v>
      </c>
      <c r="D1912">
        <v>90</v>
      </c>
      <c r="E1912">
        <v>2013</v>
      </c>
      <c r="F1912" s="9" t="s">
        <v>2315</v>
      </c>
      <c r="H1912" s="20" t="str">
        <f t="shared" si="29"/>
        <v>(nextval('obj_part_id_seq'), (select id from obj_building_v where zip||'|'||street||'|'||name||'|'||volume = '5620|Spiegelgasse 9|Kornhaus|4798.00'), 'P48', 41, 90, 2013,'Natursteinmauerwerk, verputzt, Holzbalkendecken'),</v>
      </c>
    </row>
    <row r="1913" spans="1:8" x14ac:dyDescent="0.25">
      <c r="A1913" s="9" t="s">
        <v>2314</v>
      </c>
      <c r="B1913" s="9" t="s">
        <v>1129</v>
      </c>
      <c r="C1913">
        <v>0</v>
      </c>
      <c r="D1913" t="s">
        <v>4080</v>
      </c>
      <c r="E1913">
        <v>2013</v>
      </c>
      <c r="F1913" s="9"/>
      <c r="H1913" s="20" t="str">
        <f t="shared" si="29"/>
        <v>(nextval('obj_part_id_seq'), (select id from obj_building_v where zip||'|'||street||'|'||name||'|'||volume = '5620|Spiegelgasse 9|Kornhaus|4798.00'), 'P49', 0, null, 2013,null),</v>
      </c>
    </row>
    <row r="1914" spans="1:8" x14ac:dyDescent="0.25">
      <c r="A1914" s="9" t="s">
        <v>2314</v>
      </c>
      <c r="B1914" s="9" t="s">
        <v>1097</v>
      </c>
      <c r="C1914">
        <v>8</v>
      </c>
      <c r="D1914">
        <v>90</v>
      </c>
      <c r="E1914">
        <v>2013</v>
      </c>
      <c r="F1914" s="9" t="s">
        <v>2316</v>
      </c>
      <c r="H1914" s="20" t="str">
        <f t="shared" si="29"/>
        <v>(nextval('obj_part_id_seq'), (select id from obj_building_v where zip||'|'||street||'|'||name||'|'||volume = '5620|Spiegelgasse 9|Kornhaus|4798.00'), 'P2', 8, 90, 2013,'Biberschwanzziegel, Dachraum gem. Angaben des Liegenschaftenverwalters mängelfrei'),</v>
      </c>
    </row>
    <row r="1915" spans="1:8" x14ac:dyDescent="0.25">
      <c r="A1915" s="9" t="s">
        <v>2314</v>
      </c>
      <c r="B1915" s="9" t="s">
        <v>1099</v>
      </c>
      <c r="C1915">
        <v>0</v>
      </c>
      <c r="D1915" t="s">
        <v>4080</v>
      </c>
      <c r="E1915">
        <v>2013</v>
      </c>
      <c r="F1915" s="9"/>
      <c r="H1915" s="20" t="str">
        <f t="shared" si="29"/>
        <v>(nextval('obj_part_id_seq'), (select id from obj_building_v where zip||'|'||street||'|'||name||'|'||volume = '5620|Spiegelgasse 9|Kornhaus|4798.00'), 'P3', 0, null, 2013,null),</v>
      </c>
    </row>
    <row r="1916" spans="1:8" x14ac:dyDescent="0.25">
      <c r="A1916" s="9" t="s">
        <v>2314</v>
      </c>
      <c r="B1916" s="9" t="s">
        <v>1100</v>
      </c>
      <c r="C1916">
        <v>7</v>
      </c>
      <c r="D1916">
        <v>85</v>
      </c>
      <c r="E1916">
        <v>2013</v>
      </c>
      <c r="F1916" s="9" t="s">
        <v>2317</v>
      </c>
      <c r="H1916" s="20" t="str">
        <f t="shared" si="29"/>
        <v>(nextval('obj_part_id_seq'), (select id from obj_building_v where zip||'|'||street||'|'||name||'|'||volume = '5620|Spiegelgasse 9|Kornhaus|4798.00'), 'P4', 7, 85, 2013,'Natursteinmauerwerk, verputzt, Natursteingewände, Verfärbungen im Sockelbereich und über Fenster EG'),</v>
      </c>
    </row>
    <row r="1917" spans="1:8" x14ac:dyDescent="0.25">
      <c r="A1917" s="9" t="s">
        <v>2314</v>
      </c>
      <c r="B1917" s="9" t="s">
        <v>1102</v>
      </c>
      <c r="C1917">
        <v>10</v>
      </c>
      <c r="D1917">
        <v>90</v>
      </c>
      <c r="E1917">
        <v>2013</v>
      </c>
      <c r="F1917" s="9" t="s">
        <v>2318</v>
      </c>
      <c r="H1917" s="20" t="str">
        <f t="shared" si="29"/>
        <v>(nextval('obj_part_id_seq'), (select id from obj_building_v where zip||'|'||street||'|'||name||'|'||volume = '5620|Spiegelgasse 9|Kornhaus|4798.00'), 'P5', 10, 90, 2013,'Holzsprossenfenster mit Doppelverglasung'),</v>
      </c>
    </row>
    <row r="1918" spans="1:8" x14ac:dyDescent="0.25">
      <c r="A1918" s="9" t="s">
        <v>2314</v>
      </c>
      <c r="B1918" s="9" t="s">
        <v>1164</v>
      </c>
      <c r="C1918">
        <v>6</v>
      </c>
      <c r="D1918">
        <v>85</v>
      </c>
      <c r="E1918">
        <v>2013</v>
      </c>
      <c r="F1918" s="9" t="s">
        <v>2319</v>
      </c>
      <c r="H1918" s="20" t="str">
        <f t="shared" si="29"/>
        <v>(nextval('obj_part_id_seq'), (select id from obj_building_v where zip||'|'||street||'|'||name||'|'||volume = '5620|Spiegelgasse 9|Kornhaus|4798.00'), 'P50', 6, 85, 2013,'Tw. alte Keramiksicherungen und Schalter (Absicherung jedoch i. O.), Aufputzleitungen'),</v>
      </c>
    </row>
    <row r="1919" spans="1:8" x14ac:dyDescent="0.25">
      <c r="A1919" s="9" t="s">
        <v>2314</v>
      </c>
      <c r="B1919" s="9" t="s">
        <v>1166</v>
      </c>
      <c r="C1919">
        <v>1</v>
      </c>
      <c r="D1919">
        <v>90</v>
      </c>
      <c r="E1919">
        <v>2013</v>
      </c>
      <c r="F1919" s="9" t="s">
        <v>1437</v>
      </c>
      <c r="H1919" s="20" t="str">
        <f t="shared" si="29"/>
        <v>(nextval('obj_part_id_seq'), (select id from obj_building_v where zip||'|'||street||'|'||name||'|'||volume = '5620|Spiegelgasse 9|Kornhaus|4798.00'), 'P51', 1, 90, 2013,'Sonnerie, Telefon'),</v>
      </c>
    </row>
    <row r="1920" spans="1:8" x14ac:dyDescent="0.25">
      <c r="A1920" s="9" t="s">
        <v>2314</v>
      </c>
      <c r="B1920" s="9" t="s">
        <v>1104</v>
      </c>
      <c r="C1920">
        <v>1</v>
      </c>
      <c r="D1920">
        <v>80</v>
      </c>
      <c r="E1920">
        <v>2013</v>
      </c>
      <c r="F1920" s="9" t="s">
        <v>2320</v>
      </c>
      <c r="H1920" s="20" t="str">
        <f t="shared" si="29"/>
        <v>(nextval('obj_part_id_seq'), (select id from obj_building_v where zip||'|'||street||'|'||name||'|'||volume = '5620|Spiegelgasse 9|Kornhaus|4798.00'), 'P6', 1, 80, 2013,'Ölheizung (''94), letzte Tankrevision (''08)'),</v>
      </c>
    </row>
    <row r="1921" spans="1:8" x14ac:dyDescent="0.25">
      <c r="A1921" s="9" t="s">
        <v>2314</v>
      </c>
      <c r="B1921" s="9" t="s">
        <v>1106</v>
      </c>
      <c r="C1921">
        <v>3</v>
      </c>
      <c r="D1921">
        <v>90</v>
      </c>
      <c r="E1921">
        <v>2013</v>
      </c>
      <c r="F1921" s="9" t="s">
        <v>1107</v>
      </c>
      <c r="H1921" s="20" t="str">
        <f t="shared" si="29"/>
        <v>(nextval('obj_part_id_seq'), (select id from obj_building_v where zip||'|'||street||'|'||name||'|'||volume = '5620|Spiegelgasse 9|Kornhaus|4798.00'), 'P7', 3, 90, 2013,'Radiatoren mit Thermostaten'),</v>
      </c>
    </row>
    <row r="1922" spans="1:8" x14ac:dyDescent="0.25">
      <c r="A1922" s="9" t="s">
        <v>2314</v>
      </c>
      <c r="B1922" s="9" t="s">
        <v>1108</v>
      </c>
      <c r="C1922">
        <v>4</v>
      </c>
      <c r="D1922">
        <v>80</v>
      </c>
      <c r="E1922">
        <v>2013</v>
      </c>
      <c r="F1922" s="9" t="s">
        <v>2321</v>
      </c>
      <c r="H1922" s="20" t="str">
        <f t="shared" si="29"/>
        <v>(nextval('obj_part_id_seq'), (select id from obj_building_v where zip||'|'||street||'|'||name||'|'||volume = '5620|Spiegelgasse 9|Kornhaus|4798.00'), 'P8', 4, 80, 2013,'Apparate funktionstüchtig, Leitungen: z.T. schwacher Druck'),</v>
      </c>
    </row>
    <row r="1923" spans="1:8" x14ac:dyDescent="0.25">
      <c r="A1923" s="9" t="s">
        <v>2314</v>
      </c>
      <c r="B1923" s="9" t="s">
        <v>1138</v>
      </c>
      <c r="C1923">
        <v>11</v>
      </c>
      <c r="D1923">
        <v>90</v>
      </c>
      <c r="E1923">
        <v>2013</v>
      </c>
      <c r="F1923" s="9" t="s">
        <v>2322</v>
      </c>
      <c r="H1923" s="20" t="str">
        <f t="shared" si="29"/>
        <v>(nextval('obj_part_id_seq'), (select id from obj_building_v where zip||'|'||street||'|'||name||'|'||volume = '5620|Spiegelgasse 9|Kornhaus|4798.00'), 'P57', 11, 90, 2013,'Garderobe, Küche im OG für Mittagstisch'),</v>
      </c>
    </row>
    <row r="1924" spans="1:8" x14ac:dyDescent="0.25">
      <c r="A1924" s="9" t="s">
        <v>2314</v>
      </c>
      <c r="B1924" s="9" t="s">
        <v>1140</v>
      </c>
      <c r="C1924">
        <v>8</v>
      </c>
      <c r="D1924">
        <v>90</v>
      </c>
      <c r="E1924">
        <v>2013</v>
      </c>
      <c r="F1924" s="9" t="s">
        <v>2323</v>
      </c>
      <c r="H1924" s="20" t="str">
        <f t="shared" si="29"/>
        <v>(nextval('obj_part_id_seq'), (select id from obj_building_v where zip||'|'||street||'|'||name||'|'||volume = '5620|Spiegelgasse 9|Kornhaus|4798.00'), 'P58', 8, 90, 2013,'B: Hartbeton, Linol, Keramik, Kunststein, W: Verputz, Tapeten, D: Verputz, Gipsplatten, Holzbalken'),</v>
      </c>
    </row>
    <row r="1925" spans="1:8" x14ac:dyDescent="0.25">
      <c r="A1925" s="9" t="s">
        <v>2314</v>
      </c>
      <c r="B1925" s="9" t="s">
        <v>1142</v>
      </c>
      <c r="C1925">
        <v>0</v>
      </c>
      <c r="D1925" t="s">
        <v>4080</v>
      </c>
      <c r="E1925">
        <v>2013</v>
      </c>
      <c r="F1925" s="9"/>
      <c r="H1925" s="20" t="str">
        <f t="shared" ref="H1925:H1988" si="30">"(nextval('obj_part_id_seq'), (select id from obj_building_v where zip||'|'||street||'|'||name||'|'||volume = '"&amp;A1925&amp;"'), '"&amp;B1925&amp;"', "&amp;C1925&amp;", "&amp;D1925&amp;", "&amp;IF(ISBLANK(E1925),"null",E1925)&amp;","&amp;IF(ISBLANK(F1925),"null","'"&amp;F1925&amp;"'")&amp;"),"</f>
        <v>(nextval('obj_part_id_seq'), (select id from obj_building_v where zip||'|'||street||'|'||name||'|'||volume = '5620|Spiegelgasse 9|Kornhaus|4798.00'), 'P60', 0, null, 2013,null),</v>
      </c>
    </row>
    <row r="1926" spans="1:8" x14ac:dyDescent="0.25">
      <c r="A1926" s="9" t="s">
        <v>2314</v>
      </c>
      <c r="B1926" s="9" t="s">
        <v>1143</v>
      </c>
      <c r="C1926">
        <v>0</v>
      </c>
      <c r="D1926" t="s">
        <v>4080</v>
      </c>
      <c r="E1926">
        <v>2013</v>
      </c>
      <c r="F1926" s="9"/>
      <c r="H1926" s="20" t="str">
        <f t="shared" si="30"/>
        <v>(nextval('obj_part_id_seq'), (select id from obj_building_v where zip||'|'||street||'|'||name||'|'||volume = '5620|Spiegelgasse 9|Kornhaus|4798.00'), 'P61', 0, null, 2013,null),</v>
      </c>
    </row>
    <row r="1927" spans="1:8" x14ac:dyDescent="0.25">
      <c r="A1927" s="9" t="s">
        <v>2314</v>
      </c>
      <c r="B1927" s="9" t="s">
        <v>1144</v>
      </c>
      <c r="C1927">
        <v>0</v>
      </c>
      <c r="D1927" t="s">
        <v>4080</v>
      </c>
      <c r="E1927">
        <v>2013</v>
      </c>
      <c r="F1927" s="9"/>
      <c r="H1927" s="20" t="str">
        <f t="shared" si="30"/>
        <v>(nextval('obj_part_id_seq'), (select id from obj_building_v where zip||'|'||street||'|'||name||'|'||volume = '5620|Spiegelgasse 9|Kornhaus|4798.00'), 'P62', 0, null, 2013,null),</v>
      </c>
    </row>
    <row r="1928" spans="1:8" x14ac:dyDescent="0.25">
      <c r="A1928" s="9" t="s">
        <v>2324</v>
      </c>
      <c r="B1928" s="9" t="s">
        <v>1127</v>
      </c>
      <c r="C1928">
        <v>35</v>
      </c>
      <c r="D1928">
        <v>90</v>
      </c>
      <c r="E1928">
        <v>2013</v>
      </c>
      <c r="F1928" s="9" t="s">
        <v>2325</v>
      </c>
      <c r="H1928" s="20" t="str">
        <f t="shared" si="30"/>
        <v>(nextval('obj_part_id_seq'), (select id from obj_building_v where zip||'|'||street||'|'||name||'|'||volume = '5620|Schulgasse 8|Haus an der Reuss|4121.00'), 'P48', 35, 90, 2013,'Mauerwerk, gem. Gemiwo Stahlbetondecken'),</v>
      </c>
    </row>
    <row r="1929" spans="1:8" x14ac:dyDescent="0.25">
      <c r="A1929" s="9" t="s">
        <v>2324</v>
      </c>
      <c r="B1929" s="9" t="s">
        <v>1129</v>
      </c>
      <c r="C1929">
        <v>0</v>
      </c>
      <c r="D1929" t="s">
        <v>4080</v>
      </c>
      <c r="E1929">
        <v>2013</v>
      </c>
      <c r="F1929" s="9"/>
      <c r="H1929" s="20" t="str">
        <f t="shared" si="30"/>
        <v>(nextval('obj_part_id_seq'), (select id from obj_building_v where zip||'|'||street||'|'||name||'|'||volume = '5620|Schulgasse 8|Haus an der Reuss|4121.00'), 'P49', 0, null, 2013,null),</v>
      </c>
    </row>
    <row r="1930" spans="1:8" x14ac:dyDescent="0.25">
      <c r="A1930" s="9" t="s">
        <v>2324</v>
      </c>
      <c r="B1930" s="9" t="s">
        <v>1097</v>
      </c>
      <c r="C1930">
        <v>8</v>
      </c>
      <c r="D1930">
        <v>90</v>
      </c>
      <c r="E1930">
        <v>2013</v>
      </c>
      <c r="F1930" s="9" t="s">
        <v>2326</v>
      </c>
      <c r="H1930" s="20" t="str">
        <f t="shared" si="30"/>
        <v>(nextval('obj_part_id_seq'), (select id from obj_building_v where zip||'|'||street||'|'||name||'|'||volume = '5620|Schulgasse 8|Haus an der Reuss|4121.00'), 'P2', 8, 90, 2013,'Mansardenwalmdach mit Biberschwanzziegel, ausgebauter Dachraum, Kupferdach über Eingang'),</v>
      </c>
    </row>
    <row r="1931" spans="1:8" x14ac:dyDescent="0.25">
      <c r="A1931" s="9" t="s">
        <v>2324</v>
      </c>
      <c r="B1931" s="9" t="s">
        <v>1099</v>
      </c>
      <c r="C1931">
        <v>0</v>
      </c>
      <c r="D1931" t="s">
        <v>4080</v>
      </c>
      <c r="E1931">
        <v>2013</v>
      </c>
      <c r="F1931" s="9"/>
      <c r="H1931" s="20" t="str">
        <f t="shared" si="30"/>
        <v>(nextval('obj_part_id_seq'), (select id from obj_building_v where zip||'|'||street||'|'||name||'|'||volume = '5620|Schulgasse 8|Haus an der Reuss|4121.00'), 'P3', 0, null, 2013,null),</v>
      </c>
    </row>
    <row r="1932" spans="1:8" x14ac:dyDescent="0.25">
      <c r="A1932" s="9" t="s">
        <v>2324</v>
      </c>
      <c r="B1932" s="9" t="s">
        <v>1100</v>
      </c>
      <c r="C1932">
        <v>7</v>
      </c>
      <c r="D1932">
        <v>90</v>
      </c>
      <c r="E1932">
        <v>2013</v>
      </c>
      <c r="F1932" s="9" t="s">
        <v>2327</v>
      </c>
      <c r="H1932" s="20" t="str">
        <f t="shared" si="30"/>
        <v>(nextval('obj_part_id_seq'), (select id from obj_building_v where zip||'|'||street||'|'||name||'|'||volume = '5620|Schulgasse 8|Haus an der Reuss|4121.00'), 'P4', 7, 90, 2013,'Mauerwerk verputzt, Natursteingewände, Balkon EG und OG wurde vor wenigen Jahren angebaut'),</v>
      </c>
    </row>
    <row r="1933" spans="1:8" x14ac:dyDescent="0.25">
      <c r="A1933" s="9" t="s">
        <v>2324</v>
      </c>
      <c r="B1933" s="9" t="s">
        <v>1102</v>
      </c>
      <c r="C1933">
        <v>11</v>
      </c>
      <c r="D1933">
        <v>90</v>
      </c>
      <c r="E1933">
        <v>2013</v>
      </c>
      <c r="F1933" s="9" t="s">
        <v>2328</v>
      </c>
      <c r="H1933" s="20" t="str">
        <f t="shared" si="30"/>
        <v>(nextval('obj_part_id_seq'), (select id from obj_building_v where zip||'|'||street||'|'||name||'|'||volume = '5620|Schulgasse 8|Haus an der Reuss|4121.00'), 'P5', 11, 90, 2013,'Holz-Metall (''08), IV, RL-Storen im DG, Metalläden und Sonnenstoren beim Balkon'),</v>
      </c>
    </row>
    <row r="1934" spans="1:8" x14ac:dyDescent="0.25">
      <c r="A1934" s="9" t="s">
        <v>2324</v>
      </c>
      <c r="B1934" s="9" t="s">
        <v>1110</v>
      </c>
      <c r="C1934">
        <v>4</v>
      </c>
      <c r="D1934">
        <v>90</v>
      </c>
      <c r="E1934">
        <v>2013</v>
      </c>
      <c r="F1934" s="9" t="s">
        <v>2329</v>
      </c>
      <c r="H1934" s="20" t="str">
        <f t="shared" si="30"/>
        <v>(nextval('obj_part_id_seq'), (select id from obj_building_v where zip||'|'||street||'|'||name||'|'||volume = '5620|Schulgasse 8|Haus an der Reuss|4121.00'), 'P9', 4, 90, 2013,'neuere Sicherungen, tw. mit Keramiksicherungen (Hauptsicherungen)'),</v>
      </c>
    </row>
    <row r="1935" spans="1:8" x14ac:dyDescent="0.25">
      <c r="A1935" s="9" t="s">
        <v>2324</v>
      </c>
      <c r="B1935" s="9" t="s">
        <v>1104</v>
      </c>
      <c r="C1935">
        <v>2</v>
      </c>
      <c r="D1935">
        <v>90</v>
      </c>
      <c r="E1935">
        <v>2013</v>
      </c>
      <c r="F1935" s="9" t="s">
        <v>2330</v>
      </c>
      <c r="H1935" s="20" t="str">
        <f t="shared" si="30"/>
        <v>(nextval('obj_part_id_seq'), (select id from obj_building_v where zip||'|'||street||'|'||name||'|'||volume = '5620|Schulgasse 8|Haus an der Reuss|4121.00'), 'P6', 2, 90, 2013,'Wärmepumpe im separatem Nebengebäude, Secomat'),</v>
      </c>
    </row>
    <row r="1936" spans="1:8" x14ac:dyDescent="0.25">
      <c r="A1936" s="9" t="s">
        <v>2324</v>
      </c>
      <c r="B1936" s="9" t="s">
        <v>1106</v>
      </c>
      <c r="C1936">
        <v>3</v>
      </c>
      <c r="D1936">
        <v>90</v>
      </c>
      <c r="E1936">
        <v>2013</v>
      </c>
      <c r="F1936" s="9" t="s">
        <v>2331</v>
      </c>
      <c r="H1936" s="20" t="str">
        <f t="shared" si="30"/>
        <v>(nextval('obj_part_id_seq'), (select id from obj_building_v where zip||'|'||street||'|'||name||'|'||volume = '5620|Schulgasse 8|Haus an der Reuss|4121.00'), 'P7', 3, 90, 2013,'Bodenheizung im DG, gem. Gemiwo Radiatoren mit Thermostaten'),</v>
      </c>
    </row>
    <row r="1937" spans="1:8" x14ac:dyDescent="0.25">
      <c r="A1937" s="9" t="s">
        <v>2324</v>
      </c>
      <c r="B1937" s="9" t="s">
        <v>1135</v>
      </c>
      <c r="C1937">
        <v>3</v>
      </c>
      <c r="D1937">
        <v>90</v>
      </c>
      <c r="E1937">
        <v>2013</v>
      </c>
      <c r="F1937" s="9" t="s">
        <v>1257</v>
      </c>
      <c r="H1937" s="20" t="str">
        <f t="shared" si="30"/>
        <v>(nextval('obj_part_id_seq'), (select id from obj_building_v where zip||'|'||street||'|'||name||'|'||volume = '5620|Schulgasse 8|Haus an der Reuss|4121.00'), 'P54', 3, 90, 2013,'Apparate neuwertig'),</v>
      </c>
    </row>
    <row r="1938" spans="1:8" x14ac:dyDescent="0.25">
      <c r="A1938" s="9" t="s">
        <v>2324</v>
      </c>
      <c r="B1938" s="9" t="s">
        <v>1137</v>
      </c>
      <c r="C1938">
        <v>4</v>
      </c>
      <c r="D1938">
        <v>90</v>
      </c>
      <c r="E1938">
        <v>2013</v>
      </c>
      <c r="F1938" s="9" t="s">
        <v>2332</v>
      </c>
      <c r="H1938" s="20" t="str">
        <f t="shared" si="30"/>
        <v>(nextval('obj_part_id_seq'), (select id from obj_building_v where zip||'|'||street||'|'||name||'|'||volume = '5620|Schulgasse 8|Haus an der Reuss|4121.00'), 'P55', 4, 90, 2013,'Es sind keine Mängel bekannt'),</v>
      </c>
    </row>
    <row r="1939" spans="1:8" x14ac:dyDescent="0.25">
      <c r="A1939" s="9" t="s">
        <v>2324</v>
      </c>
      <c r="B1939" s="9" t="s">
        <v>1155</v>
      </c>
      <c r="C1939">
        <v>2</v>
      </c>
      <c r="D1939">
        <v>90</v>
      </c>
      <c r="E1939">
        <v>2013</v>
      </c>
      <c r="F1939" s="9" t="s">
        <v>1301</v>
      </c>
      <c r="H1939" s="20" t="str">
        <f t="shared" si="30"/>
        <v>(nextval('obj_part_id_seq'), (select id from obj_building_v where zip||'|'||street||'|'||name||'|'||volume = '5620|Schulgasse 8|Haus an der Reuss|4121.00'), 'P56', 2, 90, 2013,'Aufzug ohne Mängel'),</v>
      </c>
    </row>
    <row r="1940" spans="1:8" x14ac:dyDescent="0.25">
      <c r="A1940" s="9" t="s">
        <v>2324</v>
      </c>
      <c r="B1940" s="9" t="s">
        <v>1138</v>
      </c>
      <c r="C1940">
        <v>9</v>
      </c>
      <c r="D1940">
        <v>85</v>
      </c>
      <c r="E1940">
        <v>2013</v>
      </c>
      <c r="F1940" s="9" t="s">
        <v>2333</v>
      </c>
      <c r="H1940" s="20" t="str">
        <f t="shared" si="30"/>
        <v>(nextval('obj_part_id_seq'), (select id from obj_building_v where zip||'|'||street||'|'||name||'|'||volume = '5620|Schulgasse 8|Haus an der Reuss|4121.00'), 'P57', 9, 85, 2013,'Innentüren aus Holz, einzelne Putzschäden bei Innenwänden'),</v>
      </c>
    </row>
    <row r="1941" spans="1:8" x14ac:dyDescent="0.25">
      <c r="A1941" s="9" t="s">
        <v>2324</v>
      </c>
      <c r="B1941" s="9" t="s">
        <v>1140</v>
      </c>
      <c r="C1941">
        <v>8</v>
      </c>
      <c r="D1941">
        <v>90</v>
      </c>
      <c r="E1941">
        <v>2013</v>
      </c>
      <c r="F1941" s="9" t="s">
        <v>2334</v>
      </c>
      <c r="H1941" s="20" t="str">
        <f t="shared" si="30"/>
        <v>(nextval('obj_part_id_seq'), (select id from obj_building_v where zip||'|'||street||'|'||name||'|'||volume = '5620|Schulgasse 8|Haus an der Reuss|4121.00'), 'P58', 8, 90, 2013,'B: Keramik, Parkett, Naturstein, Kunststein, W+D: Verputz gestrichen, Gips'),</v>
      </c>
    </row>
    <row r="1942" spans="1:8" x14ac:dyDescent="0.25">
      <c r="A1942" s="9" t="s">
        <v>2324</v>
      </c>
      <c r="B1942" s="9" t="s">
        <v>1157</v>
      </c>
      <c r="C1942">
        <v>4</v>
      </c>
      <c r="D1942">
        <v>90</v>
      </c>
      <c r="E1942">
        <v>2013</v>
      </c>
      <c r="F1942" s="9" t="s">
        <v>2335</v>
      </c>
      <c r="H1942" s="20" t="str">
        <f t="shared" si="30"/>
        <v>(nextval('obj_part_id_seq'), (select id from obj_building_v where zip||'|'||street||'|'||name||'|'||volume = '5620|Schulgasse 8|Haus an der Reuss|4121.00'), 'P59', 4, 90, 2013,'Küche neu mit Abluft'),</v>
      </c>
    </row>
    <row r="1943" spans="1:8" x14ac:dyDescent="0.25">
      <c r="A1943" s="9" t="s">
        <v>2324</v>
      </c>
      <c r="B1943" s="9" t="s">
        <v>1142</v>
      </c>
      <c r="C1943">
        <v>0</v>
      </c>
      <c r="D1943" t="s">
        <v>4080</v>
      </c>
      <c r="E1943">
        <v>2013</v>
      </c>
      <c r="F1943" s="9"/>
      <c r="H1943" s="20" t="str">
        <f t="shared" si="30"/>
        <v>(nextval('obj_part_id_seq'), (select id from obj_building_v where zip||'|'||street||'|'||name||'|'||volume = '5620|Schulgasse 8|Haus an der Reuss|4121.00'), 'P60', 0, null, 2013,null),</v>
      </c>
    </row>
    <row r="1944" spans="1:8" x14ac:dyDescent="0.25">
      <c r="A1944" s="9" t="s">
        <v>2324</v>
      </c>
      <c r="B1944" s="9" t="s">
        <v>1143</v>
      </c>
      <c r="C1944">
        <v>0</v>
      </c>
      <c r="D1944" t="s">
        <v>4080</v>
      </c>
      <c r="E1944">
        <v>2013</v>
      </c>
      <c r="F1944" s="9"/>
      <c r="H1944" s="20" t="str">
        <f t="shared" si="30"/>
        <v>(nextval('obj_part_id_seq'), (select id from obj_building_v where zip||'|'||street||'|'||name||'|'||volume = '5620|Schulgasse 8|Haus an der Reuss|4121.00'), 'P61', 0, null, 2013,null),</v>
      </c>
    </row>
    <row r="1945" spans="1:8" x14ac:dyDescent="0.25">
      <c r="A1945" s="9" t="s">
        <v>2324</v>
      </c>
      <c r="B1945" s="9" t="s">
        <v>1144</v>
      </c>
      <c r="C1945">
        <v>0</v>
      </c>
      <c r="D1945" t="s">
        <v>4080</v>
      </c>
      <c r="E1945">
        <v>2013</v>
      </c>
      <c r="F1945" s="9"/>
      <c r="H1945" s="20" t="str">
        <f t="shared" si="30"/>
        <v>(nextval('obj_part_id_seq'), (select id from obj_building_v where zip||'|'||street||'|'||name||'|'||volume = '5620|Schulgasse 8|Haus an der Reuss|4121.00'), 'P62', 0, null, 2013,null),</v>
      </c>
    </row>
    <row r="1946" spans="1:8" x14ac:dyDescent="0.25">
      <c r="A1946" s="9" t="s">
        <v>2336</v>
      </c>
      <c r="B1946" s="9" t="s">
        <v>1127</v>
      </c>
      <c r="C1946">
        <v>35</v>
      </c>
      <c r="D1946">
        <v>90</v>
      </c>
      <c r="E1946">
        <v>2013</v>
      </c>
      <c r="F1946" s="9" t="s">
        <v>1250</v>
      </c>
      <c r="H1946" s="20" t="str">
        <f t="shared" si="30"/>
        <v>(nextval('obj_part_id_seq'), (select id from obj_building_v where zip||'|'||street||'|'||name||'|'||volume = '5626|Im Spilhof 6|Werkhof mit Wohnungen|4565.00'), 'P48', 35, 90, 2013,'Stahlbeton und Mauerwerk'),</v>
      </c>
    </row>
    <row r="1947" spans="1:8" x14ac:dyDescent="0.25">
      <c r="A1947" s="9" t="s">
        <v>2336</v>
      </c>
      <c r="B1947" s="9" t="s">
        <v>1129</v>
      </c>
      <c r="C1947">
        <v>0</v>
      </c>
      <c r="D1947" t="s">
        <v>4080</v>
      </c>
      <c r="E1947">
        <v>2013</v>
      </c>
      <c r="F1947" s="9"/>
      <c r="H1947" s="20" t="str">
        <f t="shared" si="30"/>
        <v>(nextval('obj_part_id_seq'), (select id from obj_building_v where zip||'|'||street||'|'||name||'|'||volume = '5626|Im Spilhof 6|Werkhof mit Wohnungen|4565.00'), 'P49', 0, null, 2013,null),</v>
      </c>
    </row>
    <row r="1948" spans="1:8" x14ac:dyDescent="0.25">
      <c r="A1948" s="9" t="s">
        <v>2336</v>
      </c>
      <c r="B1948" s="9" t="s">
        <v>1097</v>
      </c>
      <c r="C1948">
        <v>7</v>
      </c>
      <c r="D1948">
        <v>90</v>
      </c>
      <c r="E1948">
        <v>2013</v>
      </c>
      <c r="F1948" s="9" t="s">
        <v>2337</v>
      </c>
      <c r="H1948" s="20" t="str">
        <f t="shared" si="30"/>
        <v>(nextval('obj_part_id_seq'), (select id from obj_building_v where zip||'|'||street||'|'||name||'|'||volume = '5626|Im Spilhof 6|Werkhof mit Wohnungen|4565.00'), 'P2', 7, 90, 2013,'Falzziegel, Dachuntersicht ok, Dachraum ausgebaut'),</v>
      </c>
    </row>
    <row r="1949" spans="1:8" x14ac:dyDescent="0.25">
      <c r="A1949" s="9" t="s">
        <v>2336</v>
      </c>
      <c r="B1949" s="9" t="s">
        <v>1099</v>
      </c>
      <c r="C1949">
        <v>2</v>
      </c>
      <c r="D1949">
        <v>90</v>
      </c>
      <c r="E1949">
        <v>2013</v>
      </c>
      <c r="F1949" s="9" t="s">
        <v>2338</v>
      </c>
      <c r="H1949" s="20" t="str">
        <f t="shared" si="30"/>
        <v>(nextval('obj_part_id_seq'), (select id from obj_building_v where zip||'|'||street||'|'||name||'|'||volume = '5626|Im Spilhof 6|Werkhof mit Wohnungen|4565.00'), 'P3', 2, 90, 2013,'Verbundsteine, begehbar, keine Mängel sichtbar'),</v>
      </c>
    </row>
    <row r="1950" spans="1:8" x14ac:dyDescent="0.25">
      <c r="A1950" s="9" t="s">
        <v>2336</v>
      </c>
      <c r="B1950" s="9" t="s">
        <v>1100</v>
      </c>
      <c r="C1950">
        <v>6</v>
      </c>
      <c r="D1950">
        <v>90</v>
      </c>
      <c r="E1950">
        <v>2013</v>
      </c>
      <c r="F1950" s="9" t="s">
        <v>2339</v>
      </c>
      <c r="H1950" s="20" t="str">
        <f t="shared" si="30"/>
        <v>(nextval('obj_part_id_seq'), (select id from obj_building_v where zip||'|'||street||'|'||name||'|'||volume = '5626|Im Spilhof 6|Werkhof mit Wohnungen|4565.00'), 'P4', 6, 90, 2013,'Zweischalenmauerwerk verputzt, bei Werkhof auch Beton roh, Holzbalkone'),</v>
      </c>
    </row>
    <row r="1951" spans="1:8" x14ac:dyDescent="0.25">
      <c r="A1951" s="9" t="s">
        <v>2336</v>
      </c>
      <c r="B1951" s="9" t="s">
        <v>1102</v>
      </c>
      <c r="C1951">
        <v>15</v>
      </c>
      <c r="D1951">
        <v>90</v>
      </c>
      <c r="E1951">
        <v>2013</v>
      </c>
      <c r="F1951" s="9" t="s">
        <v>2340</v>
      </c>
      <c r="H1951" s="20" t="str">
        <f t="shared" si="30"/>
        <v>(nextval('obj_part_id_seq'), (select id from obj_building_v where zip||'|'||street||'|'||name||'|'||volume = '5626|Im Spilhof 6|Werkhof mit Wohnungen|4565.00'), 'P5', 15, 90, 2013,'Holzsprossenfenster, IV, RL- und Stoffstoren, Garagentore aus Metall-Glas'),</v>
      </c>
    </row>
    <row r="1952" spans="1:8" x14ac:dyDescent="0.25">
      <c r="A1952" s="9" t="s">
        <v>2336</v>
      </c>
      <c r="B1952" s="9" t="s">
        <v>1110</v>
      </c>
      <c r="C1952">
        <v>9</v>
      </c>
      <c r="D1952">
        <v>90</v>
      </c>
      <c r="E1952">
        <v>2013</v>
      </c>
      <c r="F1952" s="9" t="s">
        <v>2341</v>
      </c>
      <c r="H1952" s="20" t="str">
        <f t="shared" si="30"/>
        <v>(nextval('obj_part_id_seq'), (select id from obj_building_v where zip||'|'||street||'|'||name||'|'||volume = '5626|Im Spilhof 6|Werkhof mit Wohnungen|4565.00'), 'P9', 9, 90, 2013,'neuere Sicherungen tw. Keramiksicherungen, Sonnerie, Telefonanschluss'),</v>
      </c>
    </row>
    <row r="1953" spans="1:8" x14ac:dyDescent="0.25">
      <c r="A1953" s="9" t="s">
        <v>2336</v>
      </c>
      <c r="B1953" s="9" t="s">
        <v>1104</v>
      </c>
      <c r="C1953">
        <v>2</v>
      </c>
      <c r="D1953">
        <v>90</v>
      </c>
      <c r="E1953">
        <v>2013</v>
      </c>
      <c r="F1953" s="9" t="s">
        <v>2342</v>
      </c>
      <c r="H1953" s="20" t="str">
        <f t="shared" si="30"/>
        <v>(nextval('obj_part_id_seq'), (select id from obj_building_v where zip||'|'||street||'|'||name||'|'||volume = '5626|Im Spilhof 6|Werkhof mit Wohnungen|4565.00'), 'P6', 2, 90, 2013,'zentrale Holzschnitzelfeuerungsanlage und Ölheizung, Secomat'),</v>
      </c>
    </row>
    <row r="1954" spans="1:8" x14ac:dyDescent="0.25">
      <c r="A1954" s="9" t="s">
        <v>2336</v>
      </c>
      <c r="B1954" s="9" t="s">
        <v>1106</v>
      </c>
      <c r="C1954">
        <v>4</v>
      </c>
      <c r="D1954">
        <v>90</v>
      </c>
      <c r="E1954">
        <v>2013</v>
      </c>
      <c r="F1954" s="9" t="s">
        <v>2343</v>
      </c>
      <c r="H1954" s="20" t="str">
        <f t="shared" si="30"/>
        <v>(nextval('obj_part_id_seq'), (select id from obj_building_v where zip||'|'||street||'|'||name||'|'||volume = '5626|Im Spilhof 6|Werkhof mit Wohnungen|4565.00'), 'P7', 4, 90, 2013,'1 Radiator sonst Bodenheizung'),</v>
      </c>
    </row>
    <row r="1955" spans="1:8" x14ac:dyDescent="0.25">
      <c r="A1955" s="9" t="s">
        <v>2336</v>
      </c>
      <c r="B1955" s="9" t="s">
        <v>1403</v>
      </c>
      <c r="C1955">
        <v>3</v>
      </c>
      <c r="D1955">
        <v>90</v>
      </c>
      <c r="E1955">
        <v>2013</v>
      </c>
      <c r="F1955" s="9" t="s">
        <v>2344</v>
      </c>
      <c r="H1955" s="20" t="str">
        <f t="shared" si="30"/>
        <v>(nextval('obj_part_id_seq'), (select id from obj_building_v where zip||'|'||street||'|'||name||'|'||volume = '5626|Im Spilhof 6|Werkhof mit Wohnungen|4565.00'), 'P52', 3, 90, 2013,'Lüftung, Küchenabzug'),</v>
      </c>
    </row>
    <row r="1956" spans="1:8" x14ac:dyDescent="0.25">
      <c r="A1956" s="9" t="s">
        <v>2336</v>
      </c>
      <c r="B1956" s="9" t="s">
        <v>1404</v>
      </c>
      <c r="C1956">
        <v>0</v>
      </c>
      <c r="D1956" t="s">
        <v>4080</v>
      </c>
      <c r="E1956">
        <v>2013</v>
      </c>
      <c r="F1956" s="9"/>
      <c r="H1956" s="20" t="str">
        <f t="shared" si="30"/>
        <v>(nextval('obj_part_id_seq'), (select id from obj_building_v where zip||'|'||street||'|'||name||'|'||volume = '5626|Im Spilhof 6|Werkhof mit Wohnungen|4565.00'), 'P53', 0, null, 2013,null),</v>
      </c>
    </row>
    <row r="1957" spans="1:8" x14ac:dyDescent="0.25">
      <c r="A1957" s="9" t="s">
        <v>2336</v>
      </c>
      <c r="B1957" s="9" t="s">
        <v>1108</v>
      </c>
      <c r="C1957">
        <v>4</v>
      </c>
      <c r="D1957">
        <v>90</v>
      </c>
      <c r="E1957">
        <v>2013</v>
      </c>
      <c r="F1957" s="9" t="s">
        <v>2345</v>
      </c>
      <c r="H1957" s="20" t="str">
        <f t="shared" si="30"/>
        <v>(nextval('obj_part_id_seq'), (select id from obj_building_v where zip||'|'||street||'|'||name||'|'||volume = '5626|Im Spilhof 6|Werkhof mit Wohnungen|4565.00'), 'P8', 4, 90, 2013,'Apparate funktionstüchtig, Leitungen: genügender Druck vorhanden'),</v>
      </c>
    </row>
    <row r="1958" spans="1:8" x14ac:dyDescent="0.25">
      <c r="A1958" s="9" t="s">
        <v>2336</v>
      </c>
      <c r="B1958" s="9" t="s">
        <v>1155</v>
      </c>
      <c r="C1958">
        <v>0</v>
      </c>
      <c r="D1958" t="s">
        <v>4080</v>
      </c>
      <c r="E1958">
        <v>2013</v>
      </c>
      <c r="F1958" s="9"/>
      <c r="H1958" s="20" t="str">
        <f t="shared" si="30"/>
        <v>(nextval('obj_part_id_seq'), (select id from obj_building_v where zip||'|'||street||'|'||name||'|'||volume = '5626|Im Spilhof 6|Werkhof mit Wohnungen|4565.00'), 'P56', 0, null, 2013,null),</v>
      </c>
    </row>
    <row r="1959" spans="1:8" x14ac:dyDescent="0.25">
      <c r="A1959" s="9" t="s">
        <v>2336</v>
      </c>
      <c r="B1959" s="9" t="s">
        <v>1138</v>
      </c>
      <c r="C1959">
        <v>8</v>
      </c>
      <c r="D1959">
        <v>90</v>
      </c>
      <c r="E1959">
        <v>2013</v>
      </c>
      <c r="F1959" s="9" t="s">
        <v>2346</v>
      </c>
      <c r="H1959" s="20" t="str">
        <f t="shared" si="30"/>
        <v>(nextval('obj_part_id_seq'), (select id from obj_building_v where zip||'|'||street||'|'||name||'|'||volume = '5626|Im Spilhof 6|Werkhof mit Wohnungen|4565.00'), 'P57', 8, 90, 2013,'Einbauschrank, Holztüre, Kunststeinfensterbänke, Küche mit GKH'),</v>
      </c>
    </row>
    <row r="1960" spans="1:8" x14ac:dyDescent="0.25">
      <c r="A1960" s="9" t="s">
        <v>2336</v>
      </c>
      <c r="B1960" s="9" t="s">
        <v>1140</v>
      </c>
      <c r="C1960">
        <v>5</v>
      </c>
      <c r="D1960">
        <v>85</v>
      </c>
      <c r="E1960">
        <v>2013</v>
      </c>
      <c r="F1960" s="9" t="s">
        <v>2347</v>
      </c>
      <c r="H1960" s="20" t="str">
        <f t="shared" si="30"/>
        <v>(nextval('obj_part_id_seq'), (select id from obj_building_v where zip||'|'||street||'|'||name||'|'||volume = '5626|Im Spilhof 6|Werkhof mit Wohnungen|4565.00'), 'P58', 5, 85, 2013,'B: Keramik, Teppich, Zementüberzug (Riss mit Rostflecken), W+D: Verputz, KS, Beton, Keramik, Täfer'),</v>
      </c>
    </row>
    <row r="1961" spans="1:8" x14ac:dyDescent="0.25">
      <c r="A1961" s="9" t="s">
        <v>2336</v>
      </c>
      <c r="B1961" s="9" t="s">
        <v>1142</v>
      </c>
      <c r="C1961">
        <v>0</v>
      </c>
      <c r="D1961" t="s">
        <v>4080</v>
      </c>
      <c r="E1961">
        <v>2013</v>
      </c>
      <c r="F1961" s="9"/>
      <c r="H1961" s="20" t="str">
        <f t="shared" si="30"/>
        <v>(nextval('obj_part_id_seq'), (select id from obj_building_v where zip||'|'||street||'|'||name||'|'||volume = '5626|Im Spilhof 6|Werkhof mit Wohnungen|4565.00'), 'P60', 0, null, 2013,null),</v>
      </c>
    </row>
    <row r="1962" spans="1:8" x14ac:dyDescent="0.25">
      <c r="A1962" s="9" t="s">
        <v>2336</v>
      </c>
      <c r="B1962" s="9" t="s">
        <v>1143</v>
      </c>
      <c r="C1962">
        <v>0</v>
      </c>
      <c r="D1962" t="s">
        <v>4080</v>
      </c>
      <c r="E1962">
        <v>2013</v>
      </c>
      <c r="F1962" s="9"/>
      <c r="H1962" s="20" t="str">
        <f t="shared" si="30"/>
        <v>(nextval('obj_part_id_seq'), (select id from obj_building_v where zip||'|'||street||'|'||name||'|'||volume = '5626|Im Spilhof 6|Werkhof mit Wohnungen|4565.00'), 'P61', 0, null, 2013,null),</v>
      </c>
    </row>
    <row r="1963" spans="1:8" x14ac:dyDescent="0.25">
      <c r="A1963" s="9" t="s">
        <v>2336</v>
      </c>
      <c r="B1963" s="9" t="s">
        <v>1144</v>
      </c>
      <c r="C1963">
        <v>0</v>
      </c>
      <c r="D1963" t="s">
        <v>4080</v>
      </c>
      <c r="E1963">
        <v>2013</v>
      </c>
      <c r="F1963" s="9"/>
      <c r="H1963" s="20" t="str">
        <f t="shared" si="30"/>
        <v>(nextval('obj_part_id_seq'), (select id from obj_building_v where zip||'|'||street||'|'||name||'|'||volume = '5626|Im Spilhof 6|Werkhof mit Wohnungen|4565.00'), 'P62', 0, null, 2013,null),</v>
      </c>
    </row>
    <row r="1964" spans="1:8" x14ac:dyDescent="0.25">
      <c r="A1964" s="9" t="s">
        <v>2348</v>
      </c>
      <c r="B1964" s="9" t="s">
        <v>1127</v>
      </c>
      <c r="C1964">
        <v>34</v>
      </c>
      <c r="D1964">
        <v>90</v>
      </c>
      <c r="E1964">
        <v>2013</v>
      </c>
      <c r="F1964" s="9" t="s">
        <v>2349</v>
      </c>
      <c r="H1964" s="20" t="str">
        <f t="shared" si="30"/>
        <v>(nextval('obj_part_id_seq'), (select id from obj_building_v where zip||'|'||street||'|'||name||'|'||volume = '5620|Augraben 1|Werkhof Neubau|3024.00'), 'P48', 34, 90, 2013,'Stahlbeton und Holzkonstruktion, KS-Wände'),</v>
      </c>
    </row>
    <row r="1965" spans="1:8" x14ac:dyDescent="0.25">
      <c r="A1965" s="9" t="s">
        <v>2348</v>
      </c>
      <c r="B1965" s="9" t="s">
        <v>1129</v>
      </c>
      <c r="C1965">
        <v>0</v>
      </c>
      <c r="D1965">
        <v>90</v>
      </c>
      <c r="E1965">
        <v>2013</v>
      </c>
      <c r="F1965" s="9"/>
      <c r="H1965" s="20" t="str">
        <f t="shared" si="30"/>
        <v>(nextval('obj_part_id_seq'), (select id from obj_building_v where zip||'|'||street||'|'||name||'|'||volume = '5620|Augraben 1|Werkhof Neubau|3024.00'), 'P49', 0, 90, 2013,null),</v>
      </c>
    </row>
    <row r="1966" spans="1:8" x14ac:dyDescent="0.25">
      <c r="A1966" s="9" t="s">
        <v>2348</v>
      </c>
      <c r="B1966" s="9" t="s">
        <v>1097</v>
      </c>
      <c r="C1966">
        <v>0</v>
      </c>
      <c r="D1966" t="s">
        <v>4080</v>
      </c>
      <c r="E1966">
        <v>2013</v>
      </c>
      <c r="F1966" s="9"/>
      <c r="H1966" s="20" t="str">
        <f t="shared" si="30"/>
        <v>(nextval('obj_part_id_seq'), (select id from obj_building_v where zip||'|'||street||'|'||name||'|'||volume = '5620|Augraben 1|Werkhof Neubau|3024.00'), 'P2', 0, null, 2013,null),</v>
      </c>
    </row>
    <row r="1967" spans="1:8" x14ac:dyDescent="0.25">
      <c r="A1967" s="9" t="s">
        <v>2348</v>
      </c>
      <c r="B1967" s="9" t="s">
        <v>1099</v>
      </c>
      <c r="C1967">
        <v>9</v>
      </c>
      <c r="D1967">
        <v>90</v>
      </c>
      <c r="E1967">
        <v>2013</v>
      </c>
      <c r="F1967" s="9" t="s">
        <v>2350</v>
      </c>
      <c r="H1967" s="20" t="str">
        <f t="shared" si="30"/>
        <v>(nextval('obj_part_id_seq'), (select id from obj_building_v where zip||'|'||street||'|'||name||'|'||volume = '5620|Augraben 1|Werkhof Neubau|3024.00'), 'P3', 9, 90, 2013,'Foliendach bekiest'),</v>
      </c>
    </row>
    <row r="1968" spans="1:8" x14ac:dyDescent="0.25">
      <c r="A1968" s="9" t="s">
        <v>2348</v>
      </c>
      <c r="B1968" s="9" t="s">
        <v>1100</v>
      </c>
      <c r="C1968">
        <v>10</v>
      </c>
      <c r="D1968">
        <v>90</v>
      </c>
      <c r="E1968">
        <v>2013</v>
      </c>
      <c r="F1968" s="9" t="s">
        <v>1305</v>
      </c>
      <c r="H1968" s="20" t="str">
        <f t="shared" si="30"/>
        <v>(nextval('obj_part_id_seq'), (select id from obj_building_v where zip||'|'||street||'|'||name||'|'||volume = '5620|Augraben 1|Werkhof Neubau|3024.00'), 'P4', 10, 90, 2013,'Holz'),</v>
      </c>
    </row>
    <row r="1969" spans="1:8" x14ac:dyDescent="0.25">
      <c r="A1969" s="9" t="s">
        <v>2348</v>
      </c>
      <c r="B1969" s="9" t="s">
        <v>1102</v>
      </c>
      <c r="C1969">
        <v>15</v>
      </c>
      <c r="D1969">
        <v>90</v>
      </c>
      <c r="E1969">
        <v>2013</v>
      </c>
      <c r="F1969" s="9" t="s">
        <v>2351</v>
      </c>
      <c r="H1969" s="20" t="str">
        <f t="shared" si="30"/>
        <v>(nextval('obj_part_id_seq'), (select id from obj_building_v where zip||'|'||street||'|'||name||'|'||volume = '5620|Augraben 1|Werkhof Neubau|3024.00'), 'P5', 15, 90, 2013,'Holz-Metall, Sektionaltore und Aussentüren'),</v>
      </c>
    </row>
    <row r="1970" spans="1:8" x14ac:dyDescent="0.25">
      <c r="A1970" s="9" t="s">
        <v>2348</v>
      </c>
      <c r="B1970" s="9" t="s">
        <v>1110</v>
      </c>
      <c r="C1970">
        <v>9</v>
      </c>
      <c r="D1970">
        <v>90</v>
      </c>
      <c r="E1970">
        <v>2013</v>
      </c>
      <c r="F1970" s="9" t="s">
        <v>1254</v>
      </c>
      <c r="H1970" s="20" t="str">
        <f t="shared" si="30"/>
        <v>(nextval('obj_part_id_seq'), (select id from obj_building_v where zip||'|'||street||'|'||name||'|'||volume = '5620|Augraben 1|Werkhof Neubau|3024.00'), 'P9', 9, 90, 2013,'neuere Sicherungen'),</v>
      </c>
    </row>
    <row r="1971" spans="1:8" x14ac:dyDescent="0.25">
      <c r="A1971" s="9" t="s">
        <v>2348</v>
      </c>
      <c r="B1971" s="9" t="s">
        <v>1104</v>
      </c>
      <c r="C1971">
        <v>2</v>
      </c>
      <c r="D1971">
        <v>90</v>
      </c>
      <c r="E1971">
        <v>2013</v>
      </c>
      <c r="F1971" s="9" t="s">
        <v>1363</v>
      </c>
      <c r="H1971" s="20" t="str">
        <f t="shared" si="30"/>
        <v>(nextval('obj_part_id_seq'), (select id from obj_building_v where zip||'|'||street||'|'||name||'|'||volume = '5620|Augraben 1|Werkhof Neubau|3024.00'), 'P6', 2, 90, 2013,'Wärmepumpe'),</v>
      </c>
    </row>
    <row r="1972" spans="1:8" x14ac:dyDescent="0.25">
      <c r="A1972" s="9" t="s">
        <v>2348</v>
      </c>
      <c r="B1972" s="9" t="s">
        <v>1106</v>
      </c>
      <c r="C1972">
        <v>4</v>
      </c>
      <c r="D1972">
        <v>90</v>
      </c>
      <c r="E1972">
        <v>2013</v>
      </c>
      <c r="F1972" s="9" t="s">
        <v>2352</v>
      </c>
      <c r="H1972" s="20" t="str">
        <f t="shared" si="30"/>
        <v>(nextval('obj_part_id_seq'), (select id from obj_building_v where zip||'|'||street||'|'||name||'|'||volume = '5620|Augraben 1|Werkhof Neubau|3024.00'), 'P7', 4, 90, 2013,'Bodenheizung, Heizlüfter in Garagen und Werkstätten'),</v>
      </c>
    </row>
    <row r="1973" spans="1:8" x14ac:dyDescent="0.25">
      <c r="A1973" s="9" t="s">
        <v>2348</v>
      </c>
      <c r="B1973" s="9" t="s">
        <v>1403</v>
      </c>
      <c r="C1973">
        <v>0</v>
      </c>
      <c r="D1973" t="s">
        <v>4080</v>
      </c>
      <c r="E1973">
        <v>2013</v>
      </c>
      <c r="F1973" s="9"/>
      <c r="H1973" s="20" t="str">
        <f t="shared" si="30"/>
        <v>(nextval('obj_part_id_seq'), (select id from obj_building_v where zip||'|'||street||'|'||name||'|'||volume = '5620|Augraben 1|Werkhof Neubau|3024.00'), 'P52', 0, null, 2013,null),</v>
      </c>
    </row>
    <row r="1974" spans="1:8" x14ac:dyDescent="0.25">
      <c r="A1974" s="9" t="s">
        <v>2348</v>
      </c>
      <c r="B1974" s="9" t="s">
        <v>1404</v>
      </c>
      <c r="C1974">
        <v>0</v>
      </c>
      <c r="D1974" t="s">
        <v>4080</v>
      </c>
      <c r="E1974">
        <v>2013</v>
      </c>
      <c r="F1974" s="9"/>
      <c r="H1974" s="20" t="str">
        <f t="shared" si="30"/>
        <v>(nextval('obj_part_id_seq'), (select id from obj_building_v where zip||'|'||street||'|'||name||'|'||volume = '5620|Augraben 1|Werkhof Neubau|3024.00'), 'P53', 0, null, 2013,null),</v>
      </c>
    </row>
    <row r="1975" spans="1:8" x14ac:dyDescent="0.25">
      <c r="A1975" s="9" t="s">
        <v>2348</v>
      </c>
      <c r="B1975" s="9" t="s">
        <v>1108</v>
      </c>
      <c r="C1975">
        <v>4</v>
      </c>
      <c r="D1975">
        <v>90</v>
      </c>
      <c r="E1975">
        <v>2013</v>
      </c>
      <c r="F1975" s="9" t="s">
        <v>2353</v>
      </c>
      <c r="H1975" s="20" t="str">
        <f t="shared" si="30"/>
        <v>(nextval('obj_part_id_seq'), (select id from obj_building_v where zip||'|'||street||'|'||name||'|'||volume = '5620|Augraben 1|Werkhof Neubau|3024.00'), 'P8', 4, 90, 2013,'Apparate funktionstüchtig, Leitungen: genügender Druck vorh. , Bodenrinnen, Druckluftkompressor'),</v>
      </c>
    </row>
    <row r="1976" spans="1:8" x14ac:dyDescent="0.25">
      <c r="A1976" s="9" t="s">
        <v>2348</v>
      </c>
      <c r="B1976" s="9" t="s">
        <v>1155</v>
      </c>
      <c r="C1976">
        <v>0</v>
      </c>
      <c r="D1976" t="s">
        <v>4080</v>
      </c>
      <c r="E1976">
        <v>2013</v>
      </c>
      <c r="F1976" s="9"/>
      <c r="H1976" s="20" t="str">
        <f t="shared" si="30"/>
        <v>(nextval('obj_part_id_seq'), (select id from obj_building_v where zip||'|'||street||'|'||name||'|'||volume = '5620|Augraben 1|Werkhof Neubau|3024.00'), 'P56', 0, null, 2013,null),</v>
      </c>
    </row>
    <row r="1977" spans="1:8" x14ac:dyDescent="0.25">
      <c r="A1977" s="9" t="s">
        <v>2348</v>
      </c>
      <c r="B1977" s="9" t="s">
        <v>1138</v>
      </c>
      <c r="C1977">
        <v>8</v>
      </c>
      <c r="D1977">
        <v>90</v>
      </c>
      <c r="E1977">
        <v>2013</v>
      </c>
      <c r="F1977" s="9" t="s">
        <v>2354</v>
      </c>
      <c r="H1977" s="20" t="str">
        <f t="shared" si="30"/>
        <v>(nextval('obj_part_id_seq'), (select id from obj_building_v where zip||'|'||street||'|'||name||'|'||volume = '5620|Augraben 1|Werkhof Neubau|3024.00'), 'P57', 8, 90, 2013,'Küche und Garderoben mit Bänken und Schränken'),</v>
      </c>
    </row>
    <row r="1978" spans="1:8" x14ac:dyDescent="0.25">
      <c r="A1978" s="9" t="s">
        <v>2348</v>
      </c>
      <c r="B1978" s="9" t="s">
        <v>1140</v>
      </c>
      <c r="C1978">
        <v>5</v>
      </c>
      <c r="D1978">
        <v>90</v>
      </c>
      <c r="E1978">
        <v>2013</v>
      </c>
      <c r="F1978" s="9" t="s">
        <v>2355</v>
      </c>
      <c r="H1978" s="20" t="str">
        <f t="shared" si="30"/>
        <v>(nextval('obj_part_id_seq'), (select id from obj_building_v where zip||'|'||street||'|'||name||'|'||volume = '5620|Augraben 1|Werkhof Neubau|3024.00'), 'P58', 5, 90, 2013,'B: Beton, W: Pressspanplatten, Verputz gestrichen oder KS roh, D: Heraklith oder Holz roh'),</v>
      </c>
    </row>
    <row r="1979" spans="1:8" x14ac:dyDescent="0.25">
      <c r="A1979" s="9" t="s">
        <v>2348</v>
      </c>
      <c r="B1979" s="9" t="s">
        <v>1142</v>
      </c>
      <c r="C1979">
        <v>0</v>
      </c>
      <c r="D1979" t="s">
        <v>4080</v>
      </c>
      <c r="E1979">
        <v>2013</v>
      </c>
      <c r="F1979" s="9"/>
      <c r="H1979" s="20" t="str">
        <f t="shared" si="30"/>
        <v>(nextval('obj_part_id_seq'), (select id from obj_building_v where zip||'|'||street||'|'||name||'|'||volume = '5620|Augraben 1|Werkhof Neubau|3024.00'), 'P60', 0, null, 2013,null),</v>
      </c>
    </row>
    <row r="1980" spans="1:8" x14ac:dyDescent="0.25">
      <c r="A1980" s="9" t="s">
        <v>2348</v>
      </c>
      <c r="B1980" s="9" t="s">
        <v>1143</v>
      </c>
      <c r="C1980">
        <v>0</v>
      </c>
      <c r="D1980" t="s">
        <v>4080</v>
      </c>
      <c r="E1980">
        <v>2013</v>
      </c>
      <c r="F1980" s="9"/>
      <c r="H1980" s="20" t="str">
        <f t="shared" si="30"/>
        <v>(nextval('obj_part_id_seq'), (select id from obj_building_v where zip||'|'||street||'|'||name||'|'||volume = '5620|Augraben 1|Werkhof Neubau|3024.00'), 'P61', 0, null, 2013,null),</v>
      </c>
    </row>
    <row r="1981" spans="1:8" x14ac:dyDescent="0.25">
      <c r="A1981" s="9" t="s">
        <v>2348</v>
      </c>
      <c r="B1981" s="9" t="s">
        <v>1144</v>
      </c>
      <c r="C1981">
        <v>0</v>
      </c>
      <c r="D1981" t="s">
        <v>4080</v>
      </c>
      <c r="E1981">
        <v>2013</v>
      </c>
      <c r="F1981" s="9"/>
      <c r="H1981" s="20" t="str">
        <f t="shared" si="30"/>
        <v>(nextval('obj_part_id_seq'), (select id from obj_building_v where zip||'|'||street||'|'||name||'|'||volume = '5620|Augraben 1|Werkhof Neubau|3024.00'), 'P62', 0, null, 2013,null),</v>
      </c>
    </row>
    <row r="1982" spans="1:8" x14ac:dyDescent="0.25">
      <c r="A1982" s="9" t="s">
        <v>2356</v>
      </c>
      <c r="B1982" s="9" t="s">
        <v>1127</v>
      </c>
      <c r="C1982">
        <v>45</v>
      </c>
      <c r="D1982">
        <v>80</v>
      </c>
      <c r="E1982">
        <v>2013</v>
      </c>
      <c r="F1982" s="9" t="s">
        <v>2357</v>
      </c>
      <c r="H1982" s="20" t="str">
        <f t="shared" si="30"/>
        <v>(nextval('obj_part_id_seq'), (select id from obj_building_v where zip||'|'||street||'|'||name||'|'||volume = '5620|Klosterweg 2|Bauamtsmagazin, Werkhof Altbau|2404.00'), 'P48', 45, 80, 2013,'Einsteinmauerwerk (einzelne grössere Risse vorhanden) mit Holzbalkendecke'),</v>
      </c>
    </row>
    <row r="1983" spans="1:8" x14ac:dyDescent="0.25">
      <c r="A1983" s="9" t="s">
        <v>2356</v>
      </c>
      <c r="B1983" s="9" t="s">
        <v>1129</v>
      </c>
      <c r="C1983">
        <v>0</v>
      </c>
      <c r="D1983" t="s">
        <v>4080</v>
      </c>
      <c r="E1983">
        <v>2013</v>
      </c>
      <c r="F1983" s="9"/>
      <c r="H1983" s="20" t="str">
        <f t="shared" si="30"/>
        <v>(nextval('obj_part_id_seq'), (select id from obj_building_v where zip||'|'||street||'|'||name||'|'||volume = '5620|Klosterweg 2|Bauamtsmagazin, Werkhof Altbau|2404.00'), 'P49', 0, null, 2013,null),</v>
      </c>
    </row>
    <row r="1984" spans="1:8" x14ac:dyDescent="0.25">
      <c r="A1984" s="9" t="s">
        <v>2356</v>
      </c>
      <c r="B1984" s="9" t="s">
        <v>1097</v>
      </c>
      <c r="C1984">
        <v>17</v>
      </c>
      <c r="D1984">
        <v>90</v>
      </c>
      <c r="E1984">
        <v>2013</v>
      </c>
      <c r="F1984" s="9" t="s">
        <v>2358</v>
      </c>
      <c r="H1984" s="20" t="str">
        <f t="shared" si="30"/>
        <v>(nextval('obj_part_id_seq'), (select id from obj_building_v where zip||'|'||street||'|'||name||'|'||volume = '5620|Klosterweg 2|Bauamtsmagazin, Werkhof Altbau|2404.00'), 'P2', 17, 90, 2013,'Dachstuhl mängelfrei, Biberschwanzziegel ohne Unterdach, keine Mängel bekannt'),</v>
      </c>
    </row>
    <row r="1985" spans="1:8" x14ac:dyDescent="0.25">
      <c r="A1985" s="9" t="s">
        <v>2356</v>
      </c>
      <c r="B1985" s="9" t="s">
        <v>1099</v>
      </c>
      <c r="C1985">
        <v>0</v>
      </c>
      <c r="D1985" t="s">
        <v>4080</v>
      </c>
      <c r="E1985">
        <v>2013</v>
      </c>
      <c r="F1985" s="9"/>
      <c r="H1985" s="20" t="str">
        <f t="shared" si="30"/>
        <v>(nextval('obj_part_id_seq'), (select id from obj_building_v where zip||'|'||street||'|'||name||'|'||volume = '5620|Klosterweg 2|Bauamtsmagazin, Werkhof Altbau|2404.00'), 'P3', 0, null, 2013,null),</v>
      </c>
    </row>
    <row r="1986" spans="1:8" x14ac:dyDescent="0.25">
      <c r="A1986" s="9" t="s">
        <v>2356</v>
      </c>
      <c r="B1986" s="9" t="s">
        <v>1100</v>
      </c>
      <c r="C1986">
        <v>6</v>
      </c>
      <c r="D1986">
        <v>70</v>
      </c>
      <c r="E1986">
        <v>2013</v>
      </c>
      <c r="F1986" s="9" t="s">
        <v>2359</v>
      </c>
      <c r="H1986" s="20" t="str">
        <f t="shared" si="30"/>
        <v>(nextval('obj_part_id_seq'), (select id from obj_building_v where zip||'|'||street||'|'||name||'|'||volume = '5620|Klosterweg 2|Bauamtsmagazin, Werkhof Altbau|2404.00'), 'P4', 6, 70, 2013,'Bollen- und Bruchsteinmauerwerk, tw. verputzt mit einzelnen grösseren Rissen'),</v>
      </c>
    </row>
    <row r="1987" spans="1:8" x14ac:dyDescent="0.25">
      <c r="A1987" s="9" t="s">
        <v>2356</v>
      </c>
      <c r="B1987" s="9" t="s">
        <v>1102</v>
      </c>
      <c r="C1987">
        <v>9</v>
      </c>
      <c r="D1987">
        <v>90</v>
      </c>
      <c r="E1987">
        <v>2013</v>
      </c>
      <c r="F1987" s="9" t="s">
        <v>2360</v>
      </c>
      <c r="H1987" s="20" t="str">
        <f t="shared" si="30"/>
        <v>(nextval('obj_part_id_seq'), (select id from obj_building_v where zip||'|'||street||'|'||name||'|'||volume = '5620|Klosterweg 2|Bauamtsmagazin, Werkhof Altbau|2404.00'), 'P5', 9, 90, 2013,'Holzsprossenfenster einfachverglast, Gläser gekittet, Stahlplattentüre, Aussentor aus Stahl mit Holzfüllung'),</v>
      </c>
    </row>
    <row r="1988" spans="1:8" x14ac:dyDescent="0.25">
      <c r="A1988" s="9" t="s">
        <v>2356</v>
      </c>
      <c r="B1988" s="9" t="s">
        <v>1110</v>
      </c>
      <c r="C1988">
        <v>9</v>
      </c>
      <c r="D1988">
        <v>90</v>
      </c>
      <c r="E1988">
        <v>2013</v>
      </c>
      <c r="F1988" s="9" t="s">
        <v>2361</v>
      </c>
      <c r="H1988" s="20" t="str">
        <f t="shared" si="30"/>
        <v>(nextval('obj_part_id_seq'), (select id from obj_building_v where zip||'|'||street||'|'||name||'|'||volume = '5620|Klosterweg 2|Bauamtsmagazin, Werkhof Altbau|2404.00'), 'P9', 9, 90, 2013,'alte Keramiksicherungen, 1 FI-Schutzschalter'),</v>
      </c>
    </row>
    <row r="1989" spans="1:8" x14ac:dyDescent="0.25">
      <c r="A1989" s="9" t="s">
        <v>2356</v>
      </c>
      <c r="B1989" s="9" t="s">
        <v>1104</v>
      </c>
      <c r="C1989">
        <v>0</v>
      </c>
      <c r="D1989" t="s">
        <v>4080</v>
      </c>
      <c r="E1989">
        <v>2013</v>
      </c>
      <c r="F1989" s="9" t="s">
        <v>2362</v>
      </c>
      <c r="H1989" s="20" t="str">
        <f t="shared" ref="H1989:H2052" si="31">"(nextval('obj_part_id_seq'), (select id from obj_building_v where zip||'|'||street||'|'||name||'|'||volume = '"&amp;A1989&amp;"'), '"&amp;B1989&amp;"', "&amp;C1989&amp;", "&amp;D1989&amp;", "&amp;IF(ISBLANK(E1989),"null",E1989)&amp;","&amp;IF(ISBLANK(F1989),"null","'"&amp;F1989&amp;"'")&amp;"),"</f>
        <v>(nextval('obj_part_id_seq'), (select id from obj_building_v where zip||'|'||street||'|'||name||'|'||volume = '5620|Klosterweg 2|Bauamtsmagazin, Werkhof Altbau|2404.00'), 'P6', 0, null, 2013,'keine Heizung sichtbar (jedoch Sicherung für Heizung angeschrieben)'),</v>
      </c>
    </row>
    <row r="1990" spans="1:8" x14ac:dyDescent="0.25">
      <c r="A1990" s="9" t="s">
        <v>2356</v>
      </c>
      <c r="B1990" s="9" t="s">
        <v>1106</v>
      </c>
      <c r="C1990">
        <v>0</v>
      </c>
      <c r="D1990" t="s">
        <v>4080</v>
      </c>
      <c r="E1990">
        <v>2013</v>
      </c>
      <c r="F1990" s="9"/>
      <c r="H1990" s="20" t="str">
        <f t="shared" si="31"/>
        <v>(nextval('obj_part_id_seq'), (select id from obj_building_v where zip||'|'||street||'|'||name||'|'||volume = '5620|Klosterweg 2|Bauamtsmagazin, Werkhof Altbau|2404.00'), 'P7', 0, null, 2013,null),</v>
      </c>
    </row>
    <row r="1991" spans="1:8" x14ac:dyDescent="0.25">
      <c r="A1991" s="9" t="s">
        <v>2356</v>
      </c>
      <c r="B1991" s="9" t="s">
        <v>1403</v>
      </c>
      <c r="C1991">
        <v>0</v>
      </c>
      <c r="D1991" t="s">
        <v>4080</v>
      </c>
      <c r="E1991">
        <v>2013</v>
      </c>
      <c r="F1991" s="9"/>
      <c r="H1991" s="20" t="str">
        <f t="shared" si="31"/>
        <v>(nextval('obj_part_id_seq'), (select id from obj_building_v where zip||'|'||street||'|'||name||'|'||volume = '5620|Klosterweg 2|Bauamtsmagazin, Werkhof Altbau|2404.00'), 'P52', 0, null, 2013,null),</v>
      </c>
    </row>
    <row r="1992" spans="1:8" x14ac:dyDescent="0.25">
      <c r="A1992" s="9" t="s">
        <v>2356</v>
      </c>
      <c r="B1992" s="9" t="s">
        <v>1404</v>
      </c>
      <c r="C1992">
        <v>0</v>
      </c>
      <c r="D1992" t="s">
        <v>4080</v>
      </c>
      <c r="E1992">
        <v>2013</v>
      </c>
      <c r="F1992" s="9"/>
      <c r="H1992" s="20" t="str">
        <f t="shared" si="31"/>
        <v>(nextval('obj_part_id_seq'), (select id from obj_building_v where zip||'|'||street||'|'||name||'|'||volume = '5620|Klosterweg 2|Bauamtsmagazin, Werkhof Altbau|2404.00'), 'P53', 0, null, 2013,null),</v>
      </c>
    </row>
    <row r="1993" spans="1:8" x14ac:dyDescent="0.25">
      <c r="A1993" s="9" t="s">
        <v>2356</v>
      </c>
      <c r="B1993" s="9" t="s">
        <v>1108</v>
      </c>
      <c r="C1993">
        <v>4</v>
      </c>
      <c r="D1993">
        <v>90</v>
      </c>
      <c r="E1993">
        <v>2013</v>
      </c>
      <c r="F1993" s="9"/>
      <c r="H1993" s="20" t="str">
        <f t="shared" si="31"/>
        <v>(nextval('obj_part_id_seq'), (select id from obj_building_v where zip||'|'||street||'|'||name||'|'||volume = '5620|Klosterweg 2|Bauamtsmagazin, Werkhof Altbau|2404.00'), 'P8', 4, 90, 2013,null),</v>
      </c>
    </row>
    <row r="1994" spans="1:8" x14ac:dyDescent="0.25">
      <c r="A1994" s="9" t="s">
        <v>2356</v>
      </c>
      <c r="B1994" s="9" t="s">
        <v>1155</v>
      </c>
      <c r="C1994">
        <v>2</v>
      </c>
      <c r="D1994">
        <v>90</v>
      </c>
      <c r="E1994">
        <v>2013</v>
      </c>
      <c r="F1994" s="9" t="s">
        <v>2363</v>
      </c>
      <c r="H1994" s="20" t="str">
        <f t="shared" si="31"/>
        <v>(nextval('obj_part_id_seq'), (select id from obj_building_v where zip||'|'||street||'|'||name||'|'||volume = '5620|Klosterweg 2|Bauamtsmagazin, Werkhof Altbau|2404.00'), 'P56', 2, 90, 2013,'elektr. Seilwinde'),</v>
      </c>
    </row>
    <row r="1995" spans="1:8" x14ac:dyDescent="0.25">
      <c r="A1995" s="9" t="s">
        <v>2356</v>
      </c>
      <c r="B1995" s="9" t="s">
        <v>1138</v>
      </c>
      <c r="C1995">
        <v>3</v>
      </c>
      <c r="D1995">
        <v>90</v>
      </c>
      <c r="E1995">
        <v>2013</v>
      </c>
      <c r="F1995" s="9" t="s">
        <v>2364</v>
      </c>
      <c r="H1995" s="20" t="str">
        <f t="shared" si="31"/>
        <v>(nextval('obj_part_id_seq'), (select id from obj_building_v where zip||'|'||street||'|'||name||'|'||volume = '5620|Klosterweg 2|Bauamtsmagazin, Werkhof Altbau|2404.00'), 'P57', 3, 90, 2013,'Holzgeländer'),</v>
      </c>
    </row>
    <row r="1996" spans="1:8" x14ac:dyDescent="0.25">
      <c r="A1996" s="9" t="s">
        <v>2356</v>
      </c>
      <c r="B1996" s="9" t="s">
        <v>1140</v>
      </c>
      <c r="C1996">
        <v>5</v>
      </c>
      <c r="D1996">
        <v>90</v>
      </c>
      <c r="E1996">
        <v>2013</v>
      </c>
      <c r="F1996" s="9" t="s">
        <v>2365</v>
      </c>
      <c r="H1996" s="20" t="str">
        <f t="shared" si="31"/>
        <v>(nextval('obj_part_id_seq'), (select id from obj_building_v where zip||'|'||street||'|'||name||'|'||volume = '5620|Klosterweg 2|Bauamtsmagazin, Werkhof Altbau|2404.00'), 'P58', 5, 90, 2013,'B: Beton, Holz, W: Verputz gestrichen, D: Holzbalken'),</v>
      </c>
    </row>
    <row r="1997" spans="1:8" x14ac:dyDescent="0.25">
      <c r="A1997" s="9" t="s">
        <v>2356</v>
      </c>
      <c r="B1997" s="9" t="s">
        <v>1142</v>
      </c>
      <c r="C1997">
        <v>0</v>
      </c>
      <c r="D1997" t="s">
        <v>4080</v>
      </c>
      <c r="E1997">
        <v>2013</v>
      </c>
      <c r="F1997" s="9"/>
      <c r="H1997" s="20" t="str">
        <f t="shared" si="31"/>
        <v>(nextval('obj_part_id_seq'), (select id from obj_building_v where zip||'|'||street||'|'||name||'|'||volume = '5620|Klosterweg 2|Bauamtsmagazin, Werkhof Altbau|2404.00'), 'P60', 0, null, 2013,null),</v>
      </c>
    </row>
    <row r="1998" spans="1:8" x14ac:dyDescent="0.25">
      <c r="A1998" s="9" t="s">
        <v>2356</v>
      </c>
      <c r="B1998" s="9" t="s">
        <v>1143</v>
      </c>
      <c r="C1998">
        <v>0</v>
      </c>
      <c r="D1998" t="s">
        <v>4080</v>
      </c>
      <c r="E1998">
        <v>2013</v>
      </c>
      <c r="F1998" s="9"/>
      <c r="H1998" s="20" t="str">
        <f t="shared" si="31"/>
        <v>(nextval('obj_part_id_seq'), (select id from obj_building_v where zip||'|'||street||'|'||name||'|'||volume = '5620|Klosterweg 2|Bauamtsmagazin, Werkhof Altbau|2404.00'), 'P61', 0, null, 2013,null),</v>
      </c>
    </row>
    <row r="1999" spans="1:8" x14ac:dyDescent="0.25">
      <c r="A1999" s="9" t="s">
        <v>2356</v>
      </c>
      <c r="B1999" s="9" t="s">
        <v>1144</v>
      </c>
      <c r="C1999">
        <v>0</v>
      </c>
      <c r="D1999" t="s">
        <v>4080</v>
      </c>
      <c r="E1999">
        <v>2013</v>
      </c>
      <c r="F1999" s="9"/>
      <c r="H1999" s="20" t="str">
        <f t="shared" si="31"/>
        <v>(nextval('obj_part_id_seq'), (select id from obj_building_v where zip||'|'||street||'|'||name||'|'||volume = '5620|Klosterweg 2|Bauamtsmagazin, Werkhof Altbau|2404.00'), 'P62', 0, null, 2013,null),</v>
      </c>
    </row>
    <row r="2000" spans="1:8" x14ac:dyDescent="0.25">
      <c r="A2000" s="9" t="s">
        <v>2366</v>
      </c>
      <c r="B2000" s="9" t="s">
        <v>1127</v>
      </c>
      <c r="C2000">
        <v>23</v>
      </c>
      <c r="D2000">
        <v>90</v>
      </c>
      <c r="E2000">
        <v>2013</v>
      </c>
      <c r="F2000" s="9" t="s">
        <v>2367</v>
      </c>
      <c r="H2000" s="20" t="str">
        <f t="shared" si="31"/>
        <v>(nextval('obj_part_id_seq'), (select id from obj_building_v where zip||'|'||street||'|'||name||'|'||volume = '5620|Klosterweg 8|Klarakloster|7525.00'), 'P48', 23, 90, 2013,'Natursteinmauerwerk verputzt mit Holzbalkendecke, keine Mängel sichtbar'),</v>
      </c>
    </row>
    <row r="2001" spans="1:8" x14ac:dyDescent="0.25">
      <c r="A2001" s="9" t="s">
        <v>2366</v>
      </c>
      <c r="B2001" s="9" t="s">
        <v>1129</v>
      </c>
      <c r="C2001">
        <v>0</v>
      </c>
      <c r="D2001" t="s">
        <v>4080</v>
      </c>
      <c r="E2001">
        <v>2013</v>
      </c>
      <c r="F2001" s="9"/>
      <c r="H2001" s="20" t="str">
        <f t="shared" si="31"/>
        <v>(nextval('obj_part_id_seq'), (select id from obj_building_v where zip||'|'||street||'|'||name||'|'||volume = '5620|Klosterweg 8|Klarakloster|7525.00'), 'P49', 0, null, 2013,null),</v>
      </c>
    </row>
    <row r="2002" spans="1:8" x14ac:dyDescent="0.25">
      <c r="A2002" s="9" t="s">
        <v>2366</v>
      </c>
      <c r="B2002" s="9" t="s">
        <v>1097</v>
      </c>
      <c r="C2002">
        <v>13</v>
      </c>
      <c r="D2002">
        <v>90</v>
      </c>
      <c r="E2002">
        <v>2013</v>
      </c>
      <c r="F2002" s="9" t="s">
        <v>2368</v>
      </c>
      <c r="H2002" s="20" t="str">
        <f t="shared" si="31"/>
        <v>(nextval('obj_part_id_seq'), (select id from obj_building_v where zip||'|'||street||'|'||name||'|'||volume = '5620|Klosterweg 8|Klarakloster|7525.00'), 'P2', 13, 90, 2013,'Dachstuhl mängelfrei, Unterdach aus Pavatexplatten, Biberschwanzziegel'),</v>
      </c>
    </row>
    <row r="2003" spans="1:8" x14ac:dyDescent="0.25">
      <c r="A2003" s="9" t="s">
        <v>2366</v>
      </c>
      <c r="B2003" s="9" t="s">
        <v>1099</v>
      </c>
      <c r="C2003">
        <v>0</v>
      </c>
      <c r="D2003" t="s">
        <v>4080</v>
      </c>
      <c r="E2003">
        <v>2013</v>
      </c>
      <c r="F2003" s="9"/>
      <c r="H2003" s="20" t="str">
        <f t="shared" si="31"/>
        <v>(nextval('obj_part_id_seq'), (select id from obj_building_v where zip||'|'||street||'|'||name||'|'||volume = '5620|Klosterweg 8|Klarakloster|7525.00'), 'P3', 0, null, 2013,null),</v>
      </c>
    </row>
    <row r="2004" spans="1:8" x14ac:dyDescent="0.25">
      <c r="A2004" s="9" t="s">
        <v>2366</v>
      </c>
      <c r="B2004" s="9" t="s">
        <v>1100</v>
      </c>
      <c r="C2004">
        <v>10</v>
      </c>
      <c r="D2004">
        <v>85</v>
      </c>
      <c r="E2004">
        <v>2013</v>
      </c>
      <c r="F2004" s="9" t="s">
        <v>2369</v>
      </c>
      <c r="H2004" s="20" t="str">
        <f t="shared" si="31"/>
        <v>(nextval('obj_part_id_seq'), (select id from obj_building_v where zip||'|'||street||'|'||name||'|'||volume = '5620|Klosterweg 8|Klarakloster|7525.00'), 'P4', 10, 85, 2013,'6cm Dämmputz, keine Risse ersichtlich, tw. schmutzig, feuchte Stellen im Sockelbereich, Naturstein- und Holzgewände'),</v>
      </c>
    </row>
    <row r="2005" spans="1:8" x14ac:dyDescent="0.25">
      <c r="A2005" s="9" t="s">
        <v>2366</v>
      </c>
      <c r="B2005" s="9" t="s">
        <v>1102</v>
      </c>
      <c r="C2005">
        <v>12</v>
      </c>
      <c r="D2005">
        <v>90</v>
      </c>
      <c r="E2005">
        <v>2013</v>
      </c>
      <c r="F2005" s="9" t="s">
        <v>2370</v>
      </c>
      <c r="H2005" s="20" t="str">
        <f t="shared" si="31"/>
        <v>(nextval('obj_part_id_seq'), (select id from obj_building_v where zip||'|'||street||'|'||name||'|'||volume = '5620|Klosterweg 8|Klarakloster|7525.00'), 'P5', 12, 90, 2013,'Holzsprossenfenster mit IV-Verglasung (''09), Holztüre, Metallläden, mängelfrei'),</v>
      </c>
    </row>
    <row r="2006" spans="1:8" x14ac:dyDescent="0.25">
      <c r="A2006" s="9" t="s">
        <v>2366</v>
      </c>
      <c r="B2006" s="9" t="s">
        <v>1110</v>
      </c>
      <c r="C2006">
        <v>4</v>
      </c>
      <c r="D2006">
        <v>85</v>
      </c>
      <c r="E2006">
        <v>2013</v>
      </c>
      <c r="F2006" s="9" t="s">
        <v>2371</v>
      </c>
      <c r="H2006" s="20" t="str">
        <f t="shared" si="31"/>
        <v>(nextval('obj_part_id_seq'), (select id from obj_building_v where zip||'|'||street||'|'||name||'|'||volume = '5620|Klosterweg 8|Klarakloster|7525.00'), 'P9', 4, 85, 2013,'tw. noch Keramiksicherungen, jedoch genügende Absicherung, z. T. Aufputzleitungen, BMA, Sonnerie'),</v>
      </c>
    </row>
    <row r="2007" spans="1:8" x14ac:dyDescent="0.25">
      <c r="A2007" s="9" t="s">
        <v>2366</v>
      </c>
      <c r="B2007" s="9" t="s">
        <v>1104</v>
      </c>
      <c r="C2007">
        <v>1</v>
      </c>
      <c r="D2007">
        <v>90</v>
      </c>
      <c r="E2007">
        <v>2013</v>
      </c>
      <c r="F2007" s="9" t="s">
        <v>2372</v>
      </c>
      <c r="H2007" s="20" t="str">
        <f t="shared" si="31"/>
        <v>(nextval('obj_part_id_seq'), (select id from obj_building_v where zip||'|'||street||'|'||name||'|'||volume = '5620|Klosterweg 8|Klarakloster|7525.00'), 'P6', 1, 90, 2013,'Ölheizung inkl. WW-Erzeugung'),</v>
      </c>
    </row>
    <row r="2008" spans="1:8" x14ac:dyDescent="0.25">
      <c r="A2008" s="9" t="s">
        <v>2366</v>
      </c>
      <c r="B2008" s="9" t="s">
        <v>1106</v>
      </c>
      <c r="C2008">
        <v>4</v>
      </c>
      <c r="D2008">
        <v>90</v>
      </c>
      <c r="E2008">
        <v>2013</v>
      </c>
      <c r="F2008" s="9" t="s">
        <v>1107</v>
      </c>
      <c r="H2008" s="20" t="str">
        <f t="shared" si="31"/>
        <v>(nextval('obj_part_id_seq'), (select id from obj_building_v where zip||'|'||street||'|'||name||'|'||volume = '5620|Klosterweg 8|Klarakloster|7525.00'), 'P7', 4, 90, 2013,'Radiatoren mit Thermostaten'),</v>
      </c>
    </row>
    <row r="2009" spans="1:8" x14ac:dyDescent="0.25">
      <c r="A2009" s="9" t="s">
        <v>2366</v>
      </c>
      <c r="B2009" s="9" t="s">
        <v>1403</v>
      </c>
      <c r="C2009">
        <v>3</v>
      </c>
      <c r="D2009">
        <v>90</v>
      </c>
      <c r="E2009">
        <v>2013</v>
      </c>
      <c r="F2009" s="9" t="s">
        <v>2373</v>
      </c>
      <c r="H2009" s="20" t="str">
        <f t="shared" si="31"/>
        <v>(nextval('obj_part_id_seq'), (select id from obj_building_v where zip||'|'||street||'|'||name||'|'||volume = '5620|Klosterweg 8|Klarakloster|7525.00'), 'P52', 3, 90, 2013,'Lüftung im 2. + 3. OG, WC-Lüftung'),</v>
      </c>
    </row>
    <row r="2010" spans="1:8" x14ac:dyDescent="0.25">
      <c r="A2010" s="9" t="s">
        <v>2366</v>
      </c>
      <c r="B2010" s="9" t="s">
        <v>1404</v>
      </c>
      <c r="C2010">
        <v>3</v>
      </c>
      <c r="D2010">
        <v>90</v>
      </c>
      <c r="E2010">
        <v>2013</v>
      </c>
      <c r="F2010" s="9"/>
      <c r="H2010" s="20" t="str">
        <f t="shared" si="31"/>
        <v>(nextval('obj_part_id_seq'), (select id from obj_building_v where zip||'|'||street||'|'||name||'|'||volume = '5620|Klosterweg 8|Klarakloster|7525.00'), 'P53', 3, 90, 2013,null),</v>
      </c>
    </row>
    <row r="2011" spans="1:8" x14ac:dyDescent="0.25">
      <c r="A2011" s="9" t="s">
        <v>2366</v>
      </c>
      <c r="B2011" s="9" t="s">
        <v>1108</v>
      </c>
      <c r="C2011">
        <v>5</v>
      </c>
      <c r="D2011">
        <v>90</v>
      </c>
      <c r="E2011">
        <v>2013</v>
      </c>
      <c r="F2011" s="9" t="s">
        <v>2374</v>
      </c>
      <c r="H2011" s="20" t="str">
        <f t="shared" si="31"/>
        <v>(nextval('obj_part_id_seq'), (select id from obj_building_v where zip||'|'||street||'|'||name||'|'||volume = '5620|Klosterweg 8|Klarakloster|7525.00'), 'P8', 5, 90, 2013,'Apparate funktionstüchtig, Leitungen: genügender Druck vorhanden, WM, WT'),</v>
      </c>
    </row>
    <row r="2012" spans="1:8" x14ac:dyDescent="0.25">
      <c r="A2012" s="9" t="s">
        <v>2366</v>
      </c>
      <c r="B2012" s="9" t="s">
        <v>1138</v>
      </c>
      <c r="C2012">
        <v>11</v>
      </c>
      <c r="D2012">
        <v>85</v>
      </c>
      <c r="E2012">
        <v>2013</v>
      </c>
      <c r="F2012" s="9" t="s">
        <v>2375</v>
      </c>
      <c r="H2012" s="20" t="str">
        <f t="shared" si="31"/>
        <v>(nextval('obj_part_id_seq'), (select id from obj_building_v where zip||'|'||street||'|'||name||'|'||volume = '5620|Klosterweg 8|Klarakloster|7525.00'), 'P57', 11, 85, 2013,'Einbauschränke, Faltwand, Holzinnentüren und -rahmen'),</v>
      </c>
    </row>
    <row r="2013" spans="1:8" x14ac:dyDescent="0.25">
      <c r="A2013" s="9" t="s">
        <v>2366</v>
      </c>
      <c r="B2013" s="9" t="s">
        <v>1140</v>
      </c>
      <c r="C2013">
        <v>4</v>
      </c>
      <c r="D2013">
        <v>90</v>
      </c>
      <c r="E2013">
        <v>2013</v>
      </c>
      <c r="F2013" s="9" t="s">
        <v>2376</v>
      </c>
      <c r="H2013" s="20" t="str">
        <f t="shared" si="31"/>
        <v>(nextval('obj_part_id_seq'), (select id from obj_building_v where zip||'|'||street||'|'||name||'|'||volume = '5620|Klosterweg 8|Klarakloster|7525.00'), 'P58', 4, 90, 2013,'B: Kunststein, PVC, Keramik, Teppich, Linol, Laminat, W: teilw. Täfer, Verputz, D: Verputz, Gips'),</v>
      </c>
    </row>
    <row r="2014" spans="1:8" x14ac:dyDescent="0.25">
      <c r="A2014" s="9" t="s">
        <v>2366</v>
      </c>
      <c r="B2014" s="9" t="s">
        <v>1157</v>
      </c>
      <c r="C2014">
        <v>6</v>
      </c>
      <c r="D2014">
        <v>85</v>
      </c>
      <c r="E2014">
        <v>2013</v>
      </c>
      <c r="F2014" s="9" t="s">
        <v>2377</v>
      </c>
      <c r="H2014" s="20" t="str">
        <f t="shared" si="31"/>
        <v>(nextval('obj_part_id_seq'), (select id from obj_building_v where zip||'|'||street||'|'||name||'|'||volume = '5620|Klosterweg 8|Klarakloster|7525.00'), 'P59', 6, 85, 2013,'Küche, Kühlschrank, Backofen, Herdplatten mit Abzug, GSP'),</v>
      </c>
    </row>
    <row r="2015" spans="1:8" x14ac:dyDescent="0.25">
      <c r="A2015" s="9" t="s">
        <v>2366</v>
      </c>
      <c r="B2015" s="9" t="s">
        <v>1142</v>
      </c>
      <c r="C2015">
        <v>0</v>
      </c>
      <c r="D2015" t="s">
        <v>4080</v>
      </c>
      <c r="E2015">
        <v>2013</v>
      </c>
      <c r="F2015" s="9"/>
      <c r="H2015" s="20" t="str">
        <f t="shared" si="31"/>
        <v>(nextval('obj_part_id_seq'), (select id from obj_building_v where zip||'|'||street||'|'||name||'|'||volume = '5620|Klosterweg 8|Klarakloster|7525.00'), 'P60', 0, null, 2013,null),</v>
      </c>
    </row>
    <row r="2016" spans="1:8" x14ac:dyDescent="0.25">
      <c r="A2016" s="9" t="s">
        <v>2366</v>
      </c>
      <c r="B2016" s="9" t="s">
        <v>1143</v>
      </c>
      <c r="C2016">
        <v>1</v>
      </c>
      <c r="D2016">
        <v>90</v>
      </c>
      <c r="E2016">
        <v>2013</v>
      </c>
      <c r="F2016" s="9" t="s">
        <v>2378</v>
      </c>
      <c r="H2016" s="20" t="str">
        <f t="shared" si="31"/>
        <v>(nextval('obj_part_id_seq'), (select id from obj_building_v where zip||'|'||street||'|'||name||'|'||volume = '5620|Klosterweg 8|Klarakloster|7525.00'), 'P61', 1, 90, 2013,'Aufzug'),</v>
      </c>
    </row>
    <row r="2017" spans="1:8" x14ac:dyDescent="0.25">
      <c r="A2017" s="9" t="s">
        <v>2366</v>
      </c>
      <c r="B2017" s="9" t="s">
        <v>1144</v>
      </c>
      <c r="C2017">
        <v>0</v>
      </c>
      <c r="D2017" t="s">
        <v>4080</v>
      </c>
      <c r="E2017">
        <v>2013</v>
      </c>
      <c r="F2017" s="9"/>
      <c r="H2017" s="20" t="str">
        <f t="shared" si="31"/>
        <v>(nextval('obj_part_id_seq'), (select id from obj_building_v where zip||'|'||street||'|'||name||'|'||volume = '5620|Klosterweg 8|Klarakloster|7525.00'), 'P62', 0, null, 2013,null),</v>
      </c>
    </row>
    <row r="2018" spans="1:8" x14ac:dyDescent="0.25">
      <c r="A2018" s="9" t="s">
        <v>2379</v>
      </c>
      <c r="B2018" s="9" t="s">
        <v>1127</v>
      </c>
      <c r="C2018">
        <v>29</v>
      </c>
      <c r="D2018">
        <v>90</v>
      </c>
      <c r="E2018">
        <v>2013</v>
      </c>
      <c r="F2018" s="9" t="s">
        <v>1765</v>
      </c>
      <c r="H2018" s="20" t="str">
        <f t="shared" si="31"/>
        <v>(nextval('obj_part_id_seq'), (select id from obj_building_v where zip||'|'||street||'|'||name||'|'||volume = '5620|Rathausplatz 4|Haberhaus Polizeiposten|2532.00'), 'P48', 29, 90, 2013,'Natursteinmauerwerk, verputzt mit Holzbalkendecken'),</v>
      </c>
    </row>
    <row r="2019" spans="1:8" x14ac:dyDescent="0.25">
      <c r="A2019" s="9" t="s">
        <v>2379</v>
      </c>
      <c r="B2019" s="9" t="s">
        <v>1129</v>
      </c>
      <c r="C2019">
        <v>0</v>
      </c>
      <c r="D2019" t="s">
        <v>4080</v>
      </c>
      <c r="E2019">
        <v>2013</v>
      </c>
      <c r="F2019" s="9"/>
      <c r="H2019" s="20" t="str">
        <f t="shared" si="31"/>
        <v>(nextval('obj_part_id_seq'), (select id from obj_building_v where zip||'|'||street||'|'||name||'|'||volume = '5620|Rathausplatz 4|Haberhaus Polizeiposten|2532.00'), 'P49', 0, null, 2013,null),</v>
      </c>
    </row>
    <row r="2020" spans="1:8" x14ac:dyDescent="0.25">
      <c r="A2020" s="9" t="s">
        <v>2379</v>
      </c>
      <c r="B2020" s="9" t="s">
        <v>1097</v>
      </c>
      <c r="C2020">
        <v>10</v>
      </c>
      <c r="D2020">
        <v>90</v>
      </c>
      <c r="E2020">
        <v>2013</v>
      </c>
      <c r="F2020" s="9" t="s">
        <v>2380</v>
      </c>
      <c r="H2020" s="20" t="str">
        <f t="shared" si="31"/>
        <v>(nextval('obj_part_id_seq'), (select id from obj_building_v where zip||'|'||street||'|'||name||'|'||volume = '5620|Rathausplatz 4|Haberhaus Polizeiposten|2532.00'), 'P2', 10, 90, 2013,'Biberschwanzziegel, Dachraum konnte nicht besichtigt werden, ist aber gem. Angaben Hauswart ohne Mängel'),</v>
      </c>
    </row>
    <row r="2021" spans="1:8" x14ac:dyDescent="0.25">
      <c r="A2021" s="9" t="s">
        <v>2379</v>
      </c>
      <c r="B2021" s="9" t="s">
        <v>1099</v>
      </c>
      <c r="C2021">
        <v>0</v>
      </c>
      <c r="D2021" t="s">
        <v>4080</v>
      </c>
      <c r="E2021">
        <v>2013</v>
      </c>
      <c r="F2021" s="9"/>
      <c r="H2021" s="20" t="str">
        <f t="shared" si="31"/>
        <v>(nextval('obj_part_id_seq'), (select id from obj_building_v where zip||'|'||street||'|'||name||'|'||volume = '5620|Rathausplatz 4|Haberhaus Polizeiposten|2532.00'), 'P3', 0, null, 2013,null),</v>
      </c>
    </row>
    <row r="2022" spans="1:8" x14ac:dyDescent="0.25">
      <c r="A2022" s="9" t="s">
        <v>2379</v>
      </c>
      <c r="B2022" s="9" t="s">
        <v>1100</v>
      </c>
      <c r="C2022">
        <v>8</v>
      </c>
      <c r="D2022">
        <v>90</v>
      </c>
      <c r="E2022">
        <v>2013</v>
      </c>
      <c r="F2022" s="9" t="s">
        <v>2381</v>
      </c>
      <c r="H2022" s="20" t="str">
        <f t="shared" si="31"/>
        <v>(nextval('obj_part_id_seq'), (select id from obj_building_v where zip||'|'||street||'|'||name||'|'||volume = '5620|Rathausplatz 4|Haberhaus Polizeiposten|2532.00'), 'P4', 8, 90, 2013,'Natursteinmauerwerk, verputzt mit Natursteingewänden'),</v>
      </c>
    </row>
    <row r="2023" spans="1:8" x14ac:dyDescent="0.25">
      <c r="A2023" s="9" t="s">
        <v>2379</v>
      </c>
      <c r="B2023" s="9" t="s">
        <v>1102</v>
      </c>
      <c r="C2023">
        <v>14</v>
      </c>
      <c r="D2023">
        <v>90</v>
      </c>
      <c r="E2023">
        <v>2013</v>
      </c>
      <c r="F2023" s="9" t="s">
        <v>2382</v>
      </c>
      <c r="H2023" s="20" t="str">
        <f t="shared" si="31"/>
        <v>(nextval('obj_part_id_seq'), (select id from obj_building_v where zip||'|'||street||'|'||name||'|'||volume = '5620|Rathausplatz 4|Haberhaus Polizeiposten|2532.00'), 'P5', 14, 90, 2013,'Holzfenster (''90) mit aufgeklebten Sprossen, IV'),</v>
      </c>
    </row>
    <row r="2024" spans="1:8" x14ac:dyDescent="0.25">
      <c r="A2024" s="9" t="s">
        <v>2379</v>
      </c>
      <c r="B2024" s="9" t="s">
        <v>1164</v>
      </c>
      <c r="C2024">
        <v>6</v>
      </c>
      <c r="D2024">
        <v>90</v>
      </c>
      <c r="E2024">
        <v>2013</v>
      </c>
      <c r="F2024" s="9" t="s">
        <v>2383</v>
      </c>
      <c r="H2024" s="20" t="str">
        <f t="shared" si="31"/>
        <v>(nextval('obj_part_id_seq'), (select id from obj_building_v where zip||'|'||street||'|'||name||'|'||volume = '5620|Rathausplatz 4|Haberhaus Polizeiposten|2532.00'), 'P50', 6, 90, 2013,'Tw. alte Keramiksicherungen (Absicherung jedoch i. O.)'),</v>
      </c>
    </row>
    <row r="2025" spans="1:8" x14ac:dyDescent="0.25">
      <c r="A2025" s="9" t="s">
        <v>2379</v>
      </c>
      <c r="B2025" s="9" t="s">
        <v>1166</v>
      </c>
      <c r="C2025">
        <v>2</v>
      </c>
      <c r="D2025">
        <v>90</v>
      </c>
      <c r="E2025">
        <v>2013</v>
      </c>
      <c r="F2025" s="9" t="s">
        <v>2384</v>
      </c>
      <c r="H2025" s="20" t="str">
        <f t="shared" si="31"/>
        <v>(nextval('obj_part_id_seq'), (select id from obj_building_v where zip||'|'||street||'|'||name||'|'||volume = '5620|Rathausplatz 4|Haberhaus Polizeiposten|2532.00'), 'P51', 2, 90, 2013,'EDV, Telefonanschluss'),</v>
      </c>
    </row>
    <row r="2026" spans="1:8" x14ac:dyDescent="0.25">
      <c r="A2026" s="9" t="s">
        <v>2379</v>
      </c>
      <c r="B2026" s="9" t="s">
        <v>1104</v>
      </c>
      <c r="C2026">
        <v>0</v>
      </c>
      <c r="D2026" t="s">
        <v>4080</v>
      </c>
      <c r="E2026">
        <v>2013</v>
      </c>
      <c r="F2026" s="9" t="s">
        <v>1235</v>
      </c>
      <c r="H2026" s="20" t="str">
        <f t="shared" si="31"/>
        <v>(nextval('obj_part_id_seq'), (select id from obj_building_v where zip||'|'||street||'|'||name||'|'||volume = '5620|Rathausplatz 4|Haberhaus Polizeiposten|2532.00'), 'P6', 0, null, 2013,'Fernwärme'),</v>
      </c>
    </row>
    <row r="2027" spans="1:8" x14ac:dyDescent="0.25">
      <c r="A2027" s="9" t="s">
        <v>2379</v>
      </c>
      <c r="B2027" s="9" t="s">
        <v>1106</v>
      </c>
      <c r="C2027">
        <v>3</v>
      </c>
      <c r="D2027">
        <v>90</v>
      </c>
      <c r="E2027">
        <v>2013</v>
      </c>
      <c r="F2027" s="9" t="s">
        <v>1571</v>
      </c>
      <c r="H2027" s="20" t="str">
        <f t="shared" si="31"/>
        <v>(nextval('obj_part_id_seq'), (select id from obj_building_v where zip||'|'||street||'|'||name||'|'||volume = '5620|Rathausplatz 4|Haberhaus Polizeiposten|2532.00'), 'P7', 3, 90, 2013,'Bodenheizung'),</v>
      </c>
    </row>
    <row r="2028" spans="1:8" x14ac:dyDescent="0.25">
      <c r="A2028" s="9" t="s">
        <v>2379</v>
      </c>
      <c r="B2028" s="9" t="s">
        <v>1108</v>
      </c>
      <c r="C2028">
        <v>4</v>
      </c>
      <c r="D2028">
        <v>90</v>
      </c>
      <c r="E2028">
        <v>2013</v>
      </c>
      <c r="F2028" s="9" t="s">
        <v>2385</v>
      </c>
      <c r="H2028" s="20" t="str">
        <f t="shared" si="31"/>
        <v>(nextval('obj_part_id_seq'), (select id from obj_building_v where zip||'|'||street||'|'||name||'|'||volume = '5620|Rathausplatz 4|Haberhaus Polizeiposten|2532.00'), 'P8', 4, 90, 2013,'Apparate ohne Mängel, Leitungen: genügender Druck vorhanden'),</v>
      </c>
    </row>
    <row r="2029" spans="1:8" x14ac:dyDescent="0.25">
      <c r="A2029" s="9" t="s">
        <v>2379</v>
      </c>
      <c r="B2029" s="9" t="s">
        <v>1155</v>
      </c>
      <c r="C2029">
        <v>2</v>
      </c>
      <c r="D2029">
        <v>90</v>
      </c>
      <c r="E2029">
        <v>2013</v>
      </c>
      <c r="F2029" s="9" t="s">
        <v>1773</v>
      </c>
      <c r="H2029" s="20" t="str">
        <f t="shared" si="31"/>
        <v>(nextval('obj_part_id_seq'), (select id from obj_building_v where zip||'|'||street||'|'||name||'|'||volume = '5620|Rathausplatz 4|Haberhaus Polizeiposten|2532.00'), 'P56', 2, 90, 2013,'Personenaufzug keine Mängel bekannt'),</v>
      </c>
    </row>
    <row r="2030" spans="1:8" x14ac:dyDescent="0.25">
      <c r="A2030" s="9" t="s">
        <v>2379</v>
      </c>
      <c r="B2030" s="9" t="s">
        <v>1138</v>
      </c>
      <c r="C2030">
        <v>14</v>
      </c>
      <c r="D2030">
        <v>90</v>
      </c>
      <c r="E2030">
        <v>2013</v>
      </c>
      <c r="F2030" s="9" t="s">
        <v>2386</v>
      </c>
      <c r="H2030" s="20" t="str">
        <f t="shared" si="31"/>
        <v>(nextval('obj_part_id_seq'), (select id from obj_building_v where zip||'|'||street||'|'||name||'|'||volume = '5620|Rathausplatz 4|Haberhaus Polizeiposten|2532.00'), 'P57', 14, 90, 2013,'Schalterhalle, Panzerglas, Windfang, Innentüren aus Holz'),</v>
      </c>
    </row>
    <row r="2031" spans="1:8" x14ac:dyDescent="0.25">
      <c r="A2031" s="9" t="s">
        <v>2379</v>
      </c>
      <c r="B2031" s="9" t="s">
        <v>1140</v>
      </c>
      <c r="C2031">
        <v>8</v>
      </c>
      <c r="D2031">
        <v>90</v>
      </c>
      <c r="E2031">
        <v>2013</v>
      </c>
      <c r="F2031" s="9" t="s">
        <v>2387</v>
      </c>
      <c r="H2031" s="20" t="str">
        <f t="shared" si="31"/>
        <v>(nextval('obj_part_id_seq'), (select id from obj_building_v where zip||'|'||street||'|'||name||'|'||volume = '5620|Rathausplatz 4|Haberhaus Polizeiposten|2532.00'), 'P58', 8, 90, 2013,'B: Klinker, Teppich, Linol, Keramik, W: Verputz, D: Holz'),</v>
      </c>
    </row>
    <row r="2032" spans="1:8" x14ac:dyDescent="0.25">
      <c r="A2032" s="9" t="s">
        <v>2379</v>
      </c>
      <c r="B2032" s="9" t="s">
        <v>1142</v>
      </c>
      <c r="C2032">
        <v>0</v>
      </c>
      <c r="D2032" t="s">
        <v>4080</v>
      </c>
      <c r="E2032">
        <v>2013</v>
      </c>
      <c r="F2032" s="9"/>
      <c r="H2032" s="20" t="str">
        <f t="shared" si="31"/>
        <v>(nextval('obj_part_id_seq'), (select id from obj_building_v where zip||'|'||street||'|'||name||'|'||volume = '5620|Rathausplatz 4|Haberhaus Polizeiposten|2532.00'), 'P60', 0, null, 2013,null),</v>
      </c>
    </row>
    <row r="2033" spans="1:8" x14ac:dyDescent="0.25">
      <c r="A2033" s="9" t="s">
        <v>2379</v>
      </c>
      <c r="B2033" s="9" t="s">
        <v>1143</v>
      </c>
      <c r="C2033">
        <v>0</v>
      </c>
      <c r="D2033" t="s">
        <v>4080</v>
      </c>
      <c r="E2033">
        <v>2013</v>
      </c>
      <c r="F2033" s="9"/>
      <c r="H2033" s="20" t="str">
        <f t="shared" si="31"/>
        <v>(nextval('obj_part_id_seq'), (select id from obj_building_v where zip||'|'||street||'|'||name||'|'||volume = '5620|Rathausplatz 4|Haberhaus Polizeiposten|2532.00'), 'P61', 0, null, 2013,null),</v>
      </c>
    </row>
    <row r="2034" spans="1:8" x14ac:dyDescent="0.25">
      <c r="A2034" s="9" t="s">
        <v>2379</v>
      </c>
      <c r="B2034" s="9" t="s">
        <v>1144</v>
      </c>
      <c r="C2034">
        <v>0</v>
      </c>
      <c r="D2034" t="s">
        <v>4080</v>
      </c>
      <c r="E2034">
        <v>2013</v>
      </c>
      <c r="F2034" s="9"/>
      <c r="H2034" s="20" t="str">
        <f t="shared" si="31"/>
        <v>(nextval('obj_part_id_seq'), (select id from obj_building_v where zip||'|'||street||'|'||name||'|'||volume = '5620|Rathausplatz 4|Haberhaus Polizeiposten|2532.00'), 'P62', 0, null, 2013,null),</v>
      </c>
    </row>
    <row r="2035" spans="1:8" x14ac:dyDescent="0.25">
      <c r="A2035" s="9" t="s">
        <v>2388</v>
      </c>
      <c r="B2035" s="9" t="s">
        <v>1127</v>
      </c>
      <c r="C2035">
        <v>29</v>
      </c>
      <c r="D2035">
        <v>90</v>
      </c>
      <c r="E2035">
        <v>2013</v>
      </c>
      <c r="F2035" s="9" t="s">
        <v>1765</v>
      </c>
      <c r="H2035" s="20" t="str">
        <f t="shared" si="31"/>
        <v>(nextval('obj_part_id_seq'), (select id from obj_building_v where zip||'|'||street||'|'||name||'|'||volume = '5620|Rathausplatz 1|Rathaus|8051.00'), 'P48', 29, 90, 2013,'Natursteinmauerwerk, verputzt mit Holzbalkendecken'),</v>
      </c>
    </row>
    <row r="2036" spans="1:8" x14ac:dyDescent="0.25">
      <c r="A2036" s="9" t="s">
        <v>2388</v>
      </c>
      <c r="B2036" s="9" t="s">
        <v>1129</v>
      </c>
      <c r="C2036">
        <v>0</v>
      </c>
      <c r="D2036" t="s">
        <v>4080</v>
      </c>
      <c r="E2036">
        <v>2013</v>
      </c>
      <c r="F2036" s="9"/>
      <c r="H2036" s="20" t="str">
        <f t="shared" si="31"/>
        <v>(nextval('obj_part_id_seq'), (select id from obj_building_v where zip||'|'||street||'|'||name||'|'||volume = '5620|Rathausplatz 1|Rathaus|8051.00'), 'P49', 0, null, 2013,null),</v>
      </c>
    </row>
    <row r="2037" spans="1:8" x14ac:dyDescent="0.25">
      <c r="A2037" s="9" t="s">
        <v>2388</v>
      </c>
      <c r="B2037" s="9" t="s">
        <v>1097</v>
      </c>
      <c r="C2037">
        <v>10</v>
      </c>
      <c r="D2037">
        <v>80</v>
      </c>
      <c r="E2037">
        <v>2013</v>
      </c>
      <c r="F2037" s="9" t="s">
        <v>1766</v>
      </c>
      <c r="H2037" s="20" t="str">
        <f t="shared" si="31"/>
        <v>(nextval('obj_part_id_seq'), (select id from obj_building_v where zip||'|'||street||'|'||name||'|'||volume = '5620|Rathausplatz 1|Rathaus|8051.00'), 'P2', 10, 80, 2013,'Biberschwanzziegel mit Schindelunterdach, tw. vermost und undicht, mehrere Dachflächenfenster'),</v>
      </c>
    </row>
    <row r="2038" spans="1:8" x14ac:dyDescent="0.25">
      <c r="A2038" s="9" t="s">
        <v>2388</v>
      </c>
      <c r="B2038" s="9" t="s">
        <v>1099</v>
      </c>
      <c r="C2038">
        <v>0</v>
      </c>
      <c r="D2038" t="s">
        <v>4080</v>
      </c>
      <c r="E2038">
        <v>2013</v>
      </c>
      <c r="F2038" s="9"/>
      <c r="H2038" s="20" t="str">
        <f t="shared" si="31"/>
        <v>(nextval('obj_part_id_seq'), (select id from obj_building_v where zip||'|'||street||'|'||name||'|'||volume = '5620|Rathausplatz 1|Rathaus|8051.00'), 'P3', 0, null, 2013,null),</v>
      </c>
    </row>
    <row r="2039" spans="1:8" x14ac:dyDescent="0.25">
      <c r="A2039" s="9" t="s">
        <v>2388</v>
      </c>
      <c r="B2039" s="9" t="s">
        <v>1100</v>
      </c>
      <c r="C2039">
        <v>8</v>
      </c>
      <c r="D2039">
        <v>90</v>
      </c>
      <c r="E2039">
        <v>2013</v>
      </c>
      <c r="F2039" s="9" t="s">
        <v>1767</v>
      </c>
      <c r="H2039" s="20" t="str">
        <f t="shared" si="31"/>
        <v>(nextval('obj_part_id_seq'), (select id from obj_building_v where zip||'|'||street||'|'||name||'|'||volume = '5620|Rathausplatz 1|Rathaus|8051.00'), 'P4', 8, 90, 2013,'Natursteinmauerwerk, verputzt mit Natursteingewände'),</v>
      </c>
    </row>
    <row r="2040" spans="1:8" x14ac:dyDescent="0.25">
      <c r="A2040" s="9" t="s">
        <v>2388</v>
      </c>
      <c r="B2040" s="9" t="s">
        <v>1102</v>
      </c>
      <c r="C2040">
        <v>14</v>
      </c>
      <c r="D2040">
        <v>90</v>
      </c>
      <c r="E2040">
        <v>2013</v>
      </c>
      <c r="F2040" s="9" t="s">
        <v>1768</v>
      </c>
      <c r="H2040" s="20" t="str">
        <f t="shared" si="31"/>
        <v>(nextval('obj_part_id_seq'), (select id from obj_building_v where zip||'|'||street||'|'||name||'|'||volume = '5620|Rathausplatz 1|Rathaus|8051.00'), 'P5', 14, 90, 2013,'Holz (''94), IV, Holz-Metall (''04), IV, RL-Storen'),</v>
      </c>
    </row>
    <row r="2041" spans="1:8" x14ac:dyDescent="0.25">
      <c r="A2041" s="9" t="s">
        <v>2388</v>
      </c>
      <c r="B2041" s="9" t="s">
        <v>1164</v>
      </c>
      <c r="C2041">
        <v>6</v>
      </c>
      <c r="D2041">
        <v>90</v>
      </c>
      <c r="E2041">
        <v>2013</v>
      </c>
      <c r="F2041" s="9" t="s">
        <v>1769</v>
      </c>
      <c r="H2041" s="20" t="str">
        <f t="shared" si="31"/>
        <v>(nextval('obj_part_id_seq'), (select id from obj_building_v where zip||'|'||street||'|'||name||'|'||volume = '5620|Rathausplatz 1|Rathaus|8051.00'), 'P50', 6, 90, 2013,'neuere Sicherungen, Hauptsicherungen z.T. aus Keramik'),</v>
      </c>
    </row>
    <row r="2042" spans="1:8" x14ac:dyDescent="0.25">
      <c r="A2042" s="9" t="s">
        <v>2388</v>
      </c>
      <c r="B2042" s="9" t="s">
        <v>1166</v>
      </c>
      <c r="C2042">
        <v>2</v>
      </c>
      <c r="D2042">
        <v>90</v>
      </c>
      <c r="E2042">
        <v>2013</v>
      </c>
      <c r="F2042" s="9" t="s">
        <v>1770</v>
      </c>
      <c r="H2042" s="20" t="str">
        <f t="shared" si="31"/>
        <v>(nextval('obj_part_id_seq'), (select id from obj_building_v where zip||'|'||street||'|'||name||'|'||volume = '5620|Rathausplatz 1|Rathaus|8051.00'), 'P51', 2, 90, 2013,'BMA, EDV, Telefonanlage'),</v>
      </c>
    </row>
    <row r="2043" spans="1:8" x14ac:dyDescent="0.25">
      <c r="A2043" s="9" t="s">
        <v>2388</v>
      </c>
      <c r="B2043" s="9" t="s">
        <v>1104</v>
      </c>
      <c r="C2043">
        <v>0</v>
      </c>
      <c r="D2043" t="s">
        <v>4080</v>
      </c>
      <c r="E2043">
        <v>2013</v>
      </c>
      <c r="F2043" s="9" t="s">
        <v>1771</v>
      </c>
      <c r="H2043" s="20" t="str">
        <f t="shared" si="31"/>
        <v>(nextval('obj_part_id_seq'), (select id from obj_building_v where zip||'|'||street||'|'||name||'|'||volume = '5620|Rathausplatz 1|Rathaus|8051.00'), 'P6', 0, null, 2013,'Fernwärme, Heizung, Kachelofen im Saal'),</v>
      </c>
    </row>
    <row r="2044" spans="1:8" x14ac:dyDescent="0.25">
      <c r="A2044" s="9" t="s">
        <v>2388</v>
      </c>
      <c r="B2044" s="9" t="s">
        <v>1106</v>
      </c>
      <c r="C2044">
        <v>3</v>
      </c>
      <c r="D2044">
        <v>90</v>
      </c>
      <c r="E2044">
        <v>2013</v>
      </c>
      <c r="F2044" s="9" t="s">
        <v>1107</v>
      </c>
      <c r="H2044" s="20" t="str">
        <f t="shared" si="31"/>
        <v>(nextval('obj_part_id_seq'), (select id from obj_building_v where zip||'|'||street||'|'||name||'|'||volume = '5620|Rathausplatz 1|Rathaus|8051.00'), 'P7', 3, 90, 2013,'Radiatoren mit Thermostaten'),</v>
      </c>
    </row>
    <row r="2045" spans="1:8" x14ac:dyDescent="0.25">
      <c r="A2045" s="9" t="s">
        <v>2388</v>
      </c>
      <c r="B2045" s="9" t="s">
        <v>1108</v>
      </c>
      <c r="C2045">
        <v>4</v>
      </c>
      <c r="D2045">
        <v>80</v>
      </c>
      <c r="E2045">
        <v>2013</v>
      </c>
      <c r="F2045" s="9" t="s">
        <v>1772</v>
      </c>
      <c r="H2045" s="20" t="str">
        <f t="shared" si="31"/>
        <v>(nextval('obj_part_id_seq'), (select id from obj_building_v where zip||'|'||street||'|'||name||'|'||volume = '5620|Rathausplatz 1|Rathaus|8051.00'), 'P8', 4, 80, 2013,'Apparate zeitgemäss und ohne Mängel, Rostwasser bei der Dusche im OG'),</v>
      </c>
    </row>
    <row r="2046" spans="1:8" x14ac:dyDescent="0.25">
      <c r="A2046" s="9" t="s">
        <v>2388</v>
      </c>
      <c r="B2046" s="9" t="s">
        <v>1155</v>
      </c>
      <c r="C2046">
        <v>2</v>
      </c>
      <c r="D2046">
        <v>90</v>
      </c>
      <c r="E2046">
        <v>2013</v>
      </c>
      <c r="F2046" s="9" t="s">
        <v>1773</v>
      </c>
      <c r="H2046" s="20" t="str">
        <f t="shared" si="31"/>
        <v>(nextval('obj_part_id_seq'), (select id from obj_building_v where zip||'|'||street||'|'||name||'|'||volume = '5620|Rathausplatz 1|Rathaus|8051.00'), 'P56', 2, 90, 2013,'Personenaufzug keine Mängel bekannt'),</v>
      </c>
    </row>
    <row r="2047" spans="1:8" x14ac:dyDescent="0.25">
      <c r="A2047" s="9" t="s">
        <v>2388</v>
      </c>
      <c r="B2047" s="9" t="s">
        <v>1138</v>
      </c>
      <c r="C2047">
        <v>14</v>
      </c>
      <c r="D2047">
        <v>90</v>
      </c>
      <c r="E2047">
        <v>2013</v>
      </c>
      <c r="F2047" s="9" t="s">
        <v>1774</v>
      </c>
      <c r="H2047" s="20" t="str">
        <f t="shared" si="31"/>
        <v>(nextval('obj_part_id_seq'), (select id from obj_building_v where zip||'|'||street||'|'||name||'|'||volume = '5620|Rathausplatz 1|Rathaus|8051.00'), 'P57', 14, 90, 2013,'neue Teeküche und ältere Küche mit Herd und Backofen, zusätzliche Küche mit GSP in Wohnung, neuere Innentüre zu Dachraum aus Glas-/Metall, div. Einbauten, Glaswände, Metallglastrennwand im EG'),</v>
      </c>
    </row>
    <row r="2048" spans="1:8" x14ac:dyDescent="0.25">
      <c r="A2048" s="9" t="s">
        <v>2388</v>
      </c>
      <c r="B2048" s="9" t="s">
        <v>1140</v>
      </c>
      <c r="C2048">
        <v>8</v>
      </c>
      <c r="D2048">
        <v>80</v>
      </c>
      <c r="E2048">
        <v>2013</v>
      </c>
      <c r="F2048" s="9" t="s">
        <v>1775</v>
      </c>
      <c r="H2048" s="20" t="str">
        <f t="shared" si="31"/>
        <v>(nextval('obj_part_id_seq'), (select id from obj_building_v where zip||'|'||street||'|'||name||'|'||volume = '5620|Rathausplatz 1|Rathaus|8051.00'), 'P58', 8, 80, 2013,'B: Keramik, Teppich, Laminat, Klinker, Naturstein, Holzplatten, Kunststein, Linol, Kugelgarn, W: Verputz, Rauhfasertapete D: Holz, Verputz, abgehängte Akustikdecken'),</v>
      </c>
    </row>
    <row r="2049" spans="1:8" x14ac:dyDescent="0.25">
      <c r="A2049" s="9" t="s">
        <v>2388</v>
      </c>
      <c r="B2049" s="9" t="s">
        <v>1142</v>
      </c>
      <c r="C2049">
        <v>0</v>
      </c>
      <c r="D2049" t="s">
        <v>4080</v>
      </c>
      <c r="E2049">
        <v>2013</v>
      </c>
      <c r="F2049" s="9"/>
      <c r="H2049" s="20" t="str">
        <f t="shared" si="31"/>
        <v>(nextval('obj_part_id_seq'), (select id from obj_building_v where zip||'|'||street||'|'||name||'|'||volume = '5620|Rathausplatz 1|Rathaus|8051.00'), 'P60', 0, null, 2013,null),</v>
      </c>
    </row>
    <row r="2050" spans="1:8" x14ac:dyDescent="0.25">
      <c r="A2050" s="9" t="s">
        <v>2388</v>
      </c>
      <c r="B2050" s="9" t="s">
        <v>1143</v>
      </c>
      <c r="C2050">
        <v>0</v>
      </c>
      <c r="D2050" t="s">
        <v>4080</v>
      </c>
      <c r="E2050">
        <v>2013</v>
      </c>
      <c r="F2050" s="9"/>
      <c r="H2050" s="20" t="str">
        <f t="shared" si="31"/>
        <v>(nextval('obj_part_id_seq'), (select id from obj_building_v where zip||'|'||street||'|'||name||'|'||volume = '5620|Rathausplatz 1|Rathaus|8051.00'), 'P61', 0, null, 2013,null),</v>
      </c>
    </row>
    <row r="2051" spans="1:8" x14ac:dyDescent="0.25">
      <c r="A2051" s="9" t="s">
        <v>2388</v>
      </c>
      <c r="B2051" s="9" t="s">
        <v>1144</v>
      </c>
      <c r="C2051">
        <v>0</v>
      </c>
      <c r="D2051" t="s">
        <v>4080</v>
      </c>
      <c r="E2051">
        <v>2013</v>
      </c>
      <c r="F2051" s="9"/>
      <c r="H2051" s="20" t="str">
        <f t="shared" si="31"/>
        <v>(nextval('obj_part_id_seq'), (select id from obj_building_v where zip||'|'||street||'|'||name||'|'||volume = '5620|Rathausplatz 1|Rathaus|8051.00'), 'P62', 0, null, 2013,null),</v>
      </c>
    </row>
    <row r="2052" spans="1:8" x14ac:dyDescent="0.25">
      <c r="A2052" s="9" t="s">
        <v>2389</v>
      </c>
      <c r="B2052" s="9" t="s">
        <v>1127</v>
      </c>
      <c r="C2052">
        <v>32</v>
      </c>
      <c r="D2052">
        <v>90</v>
      </c>
      <c r="E2052">
        <v>2013</v>
      </c>
      <c r="F2052" s="9" t="s">
        <v>2390</v>
      </c>
      <c r="H2052" s="20" t="str">
        <f t="shared" si="31"/>
        <v>(nextval('obj_part_id_seq'), (select id from obj_building_v where zip||'|'||street||'|'||name||'|'||volume = '5620|Reussgasse 14A|Ortsmuseum|898.00'), 'P48', 32, 90, 2013,'Natursteinmauerwerk mit Holzbalkendecken'),</v>
      </c>
    </row>
    <row r="2053" spans="1:8" x14ac:dyDescent="0.25">
      <c r="A2053" s="9" t="s">
        <v>2389</v>
      </c>
      <c r="B2053" s="9" t="s">
        <v>1129</v>
      </c>
      <c r="C2053">
        <v>0</v>
      </c>
      <c r="D2053" t="s">
        <v>4080</v>
      </c>
      <c r="E2053">
        <v>2013</v>
      </c>
      <c r="F2053" s="9"/>
      <c r="H2053" s="20" t="str">
        <f t="shared" ref="H2053:H2116" si="32">"(nextval('obj_part_id_seq'), (select id from obj_building_v where zip||'|'||street||'|'||name||'|'||volume = '"&amp;A2053&amp;"'), '"&amp;B2053&amp;"', "&amp;C2053&amp;", "&amp;D2053&amp;", "&amp;IF(ISBLANK(E2053),"null",E2053)&amp;","&amp;IF(ISBLANK(F2053),"null","'"&amp;F2053&amp;"'")&amp;"),"</f>
        <v>(nextval('obj_part_id_seq'), (select id from obj_building_v where zip||'|'||street||'|'||name||'|'||volume = '5620|Reussgasse 14A|Ortsmuseum|898.00'), 'P49', 0, null, 2013,null),</v>
      </c>
    </row>
    <row r="2054" spans="1:8" x14ac:dyDescent="0.25">
      <c r="A2054" s="9" t="s">
        <v>2389</v>
      </c>
      <c r="B2054" s="9" t="s">
        <v>1097</v>
      </c>
      <c r="C2054">
        <v>10</v>
      </c>
      <c r="D2054">
        <v>90</v>
      </c>
      <c r="E2054">
        <v>2013</v>
      </c>
      <c r="F2054" s="9" t="s">
        <v>2391</v>
      </c>
      <c r="H2054" s="20" t="str">
        <f t="shared" si="32"/>
        <v>(nextval('obj_part_id_seq'), (select id from obj_building_v where zip||'|'||street||'|'||name||'|'||volume = '5620|Reussgasse 14A|Ortsmuseum|898.00'), 'P2', 10, 90, 2013,'Biberschwanzziegel'),</v>
      </c>
    </row>
    <row r="2055" spans="1:8" x14ac:dyDescent="0.25">
      <c r="A2055" s="9" t="s">
        <v>2389</v>
      </c>
      <c r="B2055" s="9" t="s">
        <v>1099</v>
      </c>
      <c r="C2055">
        <v>0</v>
      </c>
      <c r="D2055" t="s">
        <v>4080</v>
      </c>
      <c r="E2055">
        <v>2013</v>
      </c>
      <c r="F2055" s="9"/>
      <c r="H2055" s="20" t="str">
        <f t="shared" si="32"/>
        <v>(nextval('obj_part_id_seq'), (select id from obj_building_v where zip||'|'||street||'|'||name||'|'||volume = '5620|Reussgasse 14A|Ortsmuseum|898.00'), 'P3', 0, null, 2013,null),</v>
      </c>
    </row>
    <row r="2056" spans="1:8" x14ac:dyDescent="0.25">
      <c r="A2056" s="9" t="s">
        <v>2389</v>
      </c>
      <c r="B2056" s="9" t="s">
        <v>1100</v>
      </c>
      <c r="C2056">
        <v>8</v>
      </c>
      <c r="D2056">
        <v>90</v>
      </c>
      <c r="E2056">
        <v>2013</v>
      </c>
      <c r="F2056" s="9" t="s">
        <v>2381</v>
      </c>
      <c r="H2056" s="20" t="str">
        <f t="shared" si="32"/>
        <v>(nextval('obj_part_id_seq'), (select id from obj_building_v where zip||'|'||street||'|'||name||'|'||volume = '5620|Reussgasse 14A|Ortsmuseum|898.00'), 'P4', 8, 90, 2013,'Natursteinmauerwerk, verputzt mit Natursteingewänden'),</v>
      </c>
    </row>
    <row r="2057" spans="1:8" x14ac:dyDescent="0.25">
      <c r="A2057" s="9" t="s">
        <v>2389</v>
      </c>
      <c r="B2057" s="9" t="s">
        <v>1102</v>
      </c>
      <c r="C2057">
        <v>10</v>
      </c>
      <c r="D2057">
        <v>85</v>
      </c>
      <c r="E2057">
        <v>2013</v>
      </c>
      <c r="F2057" s="9" t="s">
        <v>2392</v>
      </c>
      <c r="H2057" s="20" t="str">
        <f t="shared" si="32"/>
        <v>(nextval('obj_part_id_seq'), (select id from obj_building_v where zip||'|'||street||'|'||name||'|'||volume = '5620|Reussgasse 14A|Ortsmuseum|898.00'), 'P5', 10, 85, 2013,'Holzsprossenfenster mit Doppelverglasung, Holztüre'),</v>
      </c>
    </row>
    <row r="2058" spans="1:8" x14ac:dyDescent="0.25">
      <c r="A2058" s="9" t="s">
        <v>2389</v>
      </c>
      <c r="B2058" s="9" t="s">
        <v>1164</v>
      </c>
      <c r="C2058">
        <v>6</v>
      </c>
      <c r="D2058">
        <v>90</v>
      </c>
      <c r="E2058">
        <v>2013</v>
      </c>
      <c r="F2058" s="9" t="s">
        <v>2393</v>
      </c>
      <c r="H2058" s="20" t="str">
        <f t="shared" si="32"/>
        <v>(nextval('obj_part_id_seq'), (select id from obj_building_v where zip||'|'||street||'|'||name||'|'||volume = '5620|Reussgasse 14A|Ortsmuseum|898.00'), 'P50', 6, 90, 2013,'Sicherungskasten konnte nicht besichtigt werden, Anschlüsse und Leitungen i. O.'),</v>
      </c>
    </row>
    <row r="2059" spans="1:8" x14ac:dyDescent="0.25">
      <c r="A2059" s="9" t="s">
        <v>2389</v>
      </c>
      <c r="B2059" s="9" t="s">
        <v>1166</v>
      </c>
      <c r="C2059">
        <v>2</v>
      </c>
      <c r="D2059">
        <v>90</v>
      </c>
      <c r="E2059">
        <v>2013</v>
      </c>
      <c r="F2059" s="9" t="s">
        <v>2394</v>
      </c>
      <c r="H2059" s="20" t="str">
        <f t="shared" si="32"/>
        <v>(nextval('obj_part_id_seq'), (select id from obj_building_v where zip||'|'||street||'|'||name||'|'||volume = '5620|Reussgasse 14A|Ortsmuseum|898.00'), 'P51', 2, 90, 2013,'Sonnerie, Telefonanschluss'),</v>
      </c>
    </row>
    <row r="2060" spans="1:8" x14ac:dyDescent="0.25">
      <c r="A2060" s="9" t="s">
        <v>2389</v>
      </c>
      <c r="B2060" s="9" t="s">
        <v>1104</v>
      </c>
      <c r="C2060">
        <v>1</v>
      </c>
      <c r="D2060">
        <v>90</v>
      </c>
      <c r="E2060">
        <v>2013</v>
      </c>
      <c r="F2060" s="9" t="s">
        <v>2395</v>
      </c>
      <c r="H2060" s="20" t="str">
        <f t="shared" si="32"/>
        <v>(nextval('obj_part_id_seq'), (select id from obj_building_v where zip||'|'||street||'|'||name||'|'||volume = '5620|Reussgasse 14A|Ortsmuseum|898.00'), 'P6', 1, 90, 2013,'Ölheizung aus den 90er Jahren, keine Mängel bekannt'),</v>
      </c>
    </row>
    <row r="2061" spans="1:8" x14ac:dyDescent="0.25">
      <c r="A2061" s="9" t="s">
        <v>2389</v>
      </c>
      <c r="B2061" s="9" t="s">
        <v>1106</v>
      </c>
      <c r="C2061">
        <v>3</v>
      </c>
      <c r="D2061">
        <v>80</v>
      </c>
      <c r="E2061">
        <v>2013</v>
      </c>
      <c r="F2061" s="9" t="s">
        <v>2396</v>
      </c>
      <c r="H2061" s="20" t="str">
        <f t="shared" si="32"/>
        <v>(nextval('obj_part_id_seq'), (select id from obj_building_v where zip||'|'||street||'|'||name||'|'||volume = '5620|Reussgasse 14A|Ortsmuseum|898.00'), 'P7', 3, 80, 2013,'Heizung ohne Thermostaten'),</v>
      </c>
    </row>
    <row r="2062" spans="1:8" x14ac:dyDescent="0.25">
      <c r="A2062" s="9" t="s">
        <v>2389</v>
      </c>
      <c r="B2062" s="9" t="s">
        <v>1108</v>
      </c>
      <c r="C2062">
        <v>4</v>
      </c>
      <c r="D2062">
        <v>80</v>
      </c>
      <c r="E2062">
        <v>2013</v>
      </c>
      <c r="F2062" s="9" t="s">
        <v>2397</v>
      </c>
      <c r="H2062" s="20" t="str">
        <f t="shared" si="32"/>
        <v>(nextval('obj_part_id_seq'), (select id from obj_building_v where zip||'|'||street||'|'||name||'|'||volume = '5620|Reussgasse 14A|Ortsmuseum|898.00'), 'P8', 4, 80, 2013,'Apparate älter aber funktionstüchtig, ohne Mischgarnituren, Leitungen i. O., genügender Druck vorhanden'),</v>
      </c>
    </row>
    <row r="2063" spans="1:8" x14ac:dyDescent="0.25">
      <c r="A2063" s="9" t="s">
        <v>2389</v>
      </c>
      <c r="B2063" s="9" t="s">
        <v>1155</v>
      </c>
      <c r="C2063">
        <v>0</v>
      </c>
      <c r="D2063" t="s">
        <v>4080</v>
      </c>
      <c r="E2063">
        <v>2013</v>
      </c>
      <c r="F2063" s="9"/>
      <c r="H2063" s="20" t="str">
        <f t="shared" si="32"/>
        <v>(nextval('obj_part_id_seq'), (select id from obj_building_v where zip||'|'||street||'|'||name||'|'||volume = '5620|Reussgasse 14A|Ortsmuseum|898.00'), 'P56', 0, null, 2013,null),</v>
      </c>
    </row>
    <row r="2064" spans="1:8" x14ac:dyDescent="0.25">
      <c r="A2064" s="9" t="s">
        <v>2389</v>
      </c>
      <c r="B2064" s="9" t="s">
        <v>1138</v>
      </c>
      <c r="C2064">
        <v>14</v>
      </c>
      <c r="D2064">
        <v>90</v>
      </c>
      <c r="E2064">
        <v>2013</v>
      </c>
      <c r="F2064" s="9" t="s">
        <v>2398</v>
      </c>
      <c r="H2064" s="20" t="str">
        <f t="shared" si="32"/>
        <v>(nextval('obj_part_id_seq'), (select id from obj_building_v where zip||'|'||street||'|'||name||'|'||volume = '5620|Reussgasse 14A|Ortsmuseum|898.00'), 'P57', 14, 90, 2013,'Treppengeländer aus Metall, Schreinerarbeiten'),</v>
      </c>
    </row>
    <row r="2065" spans="1:8" x14ac:dyDescent="0.25">
      <c r="A2065" s="9" t="s">
        <v>2389</v>
      </c>
      <c r="B2065" s="9" t="s">
        <v>1140</v>
      </c>
      <c r="C2065">
        <v>10</v>
      </c>
      <c r="D2065">
        <v>80</v>
      </c>
      <c r="E2065">
        <v>2013</v>
      </c>
      <c r="F2065" s="9" t="s">
        <v>2399</v>
      </c>
      <c r="H2065" s="20" t="str">
        <f t="shared" si="32"/>
        <v>(nextval('obj_part_id_seq'), (select id from obj_building_v where zip||'|'||street||'|'||name||'|'||volume = '5620|Reussgasse 14A|Ortsmuseum|898.00'), 'P58', 10, 80, 2013,'B: Keramik, W: verputzt, Keramik, D: verputzt, Täfer'),</v>
      </c>
    </row>
    <row r="2066" spans="1:8" x14ac:dyDescent="0.25">
      <c r="A2066" s="9" t="s">
        <v>2389</v>
      </c>
      <c r="B2066" s="9" t="s">
        <v>1142</v>
      </c>
      <c r="C2066">
        <v>0</v>
      </c>
      <c r="D2066" t="s">
        <v>4080</v>
      </c>
      <c r="E2066">
        <v>2013</v>
      </c>
      <c r="F2066" s="9"/>
      <c r="H2066" s="20" t="str">
        <f t="shared" si="32"/>
        <v>(nextval('obj_part_id_seq'), (select id from obj_building_v where zip||'|'||street||'|'||name||'|'||volume = '5620|Reussgasse 14A|Ortsmuseum|898.00'), 'P60', 0, null, 2013,null),</v>
      </c>
    </row>
    <row r="2067" spans="1:8" x14ac:dyDescent="0.25">
      <c r="A2067" s="9" t="s">
        <v>2389</v>
      </c>
      <c r="B2067" s="9" t="s">
        <v>1143</v>
      </c>
      <c r="C2067">
        <v>0</v>
      </c>
      <c r="D2067" t="s">
        <v>4080</v>
      </c>
      <c r="E2067">
        <v>2013</v>
      </c>
      <c r="F2067" s="9"/>
      <c r="H2067" s="20" t="str">
        <f t="shared" si="32"/>
        <v>(nextval('obj_part_id_seq'), (select id from obj_building_v where zip||'|'||street||'|'||name||'|'||volume = '5620|Reussgasse 14A|Ortsmuseum|898.00'), 'P61', 0, null, 2013,null),</v>
      </c>
    </row>
    <row r="2068" spans="1:8" x14ac:dyDescent="0.25">
      <c r="A2068" s="9" t="s">
        <v>2389</v>
      </c>
      <c r="B2068" s="9" t="s">
        <v>1144</v>
      </c>
      <c r="C2068">
        <v>0</v>
      </c>
      <c r="D2068" t="s">
        <v>4080</v>
      </c>
      <c r="E2068">
        <v>2013</v>
      </c>
      <c r="F2068" s="9"/>
      <c r="H2068" s="20" t="str">
        <f t="shared" si="32"/>
        <v>(nextval('obj_part_id_seq'), (select id from obj_building_v where zip||'|'||street||'|'||name||'|'||volume = '5620|Reussgasse 14A|Ortsmuseum|898.00'), 'P62', 0, null, 2013,null),</v>
      </c>
    </row>
    <row r="2069" spans="1:8" x14ac:dyDescent="0.25">
      <c r="A2069" s="9" t="s">
        <v>2400</v>
      </c>
      <c r="B2069" s="9" t="s">
        <v>1127</v>
      </c>
      <c r="C2069">
        <v>68</v>
      </c>
      <c r="D2069">
        <v>70</v>
      </c>
      <c r="E2069">
        <v>2013</v>
      </c>
      <c r="F2069" s="9" t="s">
        <v>2401</v>
      </c>
      <c r="H2069" s="20" t="str">
        <f t="shared" si="32"/>
        <v>(nextval('obj_part_id_seq'), (select id from obj_building_v where zip||'|'||street||'|'||name||'|'||volume = '5620|Rathausplatz 3|Parkgarage|7905.00'), 'P48', 68, 70, 2013,'Stahlbeton, undichte Stellen, rostige Armierungseisen'),</v>
      </c>
    </row>
    <row r="2070" spans="1:8" x14ac:dyDescent="0.25">
      <c r="A2070" s="9" t="s">
        <v>2400</v>
      </c>
      <c r="B2070" s="9" t="s">
        <v>1129</v>
      </c>
      <c r="C2070">
        <v>0</v>
      </c>
      <c r="D2070" t="s">
        <v>4080</v>
      </c>
      <c r="E2070">
        <v>2013</v>
      </c>
      <c r="F2070" s="9"/>
      <c r="H2070" s="20" t="str">
        <f t="shared" si="32"/>
        <v>(nextval('obj_part_id_seq'), (select id from obj_building_v where zip||'|'||street||'|'||name||'|'||volume = '5620|Rathausplatz 3|Parkgarage|7905.00'), 'P49', 0, null, 2013,null),</v>
      </c>
    </row>
    <row r="2071" spans="1:8" x14ac:dyDescent="0.25">
      <c r="A2071" s="9" t="s">
        <v>2400</v>
      </c>
      <c r="B2071" s="9" t="s">
        <v>1099</v>
      </c>
      <c r="C2071">
        <v>20</v>
      </c>
      <c r="D2071">
        <v>70</v>
      </c>
      <c r="E2071">
        <v>2013</v>
      </c>
      <c r="F2071" s="9" t="s">
        <v>2402</v>
      </c>
      <c r="H2071" s="20" t="str">
        <f t="shared" si="32"/>
        <v>(nextval('obj_part_id_seq'), (select id from obj_building_v where zip||'|'||street||'|'||name||'|'||volume = '5620|Rathausplatz 3|Parkgarage|7905.00'), 'P3', 20, 70, 2013,'Flachdach intensiv begrünt, tw. befahrbar (Rampe); undichte Stelle (s. Bem.)'),</v>
      </c>
    </row>
    <row r="2072" spans="1:8" x14ac:dyDescent="0.25">
      <c r="A2072" s="9" t="s">
        <v>2400</v>
      </c>
      <c r="B2072" s="9" t="s">
        <v>1100</v>
      </c>
      <c r="C2072">
        <v>1</v>
      </c>
      <c r="D2072">
        <v>70</v>
      </c>
      <c r="E2072">
        <v>2013</v>
      </c>
      <c r="F2072" s="9" t="s">
        <v>2403</v>
      </c>
      <c r="H2072" s="20" t="str">
        <f t="shared" si="32"/>
        <v>(nextval('obj_part_id_seq'), (select id from obj_building_v where zip||'|'||street||'|'||name||'|'||volume = '5620|Rathausplatz 3|Parkgarage|7905.00'), 'P4', 1, 70, 2013,'Stahlbeton verputzt, im Sockelbereich Risse, durchfeuchtet'),</v>
      </c>
    </row>
    <row r="2073" spans="1:8" x14ac:dyDescent="0.25">
      <c r="A2073" s="9" t="s">
        <v>2400</v>
      </c>
      <c r="B2073" s="9" t="s">
        <v>1102</v>
      </c>
      <c r="C2073">
        <v>1</v>
      </c>
      <c r="D2073">
        <v>90</v>
      </c>
      <c r="E2073">
        <v>2013</v>
      </c>
      <c r="F2073" s="9" t="s">
        <v>2404</v>
      </c>
      <c r="H2073" s="20" t="str">
        <f t="shared" si="32"/>
        <v>(nextval('obj_part_id_seq'), (select id from obj_building_v where zip||'|'||street||'|'||name||'|'||volume = '5620|Rathausplatz 3|Parkgarage|7905.00'), 'P5', 1, 90, 2013,'Garagentor aus Holz, elektrisch'),</v>
      </c>
    </row>
    <row r="2074" spans="1:8" x14ac:dyDescent="0.25">
      <c r="A2074" s="9" t="s">
        <v>2400</v>
      </c>
      <c r="B2074" s="9" t="s">
        <v>1164</v>
      </c>
      <c r="C2074">
        <v>3</v>
      </c>
      <c r="D2074">
        <v>90</v>
      </c>
      <c r="E2074">
        <v>2013</v>
      </c>
      <c r="F2074" s="9" t="s">
        <v>2405</v>
      </c>
      <c r="H2074" s="20" t="str">
        <f t="shared" si="32"/>
        <v>(nextval('obj_part_id_seq'), (select id from obj_building_v where zip||'|'||street||'|'||name||'|'||volume = '5620|Rathausplatz 3|Parkgarage|7905.00'), 'P50', 3, 90, 2013,'Garagenbeleuchtung, Anschlüsse'),</v>
      </c>
    </row>
    <row r="2075" spans="1:8" x14ac:dyDescent="0.25">
      <c r="A2075" s="9" t="s">
        <v>2400</v>
      </c>
      <c r="B2075" s="9" t="s">
        <v>1166</v>
      </c>
      <c r="C2075">
        <v>1</v>
      </c>
      <c r="D2075">
        <v>90</v>
      </c>
      <c r="E2075">
        <v>2013</v>
      </c>
      <c r="F2075" s="9" t="s">
        <v>2406</v>
      </c>
      <c r="H2075" s="20" t="str">
        <f t="shared" si="32"/>
        <v>(nextval('obj_part_id_seq'), (select id from obj_building_v where zip||'|'||street||'|'||name||'|'||volume = '5620|Rathausplatz 3|Parkgarage|7905.00'), 'P51', 1, 90, 2013,'BMA'),</v>
      </c>
    </row>
    <row r="2076" spans="1:8" x14ac:dyDescent="0.25">
      <c r="A2076" s="9" t="s">
        <v>2400</v>
      </c>
      <c r="B2076" s="9" t="s">
        <v>1403</v>
      </c>
      <c r="C2076">
        <v>0</v>
      </c>
      <c r="D2076" t="s">
        <v>4080</v>
      </c>
      <c r="E2076">
        <v>2013</v>
      </c>
      <c r="F2076" s="9"/>
      <c r="H2076" s="20" t="str">
        <f t="shared" si="32"/>
        <v>(nextval('obj_part_id_seq'), (select id from obj_building_v where zip||'|'||street||'|'||name||'|'||volume = '5620|Rathausplatz 3|Parkgarage|7905.00'), 'P52', 0, null, 2013,null),</v>
      </c>
    </row>
    <row r="2077" spans="1:8" x14ac:dyDescent="0.25">
      <c r="A2077" s="9" t="s">
        <v>2400</v>
      </c>
      <c r="B2077" s="9" t="s">
        <v>1404</v>
      </c>
      <c r="C2077">
        <v>0</v>
      </c>
      <c r="D2077" t="s">
        <v>4080</v>
      </c>
      <c r="E2077">
        <v>2013</v>
      </c>
      <c r="F2077" s="9"/>
      <c r="H2077" s="20" t="str">
        <f t="shared" si="32"/>
        <v>(nextval('obj_part_id_seq'), (select id from obj_building_v where zip||'|'||street||'|'||name||'|'||volume = '5620|Rathausplatz 3|Parkgarage|7905.00'), 'P53', 0, null, 2013,null),</v>
      </c>
    </row>
    <row r="2078" spans="1:8" x14ac:dyDescent="0.25">
      <c r="A2078" s="9" t="s">
        <v>2400</v>
      </c>
      <c r="B2078" s="9" t="s">
        <v>1108</v>
      </c>
      <c r="C2078">
        <v>1</v>
      </c>
      <c r="D2078">
        <v>80</v>
      </c>
      <c r="E2078">
        <v>2013</v>
      </c>
      <c r="F2078" s="9" t="s">
        <v>2407</v>
      </c>
      <c r="H2078" s="20" t="str">
        <f t="shared" si="32"/>
        <v>(nextval('obj_part_id_seq'), (select id from obj_building_v where zip||'|'||street||'|'||name||'|'||volume = '5620|Rathausplatz 3|Parkgarage|7905.00'), 'P8', 1, 80, 2013,'Bodenrinnen i.O., Abwasserleitung aus Gusseisen mit Rostflecken'),</v>
      </c>
    </row>
    <row r="2079" spans="1:8" x14ac:dyDescent="0.25">
      <c r="A2079" s="9" t="s">
        <v>2400</v>
      </c>
      <c r="B2079" s="9" t="s">
        <v>1155</v>
      </c>
      <c r="C2079">
        <v>0</v>
      </c>
      <c r="D2079" t="s">
        <v>4080</v>
      </c>
      <c r="E2079">
        <v>2013</v>
      </c>
      <c r="F2079" s="9"/>
      <c r="H2079" s="20" t="str">
        <f t="shared" si="32"/>
        <v>(nextval('obj_part_id_seq'), (select id from obj_building_v where zip||'|'||street||'|'||name||'|'||volume = '5620|Rathausplatz 3|Parkgarage|7905.00'), 'P56', 0, null, 2013,null),</v>
      </c>
    </row>
    <row r="2080" spans="1:8" x14ac:dyDescent="0.25">
      <c r="A2080" s="9" t="s">
        <v>2400</v>
      </c>
      <c r="B2080" s="9" t="s">
        <v>1114</v>
      </c>
      <c r="C2080">
        <v>5</v>
      </c>
      <c r="D2080">
        <v>90</v>
      </c>
      <c r="E2080">
        <v>2013</v>
      </c>
      <c r="F2080" s="9" t="s">
        <v>2408</v>
      </c>
      <c r="H2080" s="20" t="str">
        <f t="shared" si="32"/>
        <v>(nextval('obj_part_id_seq'), (select id from obj_building_v where zip||'|'||street||'|'||name||'|'||volume = '5620|Rathausplatz 3|Parkgarage|7905.00'), 'P11', 5, 90, 2013,'B: Hartbeton, W: Beton und KS roh, D: Beton roh'),</v>
      </c>
    </row>
    <row r="2081" spans="1:8" x14ac:dyDescent="0.25">
      <c r="A2081" s="9" t="s">
        <v>2400</v>
      </c>
      <c r="B2081" s="9" t="s">
        <v>1142</v>
      </c>
      <c r="C2081">
        <v>0</v>
      </c>
      <c r="D2081" t="s">
        <v>4080</v>
      </c>
      <c r="E2081">
        <v>2013</v>
      </c>
      <c r="F2081" s="9"/>
      <c r="H2081" s="20" t="str">
        <f t="shared" si="32"/>
        <v>(nextval('obj_part_id_seq'), (select id from obj_building_v where zip||'|'||street||'|'||name||'|'||volume = '5620|Rathausplatz 3|Parkgarage|7905.00'), 'P60', 0, null, 2013,null),</v>
      </c>
    </row>
    <row r="2082" spans="1:8" x14ac:dyDescent="0.25">
      <c r="A2082" s="9" t="s">
        <v>2400</v>
      </c>
      <c r="B2082" s="9" t="s">
        <v>1143</v>
      </c>
      <c r="C2082">
        <v>0</v>
      </c>
      <c r="D2082" t="s">
        <v>4080</v>
      </c>
      <c r="E2082">
        <v>2013</v>
      </c>
      <c r="F2082" s="9"/>
      <c r="H2082" s="20" t="str">
        <f t="shared" si="32"/>
        <v>(nextval('obj_part_id_seq'), (select id from obj_building_v where zip||'|'||street||'|'||name||'|'||volume = '5620|Rathausplatz 3|Parkgarage|7905.00'), 'P61', 0, null, 2013,null),</v>
      </c>
    </row>
    <row r="2083" spans="1:8" x14ac:dyDescent="0.25">
      <c r="A2083" s="9" t="s">
        <v>2400</v>
      </c>
      <c r="B2083" s="9" t="s">
        <v>1144</v>
      </c>
      <c r="C2083">
        <v>0</v>
      </c>
      <c r="D2083" t="s">
        <v>4080</v>
      </c>
      <c r="E2083">
        <v>2013</v>
      </c>
      <c r="F2083" s="9"/>
      <c r="H2083" s="20" t="str">
        <f t="shared" si="32"/>
        <v>(nextval('obj_part_id_seq'), (select id from obj_building_v where zip||'|'||street||'|'||name||'|'||volume = '5620|Rathausplatz 3|Parkgarage|7905.00'), 'P62', 0, null, 2013,null),</v>
      </c>
    </row>
    <row r="2084" spans="1:8" x14ac:dyDescent="0.25">
      <c r="A2084" s="9" t="s">
        <v>2409</v>
      </c>
      <c r="B2084" s="9" t="s">
        <v>1127</v>
      </c>
      <c r="C2084">
        <v>39</v>
      </c>
      <c r="D2084">
        <v>90</v>
      </c>
      <c r="E2084">
        <v>2013</v>
      </c>
      <c r="F2084" s="9" t="s">
        <v>2410</v>
      </c>
      <c r="H2084" s="20" t="str">
        <f t="shared" si="32"/>
        <v>(nextval('obj_part_id_seq'), (select id from obj_building_v where zip||'|'||street||'|'||name||'|'||volume = '5620|Friedhofstrasse|Friedhofhalle|3334.00'), 'P48', 39, 90, 2013,'Mauerwerk und Stahlbeton, Dach aus Holz'),</v>
      </c>
    </row>
    <row r="2085" spans="1:8" x14ac:dyDescent="0.25">
      <c r="A2085" s="9" t="s">
        <v>2409</v>
      </c>
      <c r="B2085" s="9" t="s">
        <v>1129</v>
      </c>
      <c r="C2085">
        <v>0</v>
      </c>
      <c r="D2085" t="s">
        <v>4080</v>
      </c>
      <c r="E2085">
        <v>2013</v>
      </c>
      <c r="F2085" s="9"/>
      <c r="H2085" s="20" t="str">
        <f t="shared" si="32"/>
        <v>(nextval('obj_part_id_seq'), (select id from obj_building_v where zip||'|'||street||'|'||name||'|'||volume = '5620|Friedhofstrasse|Friedhofhalle|3334.00'), 'P49', 0, null, 2013,null),</v>
      </c>
    </row>
    <row r="2086" spans="1:8" x14ac:dyDescent="0.25">
      <c r="A2086" s="9" t="s">
        <v>2409</v>
      </c>
      <c r="B2086" s="9" t="s">
        <v>1097</v>
      </c>
      <c r="C2086">
        <v>0</v>
      </c>
      <c r="D2086" t="s">
        <v>4080</v>
      </c>
      <c r="E2086">
        <v>2013</v>
      </c>
      <c r="F2086" s="9"/>
      <c r="H2086" s="20" t="str">
        <f t="shared" si="32"/>
        <v>(nextval('obj_part_id_seq'), (select id from obj_building_v where zip||'|'||street||'|'||name||'|'||volume = '5620|Friedhofstrasse|Friedhofhalle|3334.00'), 'P2', 0, null, 2013,null),</v>
      </c>
    </row>
    <row r="2087" spans="1:8" x14ac:dyDescent="0.25">
      <c r="A2087" s="9" t="s">
        <v>2409</v>
      </c>
      <c r="B2087" s="9" t="s">
        <v>1099</v>
      </c>
      <c r="C2087">
        <v>8</v>
      </c>
      <c r="D2087">
        <v>90</v>
      </c>
      <c r="E2087">
        <v>2013</v>
      </c>
      <c r="F2087" s="9" t="s">
        <v>2411</v>
      </c>
      <c r="H2087" s="20" t="str">
        <f t="shared" si="32"/>
        <v>(nextval('obj_part_id_seq'), (select id from obj_building_v where zip||'|'||street||'|'||name||'|'||volume = '5620|Friedhofstrasse|Friedhofhalle|3334.00'), 'P3', 8, 90, 2013,'Foliendach bekiest, Oblichter aus Stahl-/Glas mit Rauchabzug und Cupolux'),</v>
      </c>
    </row>
    <row r="2088" spans="1:8" x14ac:dyDescent="0.25">
      <c r="A2088" s="9" t="s">
        <v>2409</v>
      </c>
      <c r="B2088" s="9" t="s">
        <v>1100</v>
      </c>
      <c r="C2088">
        <v>7</v>
      </c>
      <c r="D2088">
        <v>90</v>
      </c>
      <c r="E2088">
        <v>2013</v>
      </c>
      <c r="F2088" s="9" t="s">
        <v>2412</v>
      </c>
      <c r="H2088" s="20" t="str">
        <f t="shared" si="32"/>
        <v>(nextval('obj_part_id_seq'), (select id from obj_building_v where zip||'|'||street||'|'||name||'|'||volume = '5620|Friedhofstrasse|Friedhofhalle|3334.00'), 'P4', 7, 90, 2013,'Mauerwerk, verputzt und gestrichen, AWD'),</v>
      </c>
    </row>
    <row r="2089" spans="1:8" x14ac:dyDescent="0.25">
      <c r="A2089" s="9" t="s">
        <v>2409</v>
      </c>
      <c r="B2089" s="9" t="s">
        <v>1102</v>
      </c>
      <c r="C2089">
        <v>11</v>
      </c>
      <c r="D2089">
        <v>90</v>
      </c>
      <c r="E2089">
        <v>2013</v>
      </c>
      <c r="F2089" s="9" t="s">
        <v>2413</v>
      </c>
      <c r="H2089" s="20" t="str">
        <f t="shared" si="32"/>
        <v>(nextval('obj_part_id_seq'), (select id from obj_building_v where zip||'|'||street||'|'||name||'|'||volume = '5620|Friedhofstrasse|Friedhofhalle|3334.00'), 'P5', 11, 90, 2013,'Metall, IV, RL-Storen, Metalltüre, Windfang'),</v>
      </c>
    </row>
    <row r="2090" spans="1:8" x14ac:dyDescent="0.25">
      <c r="A2090" s="9" t="s">
        <v>2409</v>
      </c>
      <c r="B2090" s="9" t="s">
        <v>1110</v>
      </c>
      <c r="C2090">
        <v>4</v>
      </c>
      <c r="D2090">
        <v>90</v>
      </c>
      <c r="E2090">
        <v>2013</v>
      </c>
      <c r="F2090" s="9" t="s">
        <v>2414</v>
      </c>
      <c r="H2090" s="20" t="str">
        <f t="shared" si="32"/>
        <v>(nextval('obj_part_id_seq'), (select id from obj_building_v where zip||'|'||street||'|'||name||'|'||volume = '5620|Friedhofstrasse|Friedhofhalle|3334.00'), 'P9', 4, 90, 2013,'Tw. alte Keramiksicherungen (Absicherung jedoch i. O.), Lautsprecher'),</v>
      </c>
    </row>
    <row r="2091" spans="1:8" x14ac:dyDescent="0.25">
      <c r="A2091" s="9" t="s">
        <v>2409</v>
      </c>
      <c r="B2091" s="9" t="s">
        <v>1104</v>
      </c>
      <c r="C2091">
        <v>2</v>
      </c>
      <c r="D2091">
        <v>90</v>
      </c>
      <c r="E2091">
        <v>2013</v>
      </c>
      <c r="F2091" s="9" t="s">
        <v>2415</v>
      </c>
      <c r="H2091" s="20" t="str">
        <f t="shared" si="32"/>
        <v>(nextval('obj_part_id_seq'), (select id from obj_building_v where zip||'|'||street||'|'||name||'|'||volume = '5620|Friedhofstrasse|Friedhofhalle|3334.00'), 'P6', 2, 90, 2013,'Ölheizung (Heizkessel: ''77, Brenner: neuer), Öltank (''77), WW-Boiler'),</v>
      </c>
    </row>
    <row r="2092" spans="1:8" x14ac:dyDescent="0.25">
      <c r="A2092" s="9" t="s">
        <v>2409</v>
      </c>
      <c r="B2092" s="9" t="s">
        <v>1106</v>
      </c>
      <c r="C2092">
        <v>3</v>
      </c>
      <c r="D2092">
        <v>90</v>
      </c>
      <c r="E2092">
        <v>2013</v>
      </c>
      <c r="F2092" s="9" t="s">
        <v>1107</v>
      </c>
      <c r="H2092" s="20" t="str">
        <f t="shared" si="32"/>
        <v>(nextval('obj_part_id_seq'), (select id from obj_building_v where zip||'|'||street||'|'||name||'|'||volume = '5620|Friedhofstrasse|Friedhofhalle|3334.00'), 'P7', 3, 90, 2013,'Radiatoren mit Thermostaten'),</v>
      </c>
    </row>
    <row r="2093" spans="1:8" x14ac:dyDescent="0.25">
      <c r="A2093" s="9" t="s">
        <v>2409</v>
      </c>
      <c r="B2093" s="9" t="s">
        <v>1135</v>
      </c>
      <c r="C2093">
        <v>3</v>
      </c>
      <c r="D2093">
        <v>90</v>
      </c>
      <c r="E2093">
        <v>2013</v>
      </c>
      <c r="F2093" s="9" t="s">
        <v>2118</v>
      </c>
      <c r="H2093" s="20" t="str">
        <f t="shared" si="32"/>
        <v>(nextval('obj_part_id_seq'), (select id from obj_building_v where zip||'|'||street||'|'||name||'|'||volume = '5620|Friedhofstrasse|Friedhofhalle|3334.00'), 'P54', 3, 90, 2013,'Apparate funktionstüchtig'),</v>
      </c>
    </row>
    <row r="2094" spans="1:8" x14ac:dyDescent="0.25">
      <c r="A2094" s="9" t="s">
        <v>2409</v>
      </c>
      <c r="B2094" s="9" t="s">
        <v>1137</v>
      </c>
      <c r="C2094">
        <v>4</v>
      </c>
      <c r="D2094">
        <v>90</v>
      </c>
      <c r="E2094">
        <v>2013</v>
      </c>
      <c r="F2094" s="9" t="s">
        <v>2202</v>
      </c>
      <c r="H2094" s="20" t="str">
        <f t="shared" si="32"/>
        <v>(nextval('obj_part_id_seq'), (select id from obj_building_v where zip||'|'||street||'|'||name||'|'||volume = '5620|Friedhofstrasse|Friedhofhalle|3334.00'), 'P55', 4, 90, 2013,'Genügender Druck vorhanden'),</v>
      </c>
    </row>
    <row r="2095" spans="1:8" x14ac:dyDescent="0.25">
      <c r="A2095" s="9" t="s">
        <v>2409</v>
      </c>
      <c r="B2095" s="9" t="s">
        <v>1155</v>
      </c>
      <c r="C2095">
        <v>0</v>
      </c>
      <c r="D2095" t="s">
        <v>4080</v>
      </c>
      <c r="E2095">
        <v>2013</v>
      </c>
      <c r="F2095" s="9"/>
      <c r="H2095" s="20" t="str">
        <f t="shared" si="32"/>
        <v>(nextval('obj_part_id_seq'), (select id from obj_building_v where zip||'|'||street||'|'||name||'|'||volume = '5620|Friedhofstrasse|Friedhofhalle|3334.00'), 'P56', 0, null, 2013,null),</v>
      </c>
    </row>
    <row r="2096" spans="1:8" x14ac:dyDescent="0.25">
      <c r="A2096" s="9" t="s">
        <v>2409</v>
      </c>
      <c r="B2096" s="9" t="s">
        <v>1138</v>
      </c>
      <c r="C2096">
        <v>9</v>
      </c>
      <c r="D2096">
        <v>90</v>
      </c>
      <c r="E2096">
        <v>2013</v>
      </c>
      <c r="F2096" s="9" t="s">
        <v>2014</v>
      </c>
      <c r="H2096" s="20" t="str">
        <f t="shared" si="32"/>
        <v>(nextval('obj_part_id_seq'), (select id from obj_building_v where zip||'|'||street||'|'||name||'|'||volume = '5620|Friedhofstrasse|Friedhofhalle|3334.00'), 'P57', 9, 90, 2013,'Einbauschränke'),</v>
      </c>
    </row>
    <row r="2097" spans="1:8" x14ac:dyDescent="0.25">
      <c r="A2097" s="9" t="s">
        <v>2409</v>
      </c>
      <c r="B2097" s="9" t="s">
        <v>1140</v>
      </c>
      <c r="C2097">
        <v>8</v>
      </c>
      <c r="D2097">
        <v>90</v>
      </c>
      <c r="E2097">
        <v>2013</v>
      </c>
      <c r="F2097" s="9" t="s">
        <v>2416</v>
      </c>
      <c r="H2097" s="20" t="str">
        <f t="shared" si="32"/>
        <v>(nextval('obj_part_id_seq'), (select id from obj_building_v where zip||'|'||street||'|'||name||'|'||volume = '5620|Friedhofstrasse|Friedhofhalle|3334.00'), 'P58', 8, 90, 2013,'B:Keramik, Teppich, Hartbeton gestrichen W: Verputz, Keramik D: Holz, Beton gestrichen'),</v>
      </c>
    </row>
    <row r="2098" spans="1:8" x14ac:dyDescent="0.25">
      <c r="A2098" s="9" t="s">
        <v>2409</v>
      </c>
      <c r="B2098" s="9" t="s">
        <v>1157</v>
      </c>
      <c r="C2098">
        <v>0</v>
      </c>
      <c r="D2098" t="s">
        <v>4080</v>
      </c>
      <c r="E2098">
        <v>2013</v>
      </c>
      <c r="F2098" s="9"/>
      <c r="H2098" s="20" t="str">
        <f t="shared" si="32"/>
        <v>(nextval('obj_part_id_seq'), (select id from obj_building_v where zip||'|'||street||'|'||name||'|'||volume = '5620|Friedhofstrasse|Friedhofhalle|3334.00'), 'P59', 0, null, 2013,null),</v>
      </c>
    </row>
    <row r="2099" spans="1:8" x14ac:dyDescent="0.25">
      <c r="A2099" s="9" t="s">
        <v>2409</v>
      </c>
      <c r="B2099" s="9" t="s">
        <v>1142</v>
      </c>
      <c r="C2099">
        <v>0</v>
      </c>
      <c r="D2099" t="s">
        <v>4080</v>
      </c>
      <c r="E2099">
        <v>2013</v>
      </c>
      <c r="F2099" s="9"/>
      <c r="H2099" s="20" t="str">
        <f t="shared" si="32"/>
        <v>(nextval('obj_part_id_seq'), (select id from obj_building_v where zip||'|'||street||'|'||name||'|'||volume = '5620|Friedhofstrasse|Friedhofhalle|3334.00'), 'P60', 0, null, 2013,null),</v>
      </c>
    </row>
    <row r="2100" spans="1:8" x14ac:dyDescent="0.25">
      <c r="A2100" s="9" t="s">
        <v>2409</v>
      </c>
      <c r="B2100" s="9" t="s">
        <v>1143</v>
      </c>
      <c r="C2100">
        <v>2</v>
      </c>
      <c r="D2100">
        <v>90</v>
      </c>
      <c r="E2100">
        <v>2013</v>
      </c>
      <c r="F2100" s="9" t="s">
        <v>2417</v>
      </c>
      <c r="H2100" s="20" t="str">
        <f t="shared" si="32"/>
        <v>(nextval('obj_part_id_seq'), (select id from obj_building_v where zip||'|'||street||'|'||name||'|'||volume = '5620|Friedhofstrasse|Friedhofhalle|3334.00'), 'P61', 2, 90, 2013,'Kühlanlage und Umluft-Lüftung Leichenhalle'),</v>
      </c>
    </row>
    <row r="2101" spans="1:8" x14ac:dyDescent="0.25">
      <c r="A2101" s="9" t="s">
        <v>2409</v>
      </c>
      <c r="B2101" s="9" t="s">
        <v>1144</v>
      </c>
      <c r="C2101">
        <v>0</v>
      </c>
      <c r="D2101" t="s">
        <v>4080</v>
      </c>
      <c r="E2101">
        <v>2013</v>
      </c>
      <c r="F2101" s="9"/>
      <c r="H2101" s="20" t="str">
        <f t="shared" si="32"/>
        <v>(nextval('obj_part_id_seq'), (select id from obj_building_v where zip||'|'||street||'|'||name||'|'||volume = '5620|Friedhofstrasse|Friedhofhalle|3334.00'), 'P62', 0, null, 2013,null),</v>
      </c>
    </row>
    <row r="2102" spans="1:8" x14ac:dyDescent="0.25">
      <c r="A2102" s="9" t="s">
        <v>2418</v>
      </c>
      <c r="B2102" s="9" t="s">
        <v>1127</v>
      </c>
      <c r="C2102">
        <v>38</v>
      </c>
      <c r="D2102">
        <v>90</v>
      </c>
      <c r="E2102">
        <v>2016</v>
      </c>
      <c r="F2102" s="9" t="s">
        <v>1192</v>
      </c>
      <c r="H2102" s="20" t="str">
        <f t="shared" si="32"/>
        <v>(nextval('obj_part_id_seq'), (select id from obj_building_v where zip||'|'||street||'|'||name||'|'||volume = '4950|Dornackerweg 6|Zivilschutzanlage|6240.00'), 'P48', 38, 90, 2016,'Stahlbeton'),</v>
      </c>
    </row>
    <row r="2103" spans="1:8" x14ac:dyDescent="0.25">
      <c r="A2103" s="9" t="s">
        <v>2418</v>
      </c>
      <c r="B2103" s="9" t="s">
        <v>1099</v>
      </c>
      <c r="C2103">
        <v>10</v>
      </c>
      <c r="D2103">
        <v>90</v>
      </c>
      <c r="E2103">
        <v>2016</v>
      </c>
      <c r="F2103" s="9" t="s">
        <v>2419</v>
      </c>
      <c r="H2103" s="20" t="str">
        <f t="shared" si="32"/>
        <v>(nextval('obj_part_id_seq'), (select id from obj_building_v where zip||'|'||street||'|'||name||'|'||volume = '4950|Dornackerweg 6|Zivilschutzanlage|6240.00'), 'P3', 10, 90, 2016,'Extensivbegrünung'),</v>
      </c>
    </row>
    <row r="2104" spans="1:8" x14ac:dyDescent="0.25">
      <c r="A2104" s="9" t="s">
        <v>2418</v>
      </c>
      <c r="B2104" s="9" t="s">
        <v>1102</v>
      </c>
      <c r="C2104">
        <v>2</v>
      </c>
      <c r="D2104">
        <v>85</v>
      </c>
      <c r="E2104">
        <v>2016</v>
      </c>
      <c r="F2104" s="9" t="s">
        <v>2420</v>
      </c>
      <c r="H2104" s="20" t="str">
        <f t="shared" si="32"/>
        <v>(nextval('obj_part_id_seq'), (select id from obj_building_v where zip||'|'||street||'|'||name||'|'||volume = '4950|Dornackerweg 6|Zivilschutzanlage|6240.00'), 'P5', 2, 85, 2016,'Panzertüre'),</v>
      </c>
    </row>
    <row r="2105" spans="1:8" x14ac:dyDescent="0.25">
      <c r="A2105" s="9" t="s">
        <v>2418</v>
      </c>
      <c r="B2105" s="9" t="s">
        <v>1110</v>
      </c>
      <c r="C2105">
        <v>8</v>
      </c>
      <c r="D2105">
        <v>85</v>
      </c>
      <c r="E2105">
        <v>2016</v>
      </c>
      <c r="F2105" s="9" t="s">
        <v>2421</v>
      </c>
      <c r="H2105" s="20" t="str">
        <f t="shared" si="32"/>
        <v>(nextval('obj_part_id_seq'), (select id from obj_building_v where zip||'|'||street||'|'||name||'|'||volume = '4950|Dornackerweg 6|Zivilschutzanlage|6240.00'), 'P9', 8, 85, 2016,'Notstromaggregat, Ladestation, Beleuchtung, alte Keramiksicherungen vorhanden'),</v>
      </c>
    </row>
    <row r="2106" spans="1:8" x14ac:dyDescent="0.25">
      <c r="A2106" s="9" t="s">
        <v>2418</v>
      </c>
      <c r="B2106" s="9" t="s">
        <v>1104</v>
      </c>
      <c r="C2106">
        <v>3</v>
      </c>
      <c r="D2106">
        <v>90</v>
      </c>
      <c r="E2106">
        <v>2016</v>
      </c>
      <c r="F2106" s="9" t="s">
        <v>2422</v>
      </c>
      <c r="H2106" s="20" t="str">
        <f t="shared" si="32"/>
        <v>(nextval('obj_part_id_seq'), (select id from obj_building_v where zip||'|'||street||'|'||name||'|'||volume = '4950|Dornackerweg 6|Zivilschutzanlage|6240.00'), 'P6', 3, 90, 2016,'Ölheizung, Elektroboiler'),</v>
      </c>
    </row>
    <row r="2107" spans="1:8" x14ac:dyDescent="0.25">
      <c r="A2107" s="9" t="s">
        <v>2418</v>
      </c>
      <c r="B2107" s="9" t="s">
        <v>1106</v>
      </c>
      <c r="C2107">
        <v>2</v>
      </c>
      <c r="D2107">
        <v>90</v>
      </c>
      <c r="E2107">
        <v>2016</v>
      </c>
      <c r="F2107" s="9" t="s">
        <v>2423</v>
      </c>
      <c r="H2107" s="20" t="str">
        <f t="shared" si="32"/>
        <v>(nextval('obj_part_id_seq'), (select id from obj_building_v where zip||'|'||street||'|'||name||'|'||volume = '4950|Dornackerweg 6|Zivilschutzanlage|6240.00'), 'P7', 2, 90, 2016,'über Lüftung'),</v>
      </c>
    </row>
    <row r="2108" spans="1:8" x14ac:dyDescent="0.25">
      <c r="A2108" s="9" t="s">
        <v>2418</v>
      </c>
      <c r="B2108" s="9" t="s">
        <v>1403</v>
      </c>
      <c r="C2108">
        <v>4</v>
      </c>
      <c r="D2108">
        <v>80</v>
      </c>
      <c r="E2108">
        <v>2016</v>
      </c>
      <c r="F2108" s="9" t="s">
        <v>2424</v>
      </c>
      <c r="H2108" s="20" t="str">
        <f t="shared" si="32"/>
        <v>(nextval('obj_part_id_seq'), (select id from obj_building_v where zip||'|'||street||'|'||name||'|'||volume = '4950|Dornackerweg 6|Zivilschutzanlage|6240.00'), 'P52', 4, 80, 2016,'Lüftungsaggregate'),</v>
      </c>
    </row>
    <row r="2109" spans="1:8" x14ac:dyDescent="0.25">
      <c r="A2109" s="9" t="s">
        <v>2418</v>
      </c>
      <c r="B2109" s="9" t="s">
        <v>1404</v>
      </c>
      <c r="C2109">
        <v>2</v>
      </c>
      <c r="D2109">
        <v>80</v>
      </c>
      <c r="E2109">
        <v>2016</v>
      </c>
      <c r="F2109" s="9" t="s">
        <v>2425</v>
      </c>
      <c r="H2109" s="20" t="str">
        <f t="shared" si="32"/>
        <v>(nextval('obj_part_id_seq'), (select id from obj_building_v where zip||'|'||street||'|'||name||'|'||volume = '4950|Dornackerweg 6|Zivilschutzanlage|6240.00'), 'P53', 2, 80, 2016,'Lüftungsrohre'),</v>
      </c>
    </row>
    <row r="2110" spans="1:8" x14ac:dyDescent="0.25">
      <c r="A2110" s="9" t="s">
        <v>2418</v>
      </c>
      <c r="B2110" s="9" t="s">
        <v>1135</v>
      </c>
      <c r="C2110">
        <v>3</v>
      </c>
      <c r="D2110">
        <v>90</v>
      </c>
      <c r="E2110">
        <v>2016</v>
      </c>
      <c r="F2110" s="9" t="s">
        <v>2426</v>
      </c>
      <c r="H2110" s="20" t="str">
        <f t="shared" si="32"/>
        <v>(nextval('obj_part_id_seq'), (select id from obj_building_v where zip||'|'||street||'|'||name||'|'||volume = '4950|Dornackerweg 6|Zivilschutzanlage|6240.00'), 'P54', 3, 90, 2016,'Tw. keine Mischventile vorhanden, ansonsten sind keine Mängel bekannt'),</v>
      </c>
    </row>
    <row r="2111" spans="1:8" x14ac:dyDescent="0.25">
      <c r="A2111" s="9" t="s">
        <v>2418</v>
      </c>
      <c r="B2111" s="9" t="s">
        <v>1137</v>
      </c>
      <c r="C2111">
        <v>3</v>
      </c>
      <c r="D2111">
        <v>90</v>
      </c>
      <c r="E2111">
        <v>2016</v>
      </c>
      <c r="F2111" s="9" t="s">
        <v>1218</v>
      </c>
      <c r="H2111" s="20" t="str">
        <f t="shared" si="32"/>
        <v>(nextval('obj_part_id_seq'), (select id from obj_building_v where zip||'|'||street||'|'||name||'|'||volume = '4950|Dornackerweg 6|Zivilschutzanlage|6240.00'), 'P55', 3, 90, 2016,'Keine Mängel bekannt'),</v>
      </c>
    </row>
    <row r="2112" spans="1:8" x14ac:dyDescent="0.25">
      <c r="A2112" s="9" t="s">
        <v>2418</v>
      </c>
      <c r="B2112" s="9" t="s">
        <v>1112</v>
      </c>
      <c r="C2112">
        <v>3</v>
      </c>
      <c r="D2112">
        <v>90</v>
      </c>
      <c r="E2112">
        <v>2016</v>
      </c>
      <c r="F2112" s="9"/>
      <c r="H2112" s="20" t="str">
        <f t="shared" si="32"/>
        <v>(nextval('obj_part_id_seq'), (select id from obj_building_v where zip||'|'||street||'|'||name||'|'||volume = '4950|Dornackerweg 6|Zivilschutzanlage|6240.00'), 'P10', 3, 90, 2016,null),</v>
      </c>
    </row>
    <row r="2113" spans="1:8" x14ac:dyDescent="0.25">
      <c r="A2113" s="9" t="s">
        <v>2418</v>
      </c>
      <c r="B2113" s="9" t="s">
        <v>1138</v>
      </c>
      <c r="C2113">
        <v>10</v>
      </c>
      <c r="D2113">
        <v>90</v>
      </c>
      <c r="E2113">
        <v>2016</v>
      </c>
      <c r="F2113" s="9" t="s">
        <v>2427</v>
      </c>
      <c r="H2113" s="20" t="str">
        <f t="shared" si="32"/>
        <v>(nextval('obj_part_id_seq'), (select id from obj_building_v where zip||'|'||street||'|'||name||'|'||volume = '4950|Dornackerweg 6|Zivilschutzanlage|6240.00'), 'P57', 10, 90, 2016,'Garderoben'),</v>
      </c>
    </row>
    <row r="2114" spans="1:8" x14ac:dyDescent="0.25">
      <c r="A2114" s="9" t="s">
        <v>2418</v>
      </c>
      <c r="B2114" s="9" t="s">
        <v>1140</v>
      </c>
      <c r="C2114">
        <v>8</v>
      </c>
      <c r="D2114">
        <v>90</v>
      </c>
      <c r="E2114">
        <v>2016</v>
      </c>
      <c r="F2114" s="9" t="s">
        <v>2428</v>
      </c>
      <c r="H2114" s="20" t="str">
        <f t="shared" si="32"/>
        <v>(nextval('obj_part_id_seq'), (select id from obj_building_v where zip||'|'||street||'|'||name||'|'||volume = '4950|Dornackerweg 6|Zivilschutzanlage|6240.00'), 'P58', 8, 90, 2016,'B: Beton gestrichen, Keramik, Teppich, W+D: Beton gestrichen'),</v>
      </c>
    </row>
    <row r="2115" spans="1:8" x14ac:dyDescent="0.25">
      <c r="A2115" s="9" t="s">
        <v>2418</v>
      </c>
      <c r="B2115" s="9" t="s">
        <v>1157</v>
      </c>
      <c r="C2115">
        <v>4</v>
      </c>
      <c r="D2115">
        <v>90</v>
      </c>
      <c r="E2115">
        <v>2016</v>
      </c>
      <c r="F2115" s="9" t="s">
        <v>2429</v>
      </c>
      <c r="H2115" s="20" t="str">
        <f t="shared" si="32"/>
        <v>(nextval('obj_part_id_seq'), (select id from obj_building_v where zip||'|'||street||'|'||name||'|'||volume = '4950|Dornackerweg 6|Zivilschutzanlage|6240.00'), 'P59', 4, 90, 2016,'Gastronomieküche'),</v>
      </c>
    </row>
    <row r="2116" spans="1:8" x14ac:dyDescent="0.25">
      <c r="A2116" s="9" t="s">
        <v>2418</v>
      </c>
      <c r="B2116" s="9" t="s">
        <v>1142</v>
      </c>
      <c r="C2116">
        <v>0</v>
      </c>
      <c r="D2116" t="s">
        <v>4080</v>
      </c>
      <c r="E2116">
        <v>2016</v>
      </c>
      <c r="F2116" s="9"/>
      <c r="H2116" s="20" t="str">
        <f t="shared" si="32"/>
        <v>(nextval('obj_part_id_seq'), (select id from obj_building_v where zip||'|'||street||'|'||name||'|'||volume = '4950|Dornackerweg 6|Zivilschutzanlage|6240.00'), 'P60', 0, null, 2016,null),</v>
      </c>
    </row>
    <row r="2117" spans="1:8" x14ac:dyDescent="0.25">
      <c r="A2117" s="9" t="s">
        <v>2418</v>
      </c>
      <c r="B2117" s="9" t="s">
        <v>1143</v>
      </c>
      <c r="C2117">
        <v>0</v>
      </c>
      <c r="D2117" t="s">
        <v>4080</v>
      </c>
      <c r="E2117">
        <v>2016</v>
      </c>
      <c r="F2117" s="9"/>
      <c r="H2117" s="20" t="str">
        <f t="shared" ref="H2117:H2180" si="33">"(nextval('obj_part_id_seq'), (select id from obj_building_v where zip||'|'||street||'|'||name||'|'||volume = '"&amp;A2117&amp;"'), '"&amp;B2117&amp;"', "&amp;C2117&amp;", "&amp;D2117&amp;", "&amp;IF(ISBLANK(E2117),"null",E2117)&amp;","&amp;IF(ISBLANK(F2117),"null","'"&amp;F2117&amp;"'")&amp;"),"</f>
        <v>(nextval('obj_part_id_seq'), (select id from obj_building_v where zip||'|'||street||'|'||name||'|'||volume = '4950|Dornackerweg 6|Zivilschutzanlage|6240.00'), 'P61', 0, null, 2016,null),</v>
      </c>
    </row>
    <row r="2118" spans="1:8" x14ac:dyDescent="0.25">
      <c r="A2118" s="9" t="s">
        <v>2418</v>
      </c>
      <c r="B2118" s="9" t="s">
        <v>1144</v>
      </c>
      <c r="C2118">
        <v>0</v>
      </c>
      <c r="D2118" t="s">
        <v>4080</v>
      </c>
      <c r="E2118">
        <v>2016</v>
      </c>
      <c r="F2118" s="9"/>
      <c r="H2118" s="20" t="str">
        <f t="shared" si="33"/>
        <v>(nextval('obj_part_id_seq'), (select id from obj_building_v where zip||'|'||street||'|'||name||'|'||volume = '4950|Dornackerweg 6|Zivilschutzanlage|6240.00'), 'P62', 0, null, 2016,null),</v>
      </c>
    </row>
    <row r="2119" spans="1:8" x14ac:dyDescent="0.25">
      <c r="A2119" s="9" t="s">
        <v>2430</v>
      </c>
      <c r="B2119" s="9" t="s">
        <v>1127</v>
      </c>
      <c r="C2119">
        <v>41</v>
      </c>
      <c r="D2119">
        <v>85</v>
      </c>
      <c r="E2119">
        <v>2015</v>
      </c>
      <c r="F2119" s="9" t="s">
        <v>2431</v>
      </c>
      <c r="H2119" s="20" t="str">
        <f t="shared" si="33"/>
        <v>(nextval('obj_part_id_seq'), (select id from obj_building_v where zip||'|'||street||'|'||name||'|'||volume = '8468|Mülibachstrasse 18|Schulhaus mit Turnhalle|10153.00'), 'P48', 41, 85, 2015,'Mauerwerk, Stahlbeton-Firstpfette'),</v>
      </c>
    </row>
    <row r="2120" spans="1:8" x14ac:dyDescent="0.25">
      <c r="A2120" s="9" t="s">
        <v>2430</v>
      </c>
      <c r="B2120" s="9" t="s">
        <v>1129</v>
      </c>
      <c r="C2120">
        <v>0</v>
      </c>
      <c r="D2120" t="s">
        <v>4080</v>
      </c>
      <c r="E2120">
        <v>2015</v>
      </c>
      <c r="F2120" s="9"/>
      <c r="H2120" s="20" t="str">
        <f t="shared" si="33"/>
        <v>(nextval('obj_part_id_seq'), (select id from obj_building_v where zip||'|'||street||'|'||name||'|'||volume = '8468|Mülibachstrasse 18|Schulhaus mit Turnhalle|10153.00'), 'P49', 0, null, 2015,null),</v>
      </c>
    </row>
    <row r="2121" spans="1:8" x14ac:dyDescent="0.25">
      <c r="A2121" s="9" t="s">
        <v>2430</v>
      </c>
      <c r="B2121" s="9" t="s">
        <v>1097</v>
      </c>
      <c r="C2121">
        <v>8</v>
      </c>
      <c r="D2121">
        <v>80</v>
      </c>
      <c r="E2121">
        <v>2015</v>
      </c>
      <c r="F2121" s="9" t="s">
        <v>2432</v>
      </c>
      <c r="H2121" s="20" t="str">
        <f t="shared" si="33"/>
        <v>(nextval('obj_part_id_seq'), (select id from obj_building_v where zip||'|'||street||'|'||name||'|'||volume = '8468|Mülibachstrasse 18|Schulhaus mit Turnhalle|10153.00'), 'P2', 8, 80, 2015,'Eternitschindeldach (asbesthaltig), Unterdach aus Eternit, Dach SH und TH neu: Kupferabschluss inkl. Dachrinne, Dampfsperre'),</v>
      </c>
    </row>
    <row r="2122" spans="1:8" x14ac:dyDescent="0.25">
      <c r="A2122" s="9" t="s">
        <v>2430</v>
      </c>
      <c r="B2122" s="9" t="s">
        <v>1099</v>
      </c>
      <c r="C2122">
        <v>0</v>
      </c>
      <c r="D2122" t="s">
        <v>4080</v>
      </c>
      <c r="E2122">
        <v>2015</v>
      </c>
      <c r="F2122" s="9"/>
      <c r="H2122" s="20" t="str">
        <f t="shared" si="33"/>
        <v>(nextval('obj_part_id_seq'), (select id from obj_building_v where zip||'|'||street||'|'||name||'|'||volume = '8468|Mülibachstrasse 18|Schulhaus mit Turnhalle|10153.00'), 'P3', 0, null, 2015,null),</v>
      </c>
    </row>
    <row r="2123" spans="1:8" x14ac:dyDescent="0.25">
      <c r="A2123" s="9" t="s">
        <v>2430</v>
      </c>
      <c r="B2123" s="9" t="s">
        <v>1100</v>
      </c>
      <c r="C2123">
        <v>7</v>
      </c>
      <c r="D2123">
        <v>80</v>
      </c>
      <c r="E2123">
        <v>2015</v>
      </c>
      <c r="F2123" s="9" t="s">
        <v>2433</v>
      </c>
      <c r="H2123" s="20" t="str">
        <f t="shared" si="33"/>
        <v>(nextval('obj_part_id_seq'), (select id from obj_building_v where zip||'|'||street||'|'||name||'|'||volume = '8468|Mülibachstrasse 18|Schulhaus mit Turnhalle|10153.00'), 'P4', 7, 80, 2015,'Mauerwerk verputzt, Fluchttüre mit Drehknopf i.O. (&lt;50 Pers.)'),</v>
      </c>
    </row>
    <row r="2124" spans="1:8" x14ac:dyDescent="0.25">
      <c r="A2124" s="9" t="s">
        <v>2430</v>
      </c>
      <c r="B2124" s="9" t="s">
        <v>1102</v>
      </c>
      <c r="C2124">
        <v>10</v>
      </c>
      <c r="D2124">
        <v>85</v>
      </c>
      <c r="E2124">
        <v>2015</v>
      </c>
      <c r="F2124" s="9" t="s">
        <v>2434</v>
      </c>
      <c r="H2124" s="20" t="str">
        <f t="shared" si="33"/>
        <v>(nextval('obj_part_id_seq'), (select id from obj_building_v where zip||'|'||street||'|'||name||'|'||volume = '8468|Mülibachstrasse 18|Schulhaus mit Turnhalle|10153.00'), 'P5', 10, 85, 2015,'Holz-/Metallfenster (''97), tw. (''09), 3-fach verglast, Aussentüre aus Metall, HW-Wg.: doppelverglaste Holzfenster (''70) mit Rollläden, Türe zu Turnhalle sowie Tore Geräteräume neu, 3 neue Aussentüren von Geräteraum zu Aussenbereich, Dachfenster neu elektr'),</v>
      </c>
    </row>
    <row r="2125" spans="1:8" x14ac:dyDescent="0.25">
      <c r="A2125" s="9" t="s">
        <v>2430</v>
      </c>
      <c r="B2125" s="9" t="s">
        <v>1164</v>
      </c>
      <c r="C2125">
        <v>6</v>
      </c>
      <c r="D2125">
        <v>80</v>
      </c>
      <c r="E2125">
        <v>2015</v>
      </c>
      <c r="F2125" s="9" t="s">
        <v>2435</v>
      </c>
      <c r="H2125" s="20" t="str">
        <f t="shared" si="33"/>
        <v>(nextval('obj_part_id_seq'), (select id from obj_building_v where zip||'|'||street||'|'||name||'|'||volume = '8468|Mülibachstrasse 18|Schulhaus mit Turnhalle|10153.00'), 'P50', 6, 80, 2015,'Beleuchtung (''97), Audioanlage Turnhalle, Bühnentechnik veraltet'),</v>
      </c>
    </row>
    <row r="2126" spans="1:8" x14ac:dyDescent="0.25">
      <c r="A2126" s="9" t="s">
        <v>2430</v>
      </c>
      <c r="B2126" s="9" t="s">
        <v>1166</v>
      </c>
      <c r="C2126">
        <v>1</v>
      </c>
      <c r="D2126">
        <v>90</v>
      </c>
      <c r="E2126">
        <v>2015</v>
      </c>
      <c r="F2126" s="9" t="s">
        <v>2436</v>
      </c>
      <c r="H2126" s="20" t="str">
        <f t="shared" si="33"/>
        <v>(nextval('obj_part_id_seq'), (select id from obj_building_v where zip||'|'||street||'|'||name||'|'||volume = '8468|Mülibachstrasse 18|Schulhaus mit Turnhalle|10153.00'), 'P51', 1, 90, 2015,'Schwachstrominst. neu inkl. EDV, Gong'),</v>
      </c>
    </row>
    <row r="2127" spans="1:8" x14ac:dyDescent="0.25">
      <c r="A2127" s="9" t="s">
        <v>2430</v>
      </c>
      <c r="B2127" s="9" t="s">
        <v>1104</v>
      </c>
      <c r="C2127">
        <v>1</v>
      </c>
      <c r="D2127">
        <v>90</v>
      </c>
      <c r="E2127">
        <v>2015</v>
      </c>
      <c r="F2127" s="9" t="s">
        <v>2437</v>
      </c>
      <c r="H2127" s="20" t="str">
        <f t="shared" si="33"/>
        <v>(nextval('obj_part_id_seq'), (select id from obj_building_v where zip||'|'||street||'|'||name||'|'||volume = '8468|Mülibachstrasse 18|Schulhaus mit Turnhalle|10153.00'), 'P6', 1, 90, 2015,'Holzschnitzelheizung'),</v>
      </c>
    </row>
    <row r="2128" spans="1:8" x14ac:dyDescent="0.25">
      <c r="A2128" s="9" t="s">
        <v>2430</v>
      </c>
      <c r="B2128" s="9" t="s">
        <v>1106</v>
      </c>
      <c r="C2128">
        <v>3</v>
      </c>
      <c r="D2128">
        <v>85</v>
      </c>
      <c r="E2128">
        <v>2015</v>
      </c>
      <c r="F2128" s="9" t="s">
        <v>2438</v>
      </c>
      <c r="H2128" s="20" t="str">
        <f t="shared" si="33"/>
        <v>(nextval('obj_part_id_seq'), (select id from obj_building_v where zip||'|'||street||'|'||name||'|'||volume = '8468|Mülibachstrasse 18|Schulhaus mit Turnhalle|10153.00'), 'P7', 3, 85, 2015,'Heizkörper mit Thermostaten'),</v>
      </c>
    </row>
    <row r="2129" spans="1:8" x14ac:dyDescent="0.25">
      <c r="A2129" s="9" t="s">
        <v>2430</v>
      </c>
      <c r="B2129" s="9" t="s">
        <v>1108</v>
      </c>
      <c r="C2129">
        <v>4</v>
      </c>
      <c r="D2129">
        <v>90</v>
      </c>
      <c r="E2129">
        <v>2015</v>
      </c>
      <c r="F2129" s="9" t="s">
        <v>2439</v>
      </c>
      <c r="H2129" s="20" t="str">
        <f t="shared" si="33"/>
        <v>(nextval('obj_part_id_seq'), (select id from obj_building_v where zip||'|'||street||'|'||name||'|'||volume = '8468|Mülibachstrasse 18|Schulhaus mit Turnhalle|10153.00'), 'P8', 4, 90, 2015,'Sanitäranlagen wurden saniert, Wände (PU-Belag direkt auf alte Platten) und Boden fugenlos, Pissoirs inkl. Spülung, Schimmelproblem in Duschen behoben mit Lüftung in Decke, spezielle Duschköpfe (verkalken nicht)'),</v>
      </c>
    </row>
    <row r="2130" spans="1:8" x14ac:dyDescent="0.25">
      <c r="A2130" s="9" t="s">
        <v>2430</v>
      </c>
      <c r="B2130" s="9" t="s">
        <v>1138</v>
      </c>
      <c r="C2130">
        <v>11</v>
      </c>
      <c r="D2130">
        <v>85</v>
      </c>
      <c r="E2130">
        <v>2015</v>
      </c>
      <c r="F2130" s="9" t="s">
        <v>2440</v>
      </c>
      <c r="H2130" s="20" t="str">
        <f t="shared" si="33"/>
        <v>(nextval('obj_part_id_seq'), (select id from obj_building_v where zip||'|'||street||'|'||name||'|'||volume = '8468|Mülibachstrasse 18|Schulhaus mit Turnhalle|10153.00'), 'P57', 11, 85, 2015,'Arbeitssimse, Innenwand mit Holzelementen, Holz-/Glas-Trennwand, Küche Lehrerzimmer'),</v>
      </c>
    </row>
    <row r="2131" spans="1:8" x14ac:dyDescent="0.25">
      <c r="A2131" s="9" t="s">
        <v>2430</v>
      </c>
      <c r="B2131" s="9" t="s">
        <v>1140</v>
      </c>
      <c r="C2131">
        <v>8</v>
      </c>
      <c r="D2131">
        <v>80</v>
      </c>
      <c r="E2131">
        <v>2015</v>
      </c>
      <c r="F2131" s="9" t="s">
        <v>2441</v>
      </c>
      <c r="H2131" s="20" t="str">
        <f t="shared" si="33"/>
        <v>(nextval('obj_part_id_seq'), (select id from obj_building_v where zip||'|'||street||'|'||name||'|'||volume = '8468|Mülibachstrasse 18|Schulhaus mit Turnhalle|10153.00'), 'P58', 8, 80, 2015,'B: Polyurethan (KZ), Keramik, Linol, Kunststein, Parkett W: Verputz (Holzplatten entfernt und neu gestrichen), Glasfasertapeten D: wurde neu gemacht wegen Brandschutz, LED Lampen'),</v>
      </c>
    </row>
    <row r="2132" spans="1:8" x14ac:dyDescent="0.25">
      <c r="A2132" s="9" t="s">
        <v>2430</v>
      </c>
      <c r="B2132" s="9" t="s">
        <v>1142</v>
      </c>
      <c r="C2132">
        <v>0</v>
      </c>
      <c r="D2132" t="s">
        <v>4080</v>
      </c>
      <c r="E2132">
        <v>2015</v>
      </c>
      <c r="F2132" s="9"/>
      <c r="H2132" s="20" t="str">
        <f t="shared" si="33"/>
        <v>(nextval('obj_part_id_seq'), (select id from obj_building_v where zip||'|'||street||'|'||name||'|'||volume = '8468|Mülibachstrasse 18|Schulhaus mit Turnhalle|10153.00'), 'P60', 0, null, 2015,null),</v>
      </c>
    </row>
    <row r="2133" spans="1:8" x14ac:dyDescent="0.25">
      <c r="A2133" s="9" t="s">
        <v>2430</v>
      </c>
      <c r="B2133" s="9" t="s">
        <v>1143</v>
      </c>
      <c r="C2133">
        <v>0</v>
      </c>
      <c r="D2133" t="s">
        <v>4080</v>
      </c>
      <c r="E2133">
        <v>2015</v>
      </c>
      <c r="F2133" s="9"/>
      <c r="H2133" s="20" t="str">
        <f t="shared" si="33"/>
        <v>(nextval('obj_part_id_seq'), (select id from obj_building_v where zip||'|'||street||'|'||name||'|'||volume = '8468|Mülibachstrasse 18|Schulhaus mit Turnhalle|10153.00'), 'P61', 0, null, 2015,null),</v>
      </c>
    </row>
    <row r="2134" spans="1:8" x14ac:dyDescent="0.25">
      <c r="A2134" s="9" t="s">
        <v>2430</v>
      </c>
      <c r="B2134" s="9" t="s">
        <v>1144</v>
      </c>
      <c r="C2134">
        <v>0</v>
      </c>
      <c r="D2134" t="s">
        <v>4080</v>
      </c>
      <c r="E2134">
        <v>2015</v>
      </c>
      <c r="F2134" s="9"/>
      <c r="H2134" s="20" t="str">
        <f t="shared" si="33"/>
        <v>(nextval('obj_part_id_seq'), (select id from obj_building_v where zip||'|'||street||'|'||name||'|'||volume = '8468|Mülibachstrasse 18|Schulhaus mit Turnhalle|10153.00'), 'P62', 0, null, 2015,null),</v>
      </c>
    </row>
    <row r="2135" spans="1:8" x14ac:dyDescent="0.25">
      <c r="A2135" s="9" t="s">
        <v>2442</v>
      </c>
      <c r="B2135" s="9" t="s">
        <v>1127</v>
      </c>
      <c r="C2135">
        <v>27</v>
      </c>
      <c r="D2135">
        <v>85</v>
      </c>
      <c r="E2135">
        <v>2015</v>
      </c>
      <c r="F2135" s="9" t="s">
        <v>2443</v>
      </c>
      <c r="H2135" s="20" t="str">
        <f t="shared" si="33"/>
        <v>(nextval('obj_part_id_seq'), (select id from obj_building_v where zip||'|'||street||'|'||name||'|'||volume = '8468|Mülibachstrasse 20|Haus Mülibach|2224.00'), 'P48', 27, 85, 2015,'Mauerwerk, kl. Risse vorhanden'),</v>
      </c>
    </row>
    <row r="2136" spans="1:8" x14ac:dyDescent="0.25">
      <c r="A2136" s="9" t="s">
        <v>2442</v>
      </c>
      <c r="B2136" s="9" t="s">
        <v>1129</v>
      </c>
      <c r="C2136">
        <v>0</v>
      </c>
      <c r="D2136" t="s">
        <v>4080</v>
      </c>
      <c r="E2136">
        <v>2015</v>
      </c>
      <c r="F2136" s="9"/>
      <c r="H2136" s="20" t="str">
        <f t="shared" si="33"/>
        <v>(nextval('obj_part_id_seq'), (select id from obj_building_v where zip||'|'||street||'|'||name||'|'||volume = '8468|Mülibachstrasse 20|Haus Mülibach|2224.00'), 'P49', 0, null, 2015,null),</v>
      </c>
    </row>
    <row r="2137" spans="1:8" x14ac:dyDescent="0.25">
      <c r="A2137" s="9" t="s">
        <v>2442</v>
      </c>
      <c r="B2137" s="9" t="s">
        <v>1097</v>
      </c>
      <c r="C2137">
        <v>15</v>
      </c>
      <c r="D2137">
        <v>60</v>
      </c>
      <c r="E2137">
        <v>2015</v>
      </c>
      <c r="F2137" s="9" t="s">
        <v>2444</v>
      </c>
      <c r="H2137" s="20" t="str">
        <f t="shared" si="33"/>
        <v>(nextval('obj_part_id_seq'), (select id from obj_building_v where zip||'|'||street||'|'||name||'|'||volume = '8468|Mülibachstrasse 20|Haus Mülibach|2224.00'), 'P2', 15, 60, 2015,'Falzziegel, tw. undicht, Unterdach aus Holz, Vordach aus Glas'),</v>
      </c>
    </row>
    <row r="2138" spans="1:8" x14ac:dyDescent="0.25">
      <c r="A2138" s="9" t="s">
        <v>2442</v>
      </c>
      <c r="B2138" s="9" t="s">
        <v>1099</v>
      </c>
      <c r="C2138">
        <v>4</v>
      </c>
      <c r="D2138">
        <v>0</v>
      </c>
      <c r="E2138">
        <v>2015</v>
      </c>
      <c r="F2138" s="9"/>
      <c r="H2138" s="20" t="str">
        <f t="shared" si="33"/>
        <v>(nextval('obj_part_id_seq'), (select id from obj_building_v where zip||'|'||street||'|'||name||'|'||volume = '8468|Mülibachstrasse 20|Haus Mülibach|2224.00'), 'P3', 4, 0, 2015,null),</v>
      </c>
    </row>
    <row r="2139" spans="1:8" x14ac:dyDescent="0.25">
      <c r="A2139" s="9" t="s">
        <v>2442</v>
      </c>
      <c r="B2139" s="9" t="s">
        <v>1100</v>
      </c>
      <c r="C2139">
        <v>8</v>
      </c>
      <c r="D2139">
        <v>80</v>
      </c>
      <c r="E2139">
        <v>2015</v>
      </c>
      <c r="F2139" s="9" t="s">
        <v>2445</v>
      </c>
      <c r="H2139" s="20" t="str">
        <f t="shared" si="33"/>
        <v>(nextval('obj_part_id_seq'), (select id from obj_building_v where zip||'|'||street||'|'||name||'|'||volume = '8468|Mülibachstrasse 20|Haus Mülibach|2224.00'), 'P4', 8, 80, 2015,'Mauerwerk verputzt, Fassade schmutzig'),</v>
      </c>
    </row>
    <row r="2140" spans="1:8" x14ac:dyDescent="0.25">
      <c r="A2140" s="9" t="s">
        <v>2442</v>
      </c>
      <c r="B2140" s="9" t="s">
        <v>1102</v>
      </c>
      <c r="C2140">
        <v>14</v>
      </c>
      <c r="D2140">
        <v>65</v>
      </c>
      <c r="E2140">
        <v>2015</v>
      </c>
      <c r="F2140" s="9" t="s">
        <v>2446</v>
      </c>
      <c r="H2140" s="20" t="str">
        <f t="shared" si="33"/>
        <v>(nextval('obj_part_id_seq'), (select id from obj_building_v where zip||'|'||street||'|'||name||'|'||volume = '8468|Mülibachstrasse 20|Haus Mülibach|2224.00'), 'P5', 14, 65, 2015,'IV (''95), Holzfenster, doppelverglast mit Holzläden; Fenster sind undicht (Wasser kondensiert, Fliegen können rein kommen, Dichtung sehr schlecht) auch die neueren Fenster (''04) sind in schlechtem Zustand'),</v>
      </c>
    </row>
    <row r="2141" spans="1:8" x14ac:dyDescent="0.25">
      <c r="A2141" s="9" t="s">
        <v>2442</v>
      </c>
      <c r="B2141" s="9" t="s">
        <v>1110</v>
      </c>
      <c r="C2141">
        <v>4</v>
      </c>
      <c r="D2141">
        <v>85</v>
      </c>
      <c r="E2141">
        <v>2015</v>
      </c>
      <c r="F2141" s="9" t="s">
        <v>2447</v>
      </c>
      <c r="H2141" s="20" t="str">
        <f t="shared" si="33"/>
        <v>(nextval('obj_part_id_seq'), (select id from obj_building_v where zip||'|'||street||'|'||name||'|'||volume = '8468|Mülibachstrasse 20|Haus Mülibach|2224.00'), 'P9', 4, 85, 2015,'neue Verkabelung sowie Draht und Sicherungskasten ersetzt, asbesthaltige Grundplatte bei Elektrotableau wurde entfernt'),</v>
      </c>
    </row>
    <row r="2142" spans="1:8" x14ac:dyDescent="0.25">
      <c r="A2142" s="9" t="s">
        <v>2442</v>
      </c>
      <c r="B2142" s="9" t="s">
        <v>1104</v>
      </c>
      <c r="C2142">
        <v>1</v>
      </c>
      <c r="D2142">
        <v>90</v>
      </c>
      <c r="E2142">
        <v>2015</v>
      </c>
      <c r="F2142" s="9" t="s">
        <v>2448</v>
      </c>
      <c r="H2142" s="20" t="str">
        <f t="shared" si="33"/>
        <v>(nextval('obj_part_id_seq'), (select id from obj_building_v where zip||'|'||street||'|'||name||'|'||volume = '8468|Mülibachstrasse 20|Haus Mülibach|2224.00'), 'P6', 1, 90, 2015,'Fernwärme, El-Boiler'),</v>
      </c>
    </row>
    <row r="2143" spans="1:8" x14ac:dyDescent="0.25">
      <c r="A2143" s="9" t="s">
        <v>2442</v>
      </c>
      <c r="B2143" s="9" t="s">
        <v>1106</v>
      </c>
      <c r="C2143">
        <v>3</v>
      </c>
      <c r="D2143">
        <v>85</v>
      </c>
      <c r="E2143">
        <v>2015</v>
      </c>
      <c r="F2143" s="9" t="s">
        <v>1107</v>
      </c>
      <c r="H2143" s="20" t="str">
        <f t="shared" si="33"/>
        <v>(nextval('obj_part_id_seq'), (select id from obj_building_v where zip||'|'||street||'|'||name||'|'||volume = '8468|Mülibachstrasse 20|Haus Mülibach|2224.00'), 'P7', 3, 85, 2015,'Radiatoren mit Thermostaten'),</v>
      </c>
    </row>
    <row r="2144" spans="1:8" x14ac:dyDescent="0.25">
      <c r="A2144" s="9" t="s">
        <v>2442</v>
      </c>
      <c r="B2144" s="9" t="s">
        <v>1135</v>
      </c>
      <c r="C2144">
        <v>1</v>
      </c>
      <c r="D2144">
        <v>85</v>
      </c>
      <c r="E2144">
        <v>2015</v>
      </c>
      <c r="F2144" s="9" t="s">
        <v>2449</v>
      </c>
      <c r="H2144" s="20" t="str">
        <f t="shared" si="33"/>
        <v>(nextval('obj_part_id_seq'), (select id from obj_building_v where zip||'|'||street||'|'||name||'|'||volume = '8468|Mülibachstrasse 20|Haus Mülibach|2224.00'), 'P54', 1, 85, 2015,'WM / WT'),</v>
      </c>
    </row>
    <row r="2145" spans="1:8" x14ac:dyDescent="0.25">
      <c r="A2145" s="9" t="s">
        <v>2442</v>
      </c>
      <c r="B2145" s="9" t="s">
        <v>1137</v>
      </c>
      <c r="C2145">
        <v>3</v>
      </c>
      <c r="D2145">
        <v>85</v>
      </c>
      <c r="E2145">
        <v>2015</v>
      </c>
      <c r="F2145" s="9" t="s">
        <v>2450</v>
      </c>
      <c r="H2145" s="20" t="str">
        <f t="shared" si="33"/>
        <v>(nextval('obj_part_id_seq'), (select id from obj_building_v where zip||'|'||street||'|'||name||'|'||volume = '8468|Mülibachstrasse 20|Haus Mülibach|2224.00'), 'P55', 3, 85, 2015,'intakt'),</v>
      </c>
    </row>
    <row r="2146" spans="1:8" x14ac:dyDescent="0.25">
      <c r="A2146" s="9" t="s">
        <v>2442</v>
      </c>
      <c r="B2146" s="9" t="s">
        <v>1138</v>
      </c>
      <c r="C2146">
        <v>17</v>
      </c>
      <c r="D2146">
        <v>80</v>
      </c>
      <c r="E2146">
        <v>2015</v>
      </c>
      <c r="F2146" s="9" t="s">
        <v>2451</v>
      </c>
      <c r="H2146" s="20" t="str">
        <f t="shared" si="33"/>
        <v>(nextval('obj_part_id_seq'), (select id from obj_building_v where zip||'|'||street||'|'||name||'|'||volume = '8468|Mülibachstrasse 20|Haus Mülibach|2224.00'), 'P57', 17, 80, 2015,'Einbauschränke, Holzrahmentüre, Riss im Grundputz, 1 Küche sehr klein (zweckmässig), 1 Küche mit normaler Ausstattung, Lampen im WC und Korridor (''16)'),</v>
      </c>
    </row>
    <row r="2147" spans="1:8" x14ac:dyDescent="0.25">
      <c r="A2147" s="9" t="s">
        <v>2442</v>
      </c>
      <c r="B2147" s="9" t="s">
        <v>1140</v>
      </c>
      <c r="C2147">
        <v>3</v>
      </c>
      <c r="D2147">
        <v>85</v>
      </c>
      <c r="E2147">
        <v>2015</v>
      </c>
      <c r="F2147" s="9" t="s">
        <v>2452</v>
      </c>
      <c r="H2147" s="20" t="str">
        <f t="shared" si="33"/>
        <v>(nextval('obj_part_id_seq'), (select id from obj_building_v where zip||'|'||street||'|'||name||'|'||volume = '8468|Mülibachstrasse 20|Haus Mülibach|2224.00'), 'P58', 3, 85, 2015,'B: Linol, Naturstein, PVC, Teppich, Keramik W: Verputz (Riss), Glasfasertapete, D: Pavatex, Holz, Gips, Verputz, Akustikdecke\nWohnung: Laminat, Wände gestrichen'),</v>
      </c>
    </row>
    <row r="2148" spans="1:8" x14ac:dyDescent="0.25">
      <c r="A2148" s="9" t="s">
        <v>2442</v>
      </c>
      <c r="B2148" s="9" t="s">
        <v>1142</v>
      </c>
      <c r="C2148">
        <v>0</v>
      </c>
      <c r="D2148" t="s">
        <v>4080</v>
      </c>
      <c r="E2148">
        <v>2015</v>
      </c>
      <c r="F2148" s="9"/>
      <c r="H2148" s="20" t="str">
        <f t="shared" si="33"/>
        <v>(nextval('obj_part_id_seq'), (select id from obj_building_v where zip||'|'||street||'|'||name||'|'||volume = '8468|Mülibachstrasse 20|Haus Mülibach|2224.00'), 'P60', 0, null, 2015,null),</v>
      </c>
    </row>
    <row r="2149" spans="1:8" x14ac:dyDescent="0.25">
      <c r="A2149" s="9" t="s">
        <v>2442</v>
      </c>
      <c r="B2149" s="9" t="s">
        <v>1143</v>
      </c>
      <c r="C2149">
        <v>0</v>
      </c>
      <c r="D2149" t="s">
        <v>4080</v>
      </c>
      <c r="E2149">
        <v>2015</v>
      </c>
      <c r="F2149" s="9"/>
      <c r="H2149" s="20" t="str">
        <f t="shared" si="33"/>
        <v>(nextval('obj_part_id_seq'), (select id from obj_building_v where zip||'|'||street||'|'||name||'|'||volume = '8468|Mülibachstrasse 20|Haus Mülibach|2224.00'), 'P61', 0, null, 2015,null),</v>
      </c>
    </row>
    <row r="2150" spans="1:8" x14ac:dyDescent="0.25">
      <c r="A2150" s="9" t="s">
        <v>2442</v>
      </c>
      <c r="B2150" s="9" t="s">
        <v>1144</v>
      </c>
      <c r="C2150">
        <v>0</v>
      </c>
      <c r="D2150" t="s">
        <v>4080</v>
      </c>
      <c r="E2150">
        <v>2015</v>
      </c>
      <c r="F2150" s="9"/>
      <c r="H2150" s="20" t="str">
        <f t="shared" si="33"/>
        <v>(nextval('obj_part_id_seq'), (select id from obj_building_v where zip||'|'||street||'|'||name||'|'||volume = '8468|Mülibachstrasse 20|Haus Mülibach|2224.00'), 'P62', 0, null, 2015,null),</v>
      </c>
    </row>
    <row r="2151" spans="1:8" x14ac:dyDescent="0.25">
      <c r="A2151" s="9" t="s">
        <v>2453</v>
      </c>
      <c r="B2151" s="9" t="s">
        <v>1127</v>
      </c>
      <c r="C2151">
        <v>33</v>
      </c>
      <c r="D2151">
        <v>90</v>
      </c>
      <c r="E2151">
        <v>2015</v>
      </c>
      <c r="F2151" s="9" t="s">
        <v>2454</v>
      </c>
      <c r="H2151" s="20" t="str">
        <f t="shared" si="33"/>
        <v>(nextval('obj_part_id_seq'), (select id from obj_building_v where zip||'|'||street||'|'||name||'|'||volume = '8476|Unterdorf 10|Wohnhaus mit Schopf|1381.00'), 'P48', 33, 90, 2015,'Mauerwerk, verputzt, Dachstuhl intakt'),</v>
      </c>
    </row>
    <row r="2152" spans="1:8" x14ac:dyDescent="0.25">
      <c r="A2152" s="9" t="s">
        <v>2453</v>
      </c>
      <c r="B2152" s="9" t="s">
        <v>1129</v>
      </c>
      <c r="C2152">
        <v>0</v>
      </c>
      <c r="D2152" t="s">
        <v>4080</v>
      </c>
      <c r="E2152">
        <v>2015</v>
      </c>
      <c r="F2152" s="9"/>
      <c r="H2152" s="20" t="str">
        <f t="shared" si="33"/>
        <v>(nextval('obj_part_id_seq'), (select id from obj_building_v where zip||'|'||street||'|'||name||'|'||volume = '8476|Unterdorf 10|Wohnhaus mit Schopf|1381.00'), 'P49', 0, null, 2015,null),</v>
      </c>
    </row>
    <row r="2153" spans="1:8" x14ac:dyDescent="0.25">
      <c r="A2153" s="9" t="s">
        <v>2453</v>
      </c>
      <c r="B2153" s="9" t="s">
        <v>1097</v>
      </c>
      <c r="C2153">
        <v>13</v>
      </c>
      <c r="D2153">
        <v>90</v>
      </c>
      <c r="E2153">
        <v>2015</v>
      </c>
      <c r="F2153" s="9" t="s">
        <v>2455</v>
      </c>
      <c r="H2153" s="20" t="str">
        <f t="shared" si="33"/>
        <v>(nextval('obj_part_id_seq'), (select id from obj_building_v where zip||'|'||street||'|'||name||'|'||volume = '8476|Unterdorf 10|Wohnhaus mit Schopf|1381.00'), 'P2', 13, 90, 2015,'Falzziegeldach, ohne sichtbare Schäden'),</v>
      </c>
    </row>
    <row r="2154" spans="1:8" x14ac:dyDescent="0.25">
      <c r="A2154" s="9" t="s">
        <v>2453</v>
      </c>
      <c r="B2154" s="9" t="s">
        <v>1099</v>
      </c>
      <c r="C2154">
        <v>0</v>
      </c>
      <c r="D2154" t="s">
        <v>4080</v>
      </c>
      <c r="E2154">
        <v>2015</v>
      </c>
      <c r="F2154" s="9"/>
      <c r="H2154" s="20" t="str">
        <f t="shared" si="33"/>
        <v>(nextval('obj_part_id_seq'), (select id from obj_building_v where zip||'|'||street||'|'||name||'|'||volume = '8476|Unterdorf 10|Wohnhaus mit Schopf|1381.00'), 'P3', 0, null, 2015,null),</v>
      </c>
    </row>
    <row r="2155" spans="1:8" x14ac:dyDescent="0.25">
      <c r="A2155" s="9" t="s">
        <v>2453</v>
      </c>
      <c r="B2155" s="9" t="s">
        <v>1100</v>
      </c>
      <c r="C2155">
        <v>8</v>
      </c>
      <c r="D2155">
        <v>80</v>
      </c>
      <c r="E2155">
        <v>2015</v>
      </c>
      <c r="F2155" s="9" t="s">
        <v>2456</v>
      </c>
      <c r="H2155" s="20" t="str">
        <f t="shared" si="33"/>
        <v>(nextval('obj_part_id_seq'), (select id from obj_building_v where zip||'|'||street||'|'||name||'|'||volume = '8476|Unterdorf 10|Wohnhaus mit Schopf|1381.00'), 'P4', 8, 80, 2015,'Mauerwerk, ungedämmt, Garagentor, einz. Risse'),</v>
      </c>
    </row>
    <row r="2156" spans="1:8" x14ac:dyDescent="0.25">
      <c r="A2156" s="9" t="s">
        <v>2453</v>
      </c>
      <c r="B2156" s="9" t="s">
        <v>1102</v>
      </c>
      <c r="C2156">
        <v>13</v>
      </c>
      <c r="D2156">
        <v>90</v>
      </c>
      <c r="E2156">
        <v>2015</v>
      </c>
      <c r="F2156" s="9" t="s">
        <v>2457</v>
      </c>
      <c r="H2156" s="20" t="str">
        <f t="shared" si="33"/>
        <v>(nextval('obj_part_id_seq'), (select id from obj_building_v where zip||'|'||street||'|'||name||'|'||volume = '8476|Unterdorf 10|Wohnhaus mit Schopf|1381.00'), 'P5', 13, 90, 2015,'Holz/Metall, (''02), Holz DV alt'),</v>
      </c>
    </row>
    <row r="2157" spans="1:8" x14ac:dyDescent="0.25">
      <c r="A2157" s="9" t="s">
        <v>2453</v>
      </c>
      <c r="B2157" s="9" t="s">
        <v>1110</v>
      </c>
      <c r="C2157">
        <v>3</v>
      </c>
      <c r="D2157">
        <v>50</v>
      </c>
      <c r="E2157">
        <v>2015</v>
      </c>
      <c r="F2157" s="9" t="s">
        <v>2458</v>
      </c>
      <c r="H2157" s="20" t="str">
        <f t="shared" si="33"/>
        <v>(nextval('obj_part_id_seq'), (select id from obj_building_v where zip||'|'||street||'|'||name||'|'||volume = '8476|Unterdorf 10|Wohnhaus mit Schopf|1381.00'), 'P9', 3, 50, 2015,'alte Keramiksicherungen kein Fl Schalter im Treppenhaus'),</v>
      </c>
    </row>
    <row r="2158" spans="1:8" x14ac:dyDescent="0.25">
      <c r="A2158" s="9" t="s">
        <v>2453</v>
      </c>
      <c r="B2158" s="9" t="s">
        <v>1104</v>
      </c>
      <c r="C2158">
        <v>1</v>
      </c>
      <c r="D2158">
        <v>90</v>
      </c>
      <c r="E2158">
        <v>2015</v>
      </c>
      <c r="F2158" s="9" t="s">
        <v>1235</v>
      </c>
      <c r="H2158" s="20" t="str">
        <f t="shared" si="33"/>
        <v>(nextval('obj_part_id_seq'), (select id from obj_building_v where zip||'|'||street||'|'||name||'|'||volume = '8476|Unterdorf 10|Wohnhaus mit Schopf|1381.00'), 'P6', 1, 90, 2015,'Fernwärme'),</v>
      </c>
    </row>
    <row r="2159" spans="1:8" x14ac:dyDescent="0.25">
      <c r="A2159" s="9" t="s">
        <v>2453</v>
      </c>
      <c r="B2159" s="9" t="s">
        <v>1106</v>
      </c>
      <c r="C2159">
        <v>3</v>
      </c>
      <c r="D2159">
        <v>90</v>
      </c>
      <c r="E2159">
        <v>2015</v>
      </c>
      <c r="F2159" s="9" t="s">
        <v>2438</v>
      </c>
      <c r="H2159" s="20" t="str">
        <f t="shared" si="33"/>
        <v>(nextval('obj_part_id_seq'), (select id from obj_building_v where zip||'|'||street||'|'||name||'|'||volume = '8476|Unterdorf 10|Wohnhaus mit Schopf|1381.00'), 'P7', 3, 90, 2015,'Heizkörper mit Thermostaten'),</v>
      </c>
    </row>
    <row r="2160" spans="1:8" x14ac:dyDescent="0.25">
      <c r="A2160" s="9" t="s">
        <v>2453</v>
      </c>
      <c r="B2160" s="9" t="s">
        <v>1135</v>
      </c>
      <c r="C2160">
        <v>2</v>
      </c>
      <c r="D2160">
        <v>70</v>
      </c>
      <c r="E2160">
        <v>2015</v>
      </c>
      <c r="F2160" s="9" t="s">
        <v>2459</v>
      </c>
      <c r="H2160" s="20" t="str">
        <f t="shared" si="33"/>
        <v>(nextval('obj_part_id_seq'), (select id from obj_building_v where zip||'|'||street||'|'||name||'|'||volume = '8476|Unterdorf 10|Wohnhaus mit Schopf|1381.00'), 'P54', 2, 70, 2015,'alte Apparate, Warmwasser / WT ca. 5-jährig'),</v>
      </c>
    </row>
    <row r="2161" spans="1:8" x14ac:dyDescent="0.25">
      <c r="A2161" s="9" t="s">
        <v>2453</v>
      </c>
      <c r="B2161" s="9" t="s">
        <v>1137</v>
      </c>
      <c r="C2161">
        <v>4</v>
      </c>
      <c r="D2161">
        <v>70</v>
      </c>
      <c r="E2161">
        <v>2015</v>
      </c>
      <c r="F2161" s="9" t="s">
        <v>2460</v>
      </c>
      <c r="H2161" s="20" t="str">
        <f t="shared" si="33"/>
        <v>(nextval('obj_part_id_seq'), (select id from obj_building_v where zip||'|'||street||'|'||name||'|'||volume = '8476|Unterdorf 10|Wohnhaus mit Schopf|1381.00'), 'P55', 4, 70, 2015,'alte Leitungen, tw. neu'),</v>
      </c>
    </row>
    <row r="2162" spans="1:8" x14ac:dyDescent="0.25">
      <c r="A2162" s="9" t="s">
        <v>2453</v>
      </c>
      <c r="B2162" s="9" t="s">
        <v>1138</v>
      </c>
      <c r="C2162">
        <v>10</v>
      </c>
      <c r="D2162">
        <v>80</v>
      </c>
      <c r="E2162">
        <v>2015</v>
      </c>
      <c r="F2162" s="9" t="s">
        <v>2461</v>
      </c>
      <c r="H2162" s="20" t="str">
        <f t="shared" si="33"/>
        <v>(nextval('obj_part_id_seq'), (select id from obj_building_v where zip||'|'||street||'|'||name||'|'||volume = '8476|Unterdorf 10|Wohnhaus mit Schopf|1381.00'), 'P57', 10, 80, 2015,'Holztüren, Einbauschränke, Fenstersimse aus Holz, Vorhangbretter, Holztreppen'),</v>
      </c>
    </row>
    <row r="2163" spans="1:8" x14ac:dyDescent="0.25">
      <c r="A2163" s="9" t="s">
        <v>2453</v>
      </c>
      <c r="B2163" s="9" t="s">
        <v>1140</v>
      </c>
      <c r="C2163">
        <v>6</v>
      </c>
      <c r="D2163">
        <v>85</v>
      </c>
      <c r="E2163">
        <v>2015</v>
      </c>
      <c r="F2163" s="9" t="s">
        <v>2462</v>
      </c>
      <c r="H2163" s="20" t="str">
        <f t="shared" si="33"/>
        <v>(nextval('obj_part_id_seq'), (select id from obj_building_v where zip||'|'||street||'|'||name||'|'||volume = '8476|Unterdorf 10|Wohnhaus mit Schopf|1381.00'), 'P58', 6, 85, 2015,'B: Laminat, Teppich, Parkett, PVC W: Verputz, Keramik, D: Verputz, Holz'),</v>
      </c>
    </row>
    <row r="2164" spans="1:8" x14ac:dyDescent="0.25">
      <c r="A2164" s="9" t="s">
        <v>2453</v>
      </c>
      <c r="B2164" s="9" t="s">
        <v>1157</v>
      </c>
      <c r="C2164">
        <v>4</v>
      </c>
      <c r="D2164">
        <v>20</v>
      </c>
      <c r="E2164">
        <v>2015</v>
      </c>
      <c r="F2164" s="9" t="s">
        <v>2463</v>
      </c>
      <c r="H2164" s="20" t="str">
        <f t="shared" si="33"/>
        <v>(nextval('obj_part_id_seq'), (select id from obj_building_v where zip||'|'||street||'|'||name||'|'||volume = '8476|Unterdorf 10|Wohnhaus mit Schopf|1381.00'), 'P59', 4, 20, 2015,'alte Geräte, Einbauten aus Holz'),</v>
      </c>
    </row>
    <row r="2165" spans="1:8" x14ac:dyDescent="0.25">
      <c r="A2165" s="9" t="s">
        <v>2453</v>
      </c>
      <c r="B2165" s="9" t="s">
        <v>1142</v>
      </c>
      <c r="C2165">
        <v>0</v>
      </c>
      <c r="D2165" t="s">
        <v>4080</v>
      </c>
      <c r="E2165">
        <v>2015</v>
      </c>
      <c r="F2165" s="9"/>
      <c r="H2165" s="20" t="str">
        <f t="shared" si="33"/>
        <v>(nextval('obj_part_id_seq'), (select id from obj_building_v where zip||'|'||street||'|'||name||'|'||volume = '8476|Unterdorf 10|Wohnhaus mit Schopf|1381.00'), 'P60', 0, null, 2015,null),</v>
      </c>
    </row>
    <row r="2166" spans="1:8" x14ac:dyDescent="0.25">
      <c r="A2166" s="9" t="s">
        <v>2453</v>
      </c>
      <c r="B2166" s="9" t="s">
        <v>1143</v>
      </c>
      <c r="C2166">
        <v>0</v>
      </c>
      <c r="D2166" t="s">
        <v>4080</v>
      </c>
      <c r="E2166">
        <v>2015</v>
      </c>
      <c r="F2166" s="9"/>
      <c r="H2166" s="20" t="str">
        <f t="shared" si="33"/>
        <v>(nextval('obj_part_id_seq'), (select id from obj_building_v where zip||'|'||street||'|'||name||'|'||volume = '8476|Unterdorf 10|Wohnhaus mit Schopf|1381.00'), 'P61', 0, null, 2015,null),</v>
      </c>
    </row>
    <row r="2167" spans="1:8" x14ac:dyDescent="0.25">
      <c r="A2167" s="9" t="s">
        <v>2453</v>
      </c>
      <c r="B2167" s="9" t="s">
        <v>1144</v>
      </c>
      <c r="C2167">
        <v>0</v>
      </c>
      <c r="D2167" t="s">
        <v>4080</v>
      </c>
      <c r="E2167">
        <v>2015</v>
      </c>
      <c r="F2167" s="9"/>
      <c r="H2167" s="20" t="str">
        <f t="shared" si="33"/>
        <v>(nextval('obj_part_id_seq'), (select id from obj_building_v where zip||'|'||street||'|'||name||'|'||volume = '8476|Unterdorf 10|Wohnhaus mit Schopf|1381.00'), 'P62', 0, null, 2015,null),</v>
      </c>
    </row>
    <row r="2168" spans="1:8" x14ac:dyDescent="0.25">
      <c r="A2168" s="9" t="s">
        <v>2464</v>
      </c>
      <c r="B2168" s="9" t="s">
        <v>1127</v>
      </c>
      <c r="C2168">
        <v>38</v>
      </c>
      <c r="D2168">
        <v>85</v>
      </c>
      <c r="E2168">
        <v>2015</v>
      </c>
      <c r="F2168" s="9" t="s">
        <v>1369</v>
      </c>
      <c r="H2168" s="20" t="str">
        <f t="shared" si="33"/>
        <v>(nextval('obj_part_id_seq'), (select id from obj_building_v where zip||'|'||street||'|'||name||'|'||volume = '8476|Bahnhofstrasse 7|Turnhalle|9813.00'), 'P48', 38, 85, 2015,'Stahlbeton, Mauerwerk'),</v>
      </c>
    </row>
    <row r="2169" spans="1:8" x14ac:dyDescent="0.25">
      <c r="A2169" s="9" t="s">
        <v>2464</v>
      </c>
      <c r="B2169" s="9" t="s">
        <v>1129</v>
      </c>
      <c r="C2169">
        <v>0</v>
      </c>
      <c r="D2169">
        <v>90</v>
      </c>
      <c r="E2169">
        <v>2015</v>
      </c>
      <c r="F2169" s="9" t="s">
        <v>2465</v>
      </c>
      <c r="H2169" s="20" t="str">
        <f t="shared" si="33"/>
        <v>(nextval('obj_part_id_seq'), (select id from obj_building_v where zip||'|'||street||'|'||name||'|'||volume = '8476|Bahnhofstrasse 7|Turnhalle|9813.00'), 'P49', 0, 90, 2015,'neue Dämmung (Zellulose) beim Dach gemacht, übrige Dachkonstruktion (Holz) in sehr gutem Zustand gem. Herrn B. Frei'),</v>
      </c>
    </row>
    <row r="2170" spans="1:8" x14ac:dyDescent="0.25">
      <c r="A2170" s="9" t="s">
        <v>2464</v>
      </c>
      <c r="B2170" s="9" t="s">
        <v>1097</v>
      </c>
      <c r="C2170">
        <v>13</v>
      </c>
      <c r="D2170">
        <v>80</v>
      </c>
      <c r="E2170">
        <v>2015</v>
      </c>
      <c r="F2170" s="9" t="s">
        <v>2466</v>
      </c>
      <c r="H2170" s="20" t="str">
        <f t="shared" si="33"/>
        <v>(nextval('obj_part_id_seq'), (select id from obj_building_v where zip||'|'||street||'|'||name||'|'||volume = '8476|Bahnhofstrasse 7|Turnhalle|9813.00'), 'P2', 13, 80, 2015,'Falzziegel, das Steildach konnte nicht besichtigt werden'),</v>
      </c>
    </row>
    <row r="2171" spans="1:8" x14ac:dyDescent="0.25">
      <c r="A2171" s="9" t="s">
        <v>2464</v>
      </c>
      <c r="B2171" s="9" t="s">
        <v>1099</v>
      </c>
      <c r="C2171">
        <v>0</v>
      </c>
      <c r="D2171" t="s">
        <v>4080</v>
      </c>
      <c r="E2171">
        <v>2015</v>
      </c>
      <c r="F2171" s="9"/>
      <c r="H2171" s="20" t="str">
        <f t="shared" si="33"/>
        <v>(nextval('obj_part_id_seq'), (select id from obj_building_v where zip||'|'||street||'|'||name||'|'||volume = '8476|Bahnhofstrasse 7|Turnhalle|9813.00'), 'P3', 0, null, 2015,null),</v>
      </c>
    </row>
    <row r="2172" spans="1:8" x14ac:dyDescent="0.25">
      <c r="A2172" s="9" t="s">
        <v>2464</v>
      </c>
      <c r="B2172" s="9" t="s">
        <v>1100</v>
      </c>
      <c r="C2172">
        <v>6</v>
      </c>
      <c r="D2172">
        <v>65</v>
      </c>
      <c r="E2172">
        <v>2015</v>
      </c>
      <c r="F2172" s="9" t="s">
        <v>2467</v>
      </c>
      <c r="H2172" s="20" t="str">
        <f t="shared" si="33"/>
        <v>(nextval('obj_part_id_seq'), (select id from obj_building_v where zip||'|'||street||'|'||name||'|'||volume = '8476|Bahnhofstrasse 7|Turnhalle|9813.00'), 'P4', 6, 65, 2015,'Verputz, Schäden und Verfärbungen ersichtlich, Sockel i.O.'),</v>
      </c>
    </row>
    <row r="2173" spans="1:8" x14ac:dyDescent="0.25">
      <c r="A2173" s="9" t="s">
        <v>2464</v>
      </c>
      <c r="B2173" s="9" t="s">
        <v>1102</v>
      </c>
      <c r="C2173">
        <v>8</v>
      </c>
      <c r="D2173">
        <v>90</v>
      </c>
      <c r="E2173">
        <v>2015</v>
      </c>
      <c r="F2173" s="9" t="s">
        <v>2468</v>
      </c>
      <c r="H2173" s="20" t="str">
        <f t="shared" si="33"/>
        <v>(nextval('obj_part_id_seq'), (select id from obj_building_v where zip||'|'||street||'|'||name||'|'||volume = '8476|Bahnhofstrasse 7|Turnhalle|9813.00'), 'P5', 8, 90, 2015,'Fenster wurden ersetzt, neu inkl. Sonnenschutz (Stoffstoren, über Funk gesteuert), Tore zu Geräteräumen wurden ersetzt'),</v>
      </c>
    </row>
    <row r="2174" spans="1:8" x14ac:dyDescent="0.25">
      <c r="A2174" s="9" t="s">
        <v>2464</v>
      </c>
      <c r="B2174" s="9" t="s">
        <v>1110</v>
      </c>
      <c r="C2174">
        <v>5</v>
      </c>
      <c r="D2174">
        <v>85</v>
      </c>
      <c r="E2174">
        <v>2015</v>
      </c>
      <c r="F2174" s="9" t="s">
        <v>2469</v>
      </c>
      <c r="H2174" s="20" t="str">
        <f t="shared" si="33"/>
        <v>(nextval('obj_part_id_seq'), (select id from obj_building_v where zip||'|'||street||'|'||name||'|'||volume = '8476|Bahnhofstrasse 7|Turnhalle|9813.00'), 'P9', 5, 85, 2015,'Beleuchtung tw. neu (LED Lampen), Audio neu (LS)'),</v>
      </c>
    </row>
    <row r="2175" spans="1:8" x14ac:dyDescent="0.25">
      <c r="A2175" s="9" t="s">
        <v>2464</v>
      </c>
      <c r="B2175" s="9" t="s">
        <v>1104</v>
      </c>
      <c r="C2175">
        <v>1</v>
      </c>
      <c r="D2175">
        <v>90</v>
      </c>
      <c r="E2175">
        <v>2015</v>
      </c>
      <c r="F2175" s="9" t="s">
        <v>1235</v>
      </c>
      <c r="H2175" s="20" t="str">
        <f t="shared" si="33"/>
        <v>(nextval('obj_part_id_seq'), (select id from obj_building_v where zip||'|'||street||'|'||name||'|'||volume = '8476|Bahnhofstrasse 7|Turnhalle|9813.00'), 'P6', 1, 90, 2015,'Fernwärme'),</v>
      </c>
    </row>
    <row r="2176" spans="1:8" x14ac:dyDescent="0.25">
      <c r="A2176" s="9" t="s">
        <v>2464</v>
      </c>
      <c r="B2176" s="9" t="s">
        <v>1106</v>
      </c>
      <c r="C2176">
        <v>3</v>
      </c>
      <c r="D2176">
        <v>90</v>
      </c>
      <c r="E2176">
        <v>2015</v>
      </c>
      <c r="F2176" s="9" t="s">
        <v>2470</v>
      </c>
      <c r="H2176" s="20" t="str">
        <f t="shared" si="33"/>
        <v>(nextval('obj_part_id_seq'), (select id from obj_building_v where zip||'|'||street||'|'||name||'|'||volume = '8476|Bahnhofstrasse 7|Turnhalle|9813.00'), 'P7', 3, 90, 2015,'Radiatoren wurden ersetzt'),</v>
      </c>
    </row>
    <row r="2177" spans="1:8" x14ac:dyDescent="0.25">
      <c r="A2177" s="9" t="s">
        <v>2464</v>
      </c>
      <c r="B2177" s="9" t="s">
        <v>1403</v>
      </c>
      <c r="C2177">
        <v>0</v>
      </c>
      <c r="D2177" t="s">
        <v>4080</v>
      </c>
      <c r="E2177">
        <v>2015</v>
      </c>
      <c r="F2177" s="9"/>
      <c r="H2177" s="20" t="str">
        <f t="shared" si="33"/>
        <v>(nextval('obj_part_id_seq'), (select id from obj_building_v where zip||'|'||street||'|'||name||'|'||volume = '8476|Bahnhofstrasse 7|Turnhalle|9813.00'), 'P52', 0, null, 2015,null),</v>
      </c>
    </row>
    <row r="2178" spans="1:8" x14ac:dyDescent="0.25">
      <c r="A2178" s="9" t="s">
        <v>2464</v>
      </c>
      <c r="B2178" s="9" t="s">
        <v>1404</v>
      </c>
      <c r="C2178">
        <v>0</v>
      </c>
      <c r="D2178" t="s">
        <v>4080</v>
      </c>
      <c r="E2178">
        <v>2015</v>
      </c>
      <c r="F2178" s="9"/>
      <c r="H2178" s="20" t="str">
        <f t="shared" si="33"/>
        <v>(nextval('obj_part_id_seq'), (select id from obj_building_v where zip||'|'||street||'|'||name||'|'||volume = '8476|Bahnhofstrasse 7|Turnhalle|9813.00'), 'P53', 0, null, 2015,null),</v>
      </c>
    </row>
    <row r="2179" spans="1:8" x14ac:dyDescent="0.25">
      <c r="A2179" s="9" t="s">
        <v>2464</v>
      </c>
      <c r="B2179" s="9" t="s">
        <v>1135</v>
      </c>
      <c r="C2179">
        <v>2</v>
      </c>
      <c r="D2179">
        <v>50</v>
      </c>
      <c r="E2179">
        <v>2015</v>
      </c>
      <c r="F2179" s="9" t="s">
        <v>2471</v>
      </c>
      <c r="H2179" s="20" t="str">
        <f t="shared" si="33"/>
        <v>(nextval('obj_part_id_seq'), (select id from obj_building_v where zip||'|'||street||'|'||name||'|'||volume = '8476|Bahnhofstrasse 7|Turnhalle|9813.00'), 'P54', 2, 50, 2015,'Du/WC: Apparate und Armaturen wurden im Jahr 2015 repariert, sind jedoch ohne Mischventile, Wasserschaden vorhanden: Sanierung in Planung'),</v>
      </c>
    </row>
    <row r="2180" spans="1:8" x14ac:dyDescent="0.25">
      <c r="A2180" s="9" t="s">
        <v>2464</v>
      </c>
      <c r="B2180" s="9" t="s">
        <v>1137</v>
      </c>
      <c r="C2180">
        <v>3</v>
      </c>
      <c r="D2180">
        <v>70</v>
      </c>
      <c r="E2180">
        <v>2015</v>
      </c>
      <c r="F2180" s="9" t="s">
        <v>2472</v>
      </c>
      <c r="H2180" s="20" t="str">
        <f t="shared" si="33"/>
        <v>(nextval('obj_part_id_seq'), (select id from obj_building_v where zip||'|'||street||'|'||name||'|'||volume = '8476|Bahnhofstrasse 7|Turnhalle|9813.00'), 'P55', 3, 70, 2015,'Alte Leitungen vorhanden'),</v>
      </c>
    </row>
    <row r="2181" spans="1:8" x14ac:dyDescent="0.25">
      <c r="A2181" s="9" t="s">
        <v>2464</v>
      </c>
      <c r="B2181" s="9" t="s">
        <v>1138</v>
      </c>
      <c r="C2181">
        <v>10</v>
      </c>
      <c r="D2181">
        <v>80</v>
      </c>
      <c r="E2181">
        <v>2015</v>
      </c>
      <c r="F2181" s="9" t="s">
        <v>2473</v>
      </c>
      <c r="H2181" s="20" t="str">
        <f t="shared" ref="H2181:H2244" si="34">"(nextval('obj_part_id_seq'), (select id from obj_building_v where zip||'|'||street||'|'||name||'|'||volume = '"&amp;A2181&amp;"'), '"&amp;B2181&amp;"', "&amp;C2181&amp;", "&amp;D2181&amp;", "&amp;IF(ISBLANK(E2181),"null",E2181)&amp;","&amp;IF(ISBLANK(F2181),"null","'"&amp;F2181&amp;"'")&amp;"),"</f>
        <v>(nextval('obj_part_id_seq'), (select id from obj_building_v where zip||'|'||street||'|'||name||'|'||volume = '8476|Bahnhofstrasse 7|Turnhalle|9813.00'), 'P57', 10, 80, 2015,'Garderoben, Gerätehalterungen etc.'),</v>
      </c>
    </row>
    <row r="2182" spans="1:8" x14ac:dyDescent="0.25">
      <c r="A2182" s="9" t="s">
        <v>2464</v>
      </c>
      <c r="B2182" s="9" t="s">
        <v>1140</v>
      </c>
      <c r="C2182">
        <v>11</v>
      </c>
      <c r="D2182">
        <v>85</v>
      </c>
      <c r="E2182">
        <v>2015</v>
      </c>
      <c r="F2182" s="9" t="s">
        <v>2474</v>
      </c>
      <c r="H2182" s="20" t="str">
        <f t="shared" si="34"/>
        <v>(nextval('obj_part_id_seq'), (select id from obj_building_v where zip||'|'||street||'|'||name||'|'||volume = '8476|Bahnhofstrasse 7|Turnhalle|9813.00'), 'P58', 11, 85, 2015,'Musikraum (Keller): B: Parkett W: Verputz, Turnhalle: B: PU Bodenbelag (neu), darunter Gussasphalt und Schaumdämmung (auch neu)'),</v>
      </c>
    </row>
    <row r="2183" spans="1:8" x14ac:dyDescent="0.25">
      <c r="A2183" s="9" t="s">
        <v>2464</v>
      </c>
      <c r="B2183" s="9" t="s">
        <v>1142</v>
      </c>
      <c r="C2183">
        <v>0</v>
      </c>
      <c r="D2183" t="s">
        <v>4080</v>
      </c>
      <c r="E2183">
        <v>2015</v>
      </c>
      <c r="F2183" s="9"/>
      <c r="H2183" s="20" t="str">
        <f t="shared" si="34"/>
        <v>(nextval('obj_part_id_seq'), (select id from obj_building_v where zip||'|'||street||'|'||name||'|'||volume = '8476|Bahnhofstrasse 7|Turnhalle|9813.00'), 'P60', 0, null, 2015,null),</v>
      </c>
    </row>
    <row r="2184" spans="1:8" x14ac:dyDescent="0.25">
      <c r="A2184" s="9" t="s">
        <v>2464</v>
      </c>
      <c r="B2184" s="9" t="s">
        <v>1143</v>
      </c>
      <c r="C2184">
        <v>0</v>
      </c>
      <c r="D2184" t="s">
        <v>4080</v>
      </c>
      <c r="E2184">
        <v>2015</v>
      </c>
      <c r="F2184" s="9"/>
      <c r="H2184" s="20" t="str">
        <f t="shared" si="34"/>
        <v>(nextval('obj_part_id_seq'), (select id from obj_building_v where zip||'|'||street||'|'||name||'|'||volume = '8476|Bahnhofstrasse 7|Turnhalle|9813.00'), 'P61', 0, null, 2015,null),</v>
      </c>
    </row>
    <row r="2185" spans="1:8" x14ac:dyDescent="0.25">
      <c r="A2185" s="9" t="s">
        <v>2464</v>
      </c>
      <c r="B2185" s="9" t="s">
        <v>1144</v>
      </c>
      <c r="C2185">
        <v>0</v>
      </c>
      <c r="D2185" t="s">
        <v>4080</v>
      </c>
      <c r="E2185">
        <v>2015</v>
      </c>
      <c r="F2185" s="9"/>
      <c r="H2185" s="20" t="str">
        <f t="shared" si="34"/>
        <v>(nextval('obj_part_id_seq'), (select id from obj_building_v where zip||'|'||street||'|'||name||'|'||volume = '8476|Bahnhofstrasse 7|Turnhalle|9813.00'), 'P62', 0, null, 2015,null),</v>
      </c>
    </row>
    <row r="2186" spans="1:8" x14ac:dyDescent="0.25">
      <c r="A2186" s="9" t="s">
        <v>2475</v>
      </c>
      <c r="B2186" s="9" t="s">
        <v>1127</v>
      </c>
      <c r="C2186">
        <v>41</v>
      </c>
      <c r="D2186">
        <v>85</v>
      </c>
      <c r="E2186">
        <v>2015</v>
      </c>
      <c r="F2186" s="9" t="s">
        <v>2476</v>
      </c>
      <c r="H2186" s="20" t="str">
        <f t="shared" si="34"/>
        <v>(nextval('obj_part_id_seq'), (select id from obj_building_v where zip||'|'||street||'|'||name||'|'||volume = '8476|Bahnhofstrasse 7|Schulhausanlage|4146.00'), 'P48', 41, 85, 2015,'Mauerwerk, ohne Schäden, Dachraum trocken mit Unterdach aus Pavatex, Hourdisdecke über dem Keller, Stahlunterzüge über EG (Brandschutz?), Feuchte im Keller, Gerätehaus: i.O., Dachstuhl'),</v>
      </c>
    </row>
    <row r="2187" spans="1:8" x14ac:dyDescent="0.25">
      <c r="A2187" s="9" t="s">
        <v>2475</v>
      </c>
      <c r="B2187" s="9" t="s">
        <v>1129</v>
      </c>
      <c r="C2187">
        <v>0</v>
      </c>
      <c r="D2187" t="s">
        <v>4080</v>
      </c>
      <c r="E2187">
        <v>2015</v>
      </c>
      <c r="F2187" s="9"/>
      <c r="H2187" s="20" t="str">
        <f t="shared" si="34"/>
        <v>(nextval('obj_part_id_seq'), (select id from obj_building_v where zip||'|'||street||'|'||name||'|'||volume = '8476|Bahnhofstrasse 7|Schulhausanlage|4146.00'), 'P49', 0, null, 2015,null),</v>
      </c>
    </row>
    <row r="2188" spans="1:8" x14ac:dyDescent="0.25">
      <c r="A2188" s="9" t="s">
        <v>2475</v>
      </c>
      <c r="B2188" s="9" t="s">
        <v>1097</v>
      </c>
      <c r="C2188">
        <v>8</v>
      </c>
      <c r="D2188">
        <v>90</v>
      </c>
      <c r="E2188">
        <v>2015</v>
      </c>
      <c r="F2188" s="9" t="s">
        <v>2477</v>
      </c>
      <c r="H2188" s="20" t="str">
        <f t="shared" si="34"/>
        <v>(nextval('obj_part_id_seq'), (select id from obj_building_v where zip||'|'||street||'|'||name||'|'||volume = '8476|Bahnhofstrasse 7|Schulhausanlage|4146.00'), 'P2', 8, 90, 2015,'Sparrendach mit Falzziegeleindeckung, Gerätehaus: Unterdach i.O., Falzziegel'),</v>
      </c>
    </row>
    <row r="2189" spans="1:8" x14ac:dyDescent="0.25">
      <c r="A2189" s="9" t="s">
        <v>2475</v>
      </c>
      <c r="B2189" s="9" t="s">
        <v>1099</v>
      </c>
      <c r="C2189">
        <v>0</v>
      </c>
      <c r="D2189" t="s">
        <v>4080</v>
      </c>
      <c r="E2189">
        <v>2015</v>
      </c>
      <c r="F2189" s="9"/>
      <c r="H2189" s="20" t="str">
        <f t="shared" si="34"/>
        <v>(nextval('obj_part_id_seq'), (select id from obj_building_v where zip||'|'||street||'|'||name||'|'||volume = '8476|Bahnhofstrasse 7|Schulhausanlage|4146.00'), 'P3', 0, null, 2015,null),</v>
      </c>
    </row>
    <row r="2190" spans="1:8" x14ac:dyDescent="0.25">
      <c r="A2190" s="9" t="s">
        <v>2475</v>
      </c>
      <c r="B2190" s="9" t="s">
        <v>1100</v>
      </c>
      <c r="C2190">
        <v>7</v>
      </c>
      <c r="D2190">
        <v>80</v>
      </c>
      <c r="E2190">
        <v>2015</v>
      </c>
      <c r="F2190" s="9" t="s">
        <v>2478</v>
      </c>
      <c r="H2190" s="20" t="str">
        <f t="shared" si="34"/>
        <v>(nextval('obj_part_id_seq'), (select id from obj_building_v where zip||'|'||street||'|'||name||'|'||volume = '8476|Bahnhofstrasse 7|Schulhausanlage|4146.00'), 'P4', 7, 80, 2015,'Mauerwerk, verputzt mit Kunststeingewänden und umlaufenden Kst.st.friesen, Sanierung ca. ''07/''08, Gerätehaus: Mauerwerk, verputzt'),</v>
      </c>
    </row>
    <row r="2191" spans="1:8" x14ac:dyDescent="0.25">
      <c r="A2191" s="9" t="s">
        <v>2475</v>
      </c>
      <c r="B2191" s="9" t="s">
        <v>1102</v>
      </c>
      <c r="C2191">
        <v>10</v>
      </c>
      <c r="D2191">
        <v>80</v>
      </c>
      <c r="E2191">
        <v>2015</v>
      </c>
      <c r="F2191" s="9" t="s">
        <v>2479</v>
      </c>
      <c r="H2191" s="20" t="str">
        <f t="shared" si="34"/>
        <v>(nextval('obj_part_id_seq'), (select id from obj_building_v where zip||'|'||street||'|'||name||'|'||volume = '8476|Bahnhofstrasse 7|Schulhausanlage|4146.00'), 'P5', 10, 80, 2015,'Holz-/Metallfenster (''96), Stoffrollos, tw. Metallrollo (im OG), Aussentür Nord (''15), Gerätehaus: Holztore'),</v>
      </c>
    </row>
    <row r="2192" spans="1:8" x14ac:dyDescent="0.25">
      <c r="A2192" s="9" t="s">
        <v>2475</v>
      </c>
      <c r="B2192" s="9" t="s">
        <v>1164</v>
      </c>
      <c r="C2192">
        <v>6</v>
      </c>
      <c r="D2192">
        <v>50</v>
      </c>
      <c r="E2192">
        <v>2015</v>
      </c>
      <c r="F2192" s="9" t="s">
        <v>2480</v>
      </c>
      <c r="H2192" s="20" t="str">
        <f t="shared" si="34"/>
        <v>(nextval('obj_part_id_seq'), (select id from obj_building_v where zip||'|'||street||'|'||name||'|'||volume = '8476|Bahnhofstrasse 7|Schulhausanlage|4146.00'), 'P50', 6, 50, 2015,'Aufputzleitungen, Beleuchtung im DG alt, im OG: 2010, z.T. alte Sicherungen'),</v>
      </c>
    </row>
    <row r="2193" spans="1:8" x14ac:dyDescent="0.25">
      <c r="A2193" s="9" t="s">
        <v>2475</v>
      </c>
      <c r="B2193" s="9" t="s">
        <v>1166</v>
      </c>
      <c r="C2193">
        <v>1</v>
      </c>
      <c r="D2193">
        <v>90</v>
      </c>
      <c r="E2193">
        <v>2015</v>
      </c>
      <c r="F2193" s="9" t="s">
        <v>2481</v>
      </c>
      <c r="H2193" s="20" t="str">
        <f t="shared" si="34"/>
        <v>(nextval('obj_part_id_seq'), (select id from obj_building_v where zip||'|'||street||'|'||name||'|'||volume = '8476|Bahnhofstrasse 7|Schulhausanlage|4146.00'), 'P51', 1, 90, 2015,'Erneuerung Leitungen EDV auf neusten Stand (2016), Türklingel'),</v>
      </c>
    </row>
    <row r="2194" spans="1:8" x14ac:dyDescent="0.25">
      <c r="A2194" s="9" t="s">
        <v>2475</v>
      </c>
      <c r="B2194" s="9" t="s">
        <v>1104</v>
      </c>
      <c r="C2194">
        <v>1</v>
      </c>
      <c r="D2194">
        <v>85</v>
      </c>
      <c r="E2194">
        <v>2015</v>
      </c>
      <c r="F2194" s="9" t="s">
        <v>2482</v>
      </c>
      <c r="H2194" s="20" t="str">
        <f t="shared" si="34"/>
        <v>(nextval('obj_part_id_seq'), (select id from obj_building_v where zip||'|'||street||'|'||name||'|'||volume = '8476|Bahnhofstrasse 7|Schulhausanlage|4146.00'), 'P6', 1, 85, 2015,'Fernwärme, alter Öltank vorhanden'),</v>
      </c>
    </row>
    <row r="2195" spans="1:8" x14ac:dyDescent="0.25">
      <c r="A2195" s="9" t="s">
        <v>2475</v>
      </c>
      <c r="B2195" s="9" t="s">
        <v>1106</v>
      </c>
      <c r="C2195">
        <v>3</v>
      </c>
      <c r="D2195">
        <v>80</v>
      </c>
      <c r="E2195">
        <v>2015</v>
      </c>
      <c r="F2195" s="9" t="s">
        <v>2483</v>
      </c>
      <c r="H2195" s="20" t="str">
        <f t="shared" si="34"/>
        <v>(nextval('obj_part_id_seq'), (select id from obj_building_v where zip||'|'||street||'|'||name||'|'||volume = '8476|Bahnhofstrasse 7|Schulhausanlage|4146.00'), 'P7', 3, 80, 2015,'Radiatoren mit Thermostaten, Umwälzpumpen &amp; Magnetventile wurden umgerüstet'),</v>
      </c>
    </row>
    <row r="2196" spans="1:8" x14ac:dyDescent="0.25">
      <c r="A2196" s="9" t="s">
        <v>2475</v>
      </c>
      <c r="B2196" s="9" t="s">
        <v>1108</v>
      </c>
      <c r="C2196">
        <v>4</v>
      </c>
      <c r="D2196">
        <v>80</v>
      </c>
      <c r="E2196">
        <v>2015</v>
      </c>
      <c r="F2196" s="9" t="s">
        <v>2484</v>
      </c>
      <c r="H2196" s="20" t="str">
        <f t="shared" si="34"/>
        <v>(nextval('obj_part_id_seq'), (select id from obj_building_v where zip||'|'||street||'|'||name||'|'||volume = '8476|Bahnhofstrasse 7|Schulhausanlage|4146.00'), 'P8', 4, 80, 2015,'tw. neue Leitungen, Abwasser-/Wasserleitungen alt, Gerätehaus: Wasseranschluss'),</v>
      </c>
    </row>
    <row r="2197" spans="1:8" x14ac:dyDescent="0.25">
      <c r="A2197" s="9" t="s">
        <v>2475</v>
      </c>
      <c r="B2197" s="9" t="s">
        <v>1138</v>
      </c>
      <c r="C2197">
        <v>11</v>
      </c>
      <c r="D2197">
        <v>75</v>
      </c>
      <c r="E2197">
        <v>2015</v>
      </c>
      <c r="F2197" s="9" t="s">
        <v>2485</v>
      </c>
      <c r="H2197" s="20" t="str">
        <f t="shared" si="34"/>
        <v>(nextval('obj_part_id_seq'), (select id from obj_building_v where zip||'|'||street||'|'||name||'|'||volume = '8476|Bahnhofstrasse 7|Schulhausanlage|4146.00'), 'P57', 11, 75, 2015,'Holzverkleidung an Wänden im OG, Holzrahmentüren, Metall- /Glastür (''10), Einbaukästen aus Holz im Naturkunde Zimmer, Garderobe im EG, Geländerhöhe: 80cm'),</v>
      </c>
    </row>
    <row r="2198" spans="1:8" x14ac:dyDescent="0.25">
      <c r="A2198" s="9" t="s">
        <v>2475</v>
      </c>
      <c r="B2198" s="9" t="s">
        <v>1140</v>
      </c>
      <c r="C2198">
        <v>8</v>
      </c>
      <c r="D2198">
        <v>70</v>
      </c>
      <c r="E2198">
        <v>2015</v>
      </c>
      <c r="F2198" s="9" t="s">
        <v>2486</v>
      </c>
      <c r="H2198" s="20" t="str">
        <f t="shared" si="34"/>
        <v>(nextval('obj_part_id_seq'), (select id from obj_building_v where zip||'|'||street||'|'||name||'|'||volume = '8476|Bahnhofstrasse 7|Schulhausanlage|4146.00'), 'P58', 8, 70, 2015,'Schulzimmer EG: B: Parkett, Kunststein im UG W: Glasfasertapete, Verputz, Pavatex, OG: B: Parkett, Linol W: Holz, Verputz D: Verputz, DG: B: Linol W: Verputz D: Verputz, Gerätehaus: Betonboden'),</v>
      </c>
    </row>
    <row r="2199" spans="1:8" x14ac:dyDescent="0.25">
      <c r="A2199" s="9" t="s">
        <v>2475</v>
      </c>
      <c r="B2199" s="9" t="s">
        <v>1142</v>
      </c>
      <c r="C2199">
        <v>0</v>
      </c>
      <c r="D2199" t="s">
        <v>4080</v>
      </c>
      <c r="E2199">
        <v>2015</v>
      </c>
      <c r="F2199" s="9"/>
      <c r="H2199" s="20" t="str">
        <f t="shared" si="34"/>
        <v>(nextval('obj_part_id_seq'), (select id from obj_building_v where zip||'|'||street||'|'||name||'|'||volume = '8476|Bahnhofstrasse 7|Schulhausanlage|4146.00'), 'P60', 0, null, 2015,null),</v>
      </c>
    </row>
    <row r="2200" spans="1:8" x14ac:dyDescent="0.25">
      <c r="A2200" s="9" t="s">
        <v>2475</v>
      </c>
      <c r="B2200" s="9" t="s">
        <v>1143</v>
      </c>
      <c r="C2200">
        <v>0</v>
      </c>
      <c r="D2200" t="s">
        <v>4080</v>
      </c>
      <c r="E2200">
        <v>2015</v>
      </c>
      <c r="F2200" s="9"/>
      <c r="H2200" s="20" t="str">
        <f t="shared" si="34"/>
        <v>(nextval('obj_part_id_seq'), (select id from obj_building_v where zip||'|'||street||'|'||name||'|'||volume = '8476|Bahnhofstrasse 7|Schulhausanlage|4146.00'), 'P61', 0, null, 2015,null),</v>
      </c>
    </row>
    <row r="2201" spans="1:8" x14ac:dyDescent="0.25">
      <c r="A2201" s="9" t="s">
        <v>2475</v>
      </c>
      <c r="B2201" s="9" t="s">
        <v>1144</v>
      </c>
      <c r="C2201">
        <v>0</v>
      </c>
      <c r="D2201" t="s">
        <v>4080</v>
      </c>
      <c r="E2201">
        <v>2015</v>
      </c>
      <c r="F2201" s="9"/>
      <c r="H2201" s="20" t="str">
        <f t="shared" si="34"/>
        <v>(nextval('obj_part_id_seq'), (select id from obj_building_v where zip||'|'||street||'|'||name||'|'||volume = '8476|Bahnhofstrasse 7|Schulhausanlage|4146.00'), 'P62', 0, null, 2015,null),</v>
      </c>
    </row>
    <row r="2202" spans="1:8" x14ac:dyDescent="0.25">
      <c r="A2202" s="9" t="s">
        <v>2487</v>
      </c>
      <c r="B2202" s="9" t="s">
        <v>1127</v>
      </c>
      <c r="C2202">
        <v>30</v>
      </c>
      <c r="D2202">
        <v>90</v>
      </c>
      <c r="E2202">
        <v>2015</v>
      </c>
      <c r="F2202" s="9" t="s">
        <v>1369</v>
      </c>
      <c r="H2202" s="20" t="str">
        <f t="shared" si="34"/>
        <v>(nextval('obj_part_id_seq'), (select id from obj_building_v where zip||'|'||street||'|'||name||'|'||volume = '8620|Eggstrasse 68|EFH Leukens|623.00'), 'P48', 30, 90, 2015,'Stahlbeton, Mauerwerk'),</v>
      </c>
    </row>
    <row r="2203" spans="1:8" x14ac:dyDescent="0.25">
      <c r="A2203" s="9" t="s">
        <v>2487</v>
      </c>
      <c r="B2203" s="9" t="s">
        <v>1129</v>
      </c>
      <c r="C2203">
        <v>0</v>
      </c>
      <c r="D2203" t="s">
        <v>4080</v>
      </c>
      <c r="E2203">
        <v>2015</v>
      </c>
      <c r="F2203" s="9"/>
      <c r="H2203" s="20" t="str">
        <f t="shared" si="34"/>
        <v>(nextval('obj_part_id_seq'), (select id from obj_building_v where zip||'|'||street||'|'||name||'|'||volume = '8620|Eggstrasse 68|EFH Leukens|623.00'), 'P49', 0, null, 2015,null),</v>
      </c>
    </row>
    <row r="2204" spans="1:8" x14ac:dyDescent="0.25">
      <c r="A2204" s="9" t="s">
        <v>2487</v>
      </c>
      <c r="B2204" s="9" t="s">
        <v>1097</v>
      </c>
      <c r="C2204">
        <v>0</v>
      </c>
      <c r="D2204" t="s">
        <v>4080</v>
      </c>
      <c r="E2204">
        <v>2015</v>
      </c>
      <c r="F2204" s="9"/>
      <c r="H2204" s="20" t="str">
        <f t="shared" si="34"/>
        <v>(nextval('obj_part_id_seq'), (select id from obj_building_v where zip||'|'||street||'|'||name||'|'||volume = '8620|Eggstrasse 68|EFH Leukens|623.00'), 'P2', 0, null, 2015,null),</v>
      </c>
    </row>
    <row r="2205" spans="1:8" x14ac:dyDescent="0.25">
      <c r="A2205" s="9" t="s">
        <v>2487</v>
      </c>
      <c r="B2205" s="9" t="s">
        <v>1099</v>
      </c>
      <c r="C2205">
        <v>13</v>
      </c>
      <c r="D2205">
        <v>90</v>
      </c>
      <c r="E2205">
        <v>2015</v>
      </c>
      <c r="F2205" s="9" t="s">
        <v>2488</v>
      </c>
      <c r="H2205" s="20" t="str">
        <f t="shared" si="34"/>
        <v>(nextval('obj_part_id_seq'), (select id from obj_building_v where zip||'|'||street||'|'||name||'|'||volume = '8620|Eggstrasse 68|EFH Leukens|623.00'), 'P3', 13, 90, 2015,'Bitumen-Kiesklebedach, tw. saniert, Dachoblicht tw. ersetzt.'),</v>
      </c>
    </row>
    <row r="2206" spans="1:8" x14ac:dyDescent="0.25">
      <c r="A2206" s="9" t="s">
        <v>2487</v>
      </c>
      <c r="B2206" s="9" t="s">
        <v>1100</v>
      </c>
      <c r="C2206">
        <v>8</v>
      </c>
      <c r="D2206">
        <v>90</v>
      </c>
      <c r="E2206">
        <v>2015</v>
      </c>
      <c r="F2206" s="9" t="s">
        <v>2489</v>
      </c>
      <c r="H2206" s="20" t="str">
        <f t="shared" si="34"/>
        <v>(nextval('obj_part_id_seq'), (select id from obj_building_v where zip||'|'||street||'|'||name||'|'||volume = '8620|Eggstrasse 68|EFH Leukens|623.00'), 'P4', 8, 90, 2015,'Mauerwerk, verputzt und Sichtbeton. Keine Mängel sichtbar'),</v>
      </c>
    </row>
    <row r="2207" spans="1:8" x14ac:dyDescent="0.25">
      <c r="A2207" s="9" t="s">
        <v>2487</v>
      </c>
      <c r="B2207" s="9" t="s">
        <v>1102</v>
      </c>
      <c r="C2207">
        <v>13</v>
      </c>
      <c r="D2207">
        <v>80</v>
      </c>
      <c r="E2207">
        <v>2015</v>
      </c>
      <c r="F2207" s="9" t="s">
        <v>2490</v>
      </c>
      <c r="H2207" s="20" t="str">
        <f t="shared" si="34"/>
        <v>(nextval('obj_part_id_seq'), (select id from obj_building_v where zip||'|'||street||'|'||name||'|'||volume = '8620|Eggstrasse 68|EFH Leukens|623.00'), 'P5', 13, 80, 2015,'Alte Holzfenster mit Doppelverglasung, tw. mit IV., Rafflamellenstoren ohne grav. Mängel\nFenstertür im OG klemmt'),</v>
      </c>
    </row>
    <row r="2208" spans="1:8" x14ac:dyDescent="0.25">
      <c r="A2208" s="9" t="s">
        <v>2487</v>
      </c>
      <c r="B2208" s="9" t="s">
        <v>1110</v>
      </c>
      <c r="C2208">
        <v>3</v>
      </c>
      <c r="D2208">
        <v>90</v>
      </c>
      <c r="E2208">
        <v>2015</v>
      </c>
      <c r="F2208" s="9" t="s">
        <v>2491</v>
      </c>
      <c r="H2208" s="20" t="str">
        <f t="shared" si="34"/>
        <v>(nextval('obj_part_id_seq'), (select id from obj_building_v where zip||'|'||street||'|'||name||'|'||volume = '8620|Eggstrasse 68|EFH Leukens|623.00'), 'P9', 3, 90, 2015,'Tw. alte Keramiksicherungen, jedoch mit FI-Schutzschaltern, Sat.anlage auf Dach'),</v>
      </c>
    </row>
    <row r="2209" spans="1:8" x14ac:dyDescent="0.25">
      <c r="A2209" s="9" t="s">
        <v>2487</v>
      </c>
      <c r="B2209" s="9" t="s">
        <v>1104</v>
      </c>
      <c r="C2209">
        <v>4</v>
      </c>
      <c r="D2209">
        <v>90</v>
      </c>
      <c r="E2209">
        <v>2015</v>
      </c>
      <c r="F2209" s="9" t="s">
        <v>2492</v>
      </c>
      <c r="H2209" s="20" t="str">
        <f t="shared" si="34"/>
        <v>(nextval('obj_part_id_seq'), (select id from obj_building_v where zip||'|'||street||'|'||name||'|'||volume = '8620|Eggstrasse 68|EFH Leukens|623.00'), 'P6', 4, 90, 2015,'Zentrale Oelheizung für 8 Häuser'),</v>
      </c>
    </row>
    <row r="2210" spans="1:8" x14ac:dyDescent="0.25">
      <c r="A2210" s="9" t="s">
        <v>2487</v>
      </c>
      <c r="B2210" s="9" t="s">
        <v>1106</v>
      </c>
      <c r="C2210">
        <v>3</v>
      </c>
      <c r="D2210">
        <v>85</v>
      </c>
      <c r="E2210">
        <v>2015</v>
      </c>
      <c r="F2210" s="9" t="s">
        <v>1107</v>
      </c>
      <c r="H2210" s="20" t="str">
        <f t="shared" si="34"/>
        <v>(nextval('obj_part_id_seq'), (select id from obj_building_v where zip||'|'||street||'|'||name||'|'||volume = '8620|Eggstrasse 68|EFH Leukens|623.00'), 'P7', 3, 85, 2015,'Radiatoren mit Thermostaten'),</v>
      </c>
    </row>
    <row r="2211" spans="1:8" x14ac:dyDescent="0.25">
      <c r="A2211" s="9" t="s">
        <v>2487</v>
      </c>
      <c r="B2211" s="9" t="s">
        <v>1135</v>
      </c>
      <c r="C2211">
        <v>2</v>
      </c>
      <c r="D2211">
        <v>85</v>
      </c>
      <c r="E2211">
        <v>2015</v>
      </c>
      <c r="F2211" s="9" t="s">
        <v>2493</v>
      </c>
      <c r="H2211" s="20" t="str">
        <f t="shared" si="34"/>
        <v>(nextval('obj_part_id_seq'), (select id from obj_building_v where zip||'|'||street||'|'||name||'|'||volume = '8620|Eggstrasse 68|EFH Leukens|623.00'), 'P54', 2, 85, 2015,'Apparate sind alle funktionstüchtig, keine Schäden vorhanden'),</v>
      </c>
    </row>
    <row r="2212" spans="1:8" x14ac:dyDescent="0.25">
      <c r="A2212" s="9" t="s">
        <v>2487</v>
      </c>
      <c r="B2212" s="9" t="s">
        <v>1137</v>
      </c>
      <c r="C2212">
        <v>4</v>
      </c>
      <c r="D2212">
        <v>90</v>
      </c>
      <c r="E2212">
        <v>2015</v>
      </c>
      <c r="F2212" s="9" t="s">
        <v>2494</v>
      </c>
      <c r="H2212" s="20" t="str">
        <f t="shared" si="34"/>
        <v>(nextval('obj_part_id_seq'), (select id from obj_building_v where zip||'|'||street||'|'||name||'|'||volume = '8620|Eggstrasse 68|EFH Leukens|623.00'), 'P55', 4, 90, 2015,'Kein Druckabfall vorhanden, Wasser läuft ungehindert ab.'),</v>
      </c>
    </row>
    <row r="2213" spans="1:8" x14ac:dyDescent="0.25">
      <c r="A2213" s="9" t="s">
        <v>2487</v>
      </c>
      <c r="B2213" s="9" t="s">
        <v>1138</v>
      </c>
      <c r="C2213">
        <v>10</v>
      </c>
      <c r="D2213">
        <v>85</v>
      </c>
      <c r="E2213">
        <v>2015</v>
      </c>
      <c r="F2213" s="9" t="s">
        <v>2495</v>
      </c>
      <c r="H2213" s="20" t="str">
        <f t="shared" si="34"/>
        <v>(nextval('obj_part_id_seq'), (select id from obj_building_v where zip||'|'||street||'|'||name||'|'||volume = '8620|Eggstrasse 68|EFH Leukens|623.00'), 'P57', 10, 85, 2015,'Einzelne Risse im Putz, Schreinerarbeiten Holz: Fenstersimse, Vorhangbretter, Einbaukästen, Garderobe, Keramikplatten Böden, intakt'),</v>
      </c>
    </row>
    <row r="2214" spans="1:8" x14ac:dyDescent="0.25">
      <c r="A2214" s="9" t="s">
        <v>2487</v>
      </c>
      <c r="B2214" s="9" t="s">
        <v>1140</v>
      </c>
      <c r="C2214">
        <v>6</v>
      </c>
      <c r="D2214">
        <v>80</v>
      </c>
      <c r="E2214">
        <v>2015</v>
      </c>
      <c r="F2214" s="9" t="s">
        <v>2496</v>
      </c>
      <c r="H2214" s="20" t="str">
        <f t="shared" si="34"/>
        <v>(nextval('obj_part_id_seq'), (select id from obj_building_v where zip||'|'||street||'|'||name||'|'||volume = '8620|Eggstrasse 68|EFH Leukens|623.00'), 'P58', 6, 80, 2015,'B: Parkett, Teppich, Keramik Platten, W: Abrieb gestrichen, Keramikplatten, D: Abrieb gestrichen'),</v>
      </c>
    </row>
    <row r="2215" spans="1:8" x14ac:dyDescent="0.25">
      <c r="A2215" s="9" t="s">
        <v>2487</v>
      </c>
      <c r="B2215" s="9" t="s">
        <v>1157</v>
      </c>
      <c r="C2215">
        <v>4</v>
      </c>
      <c r="D2215">
        <v>85</v>
      </c>
      <c r="E2215">
        <v>2015</v>
      </c>
      <c r="F2215" s="9" t="s">
        <v>2497</v>
      </c>
      <c r="H2215" s="20" t="str">
        <f t="shared" si="34"/>
        <v>(nextval('obj_part_id_seq'), (select id from obj_building_v where zip||'|'||street||'|'||name||'|'||volume = '8620|Eggstrasse 68|EFH Leukens|623.00'), 'P59', 4, 85, 2015,'Küche wurde tw. renoviert, Abdeckung aus Naturstein, Geräte tw. neuwertig'),</v>
      </c>
    </row>
    <row r="2216" spans="1:8" x14ac:dyDescent="0.25">
      <c r="A2216" s="9" t="s">
        <v>2487</v>
      </c>
      <c r="B2216" s="9" t="s">
        <v>1142</v>
      </c>
      <c r="C2216">
        <v>0</v>
      </c>
      <c r="D2216" t="s">
        <v>4080</v>
      </c>
      <c r="E2216">
        <v>2015</v>
      </c>
      <c r="F2216" s="9"/>
      <c r="H2216" s="20" t="str">
        <f t="shared" si="34"/>
        <v>(nextval('obj_part_id_seq'), (select id from obj_building_v where zip||'|'||street||'|'||name||'|'||volume = '8620|Eggstrasse 68|EFH Leukens|623.00'), 'P60', 0, null, 2015,null),</v>
      </c>
    </row>
    <row r="2217" spans="1:8" x14ac:dyDescent="0.25">
      <c r="A2217" s="9" t="s">
        <v>2487</v>
      </c>
      <c r="B2217" s="9" t="s">
        <v>1143</v>
      </c>
      <c r="C2217">
        <v>0</v>
      </c>
      <c r="D2217" t="s">
        <v>4080</v>
      </c>
      <c r="E2217">
        <v>2015</v>
      </c>
      <c r="F2217" s="9"/>
      <c r="H2217" s="20" t="str">
        <f t="shared" si="34"/>
        <v>(nextval('obj_part_id_seq'), (select id from obj_building_v where zip||'|'||street||'|'||name||'|'||volume = '8620|Eggstrasse 68|EFH Leukens|623.00'), 'P61', 0, null, 2015,null),</v>
      </c>
    </row>
    <row r="2218" spans="1:8" x14ac:dyDescent="0.25">
      <c r="A2218" s="9" t="s">
        <v>2487</v>
      </c>
      <c r="B2218" s="9" t="s">
        <v>1144</v>
      </c>
      <c r="C2218">
        <v>0</v>
      </c>
      <c r="D2218" t="s">
        <v>4080</v>
      </c>
      <c r="E2218">
        <v>2015</v>
      </c>
      <c r="F2218" s="9"/>
      <c r="H2218" s="20" t="str">
        <f t="shared" si="34"/>
        <v>(nextval('obj_part_id_seq'), (select id from obj_building_v where zip||'|'||street||'|'||name||'|'||volume = '8620|Eggstrasse 68|EFH Leukens|623.00'), 'P62', 0, null, 2015,null),</v>
      </c>
    </row>
    <row r="2219" spans="1:8" x14ac:dyDescent="0.25">
      <c r="A2219" s="9" t="s">
        <v>2498</v>
      </c>
      <c r="B2219" s="9" t="s">
        <v>1095</v>
      </c>
      <c r="C2219">
        <v>62</v>
      </c>
      <c r="D2219">
        <v>90</v>
      </c>
      <c r="E2219">
        <v>2016</v>
      </c>
      <c r="F2219" s="9" t="s">
        <v>1192</v>
      </c>
      <c r="H2219" s="20" t="str">
        <f t="shared" si="34"/>
        <v>(nextval('obj_part_id_seq'), (select id from obj_building_v where zip||'|'||street||'|'||name||'|'||volume = '4950|Lochmühleweg 2a|Pumpwerk, Elektrizität|650.00'), 'P1', 62, 90, 2016,'Stahlbeton'),</v>
      </c>
    </row>
    <row r="2220" spans="1:8" x14ac:dyDescent="0.25">
      <c r="A2220" s="9" t="s">
        <v>2498</v>
      </c>
      <c r="B2220" s="9" t="s">
        <v>1097</v>
      </c>
      <c r="C2220">
        <v>0</v>
      </c>
      <c r="D2220" t="s">
        <v>4080</v>
      </c>
      <c r="E2220">
        <v>2016</v>
      </c>
      <c r="F2220" s="9"/>
      <c r="H2220" s="20" t="str">
        <f t="shared" si="34"/>
        <v>(nextval('obj_part_id_seq'), (select id from obj_building_v where zip||'|'||street||'|'||name||'|'||volume = '4950|Lochmühleweg 2a|Pumpwerk, Elektrizität|650.00'), 'P2', 0, null, 2016,null),</v>
      </c>
    </row>
    <row r="2221" spans="1:8" x14ac:dyDescent="0.25">
      <c r="A2221" s="9" t="s">
        <v>2498</v>
      </c>
      <c r="B2221" s="9" t="s">
        <v>1099</v>
      </c>
      <c r="C2221">
        <v>4</v>
      </c>
      <c r="D2221">
        <v>90</v>
      </c>
      <c r="E2221">
        <v>2016</v>
      </c>
      <c r="F2221" s="9" t="s">
        <v>2499</v>
      </c>
      <c r="H2221" s="20" t="str">
        <f t="shared" si="34"/>
        <v>(nextval('obj_part_id_seq'), (select id from obj_building_v where zip||'|'||street||'|'||name||'|'||volume = '4950|Lochmühleweg 2a|Pumpwerk, Elektrizität|650.00'), 'P3', 4, 90, 2016,'Das Flachdach ist intensiv begrünt'),</v>
      </c>
    </row>
    <row r="2222" spans="1:8" x14ac:dyDescent="0.25">
      <c r="A2222" s="9" t="s">
        <v>2498</v>
      </c>
      <c r="B2222" s="9" t="s">
        <v>1100</v>
      </c>
      <c r="C2222">
        <v>8</v>
      </c>
      <c r="D2222">
        <v>90</v>
      </c>
      <c r="E2222">
        <v>2016</v>
      </c>
      <c r="F2222" s="9" t="s">
        <v>1698</v>
      </c>
      <c r="H2222" s="20" t="str">
        <f t="shared" si="34"/>
        <v>(nextval('obj_part_id_seq'), (select id from obj_building_v where zip||'|'||street||'|'||name||'|'||volume = '4950|Lochmühleweg 2a|Pumpwerk, Elektrizität|650.00'), 'P4', 8, 90, 2016,'Sichtbeton'),</v>
      </c>
    </row>
    <row r="2223" spans="1:8" x14ac:dyDescent="0.25">
      <c r="A2223" s="9" t="s">
        <v>2498</v>
      </c>
      <c r="B2223" s="9" t="s">
        <v>1102</v>
      </c>
      <c r="C2223">
        <v>8</v>
      </c>
      <c r="D2223">
        <v>90</v>
      </c>
      <c r="E2223">
        <v>2016</v>
      </c>
      <c r="F2223" s="9" t="s">
        <v>2500</v>
      </c>
      <c r="H2223" s="20" t="str">
        <f t="shared" si="34"/>
        <v>(nextval('obj_part_id_seq'), (select id from obj_building_v where zip||'|'||street||'|'||name||'|'||volume = '4950|Lochmühleweg 2a|Pumpwerk, Elektrizität|650.00'), 'P5', 8, 90, 2016,'Eingangstür aus Aluminium'),</v>
      </c>
    </row>
    <row r="2224" spans="1:8" x14ac:dyDescent="0.25">
      <c r="A2224" s="9" t="s">
        <v>2498</v>
      </c>
      <c r="B2224" s="9" t="s">
        <v>1104</v>
      </c>
      <c r="C2224">
        <v>0</v>
      </c>
      <c r="D2224" t="s">
        <v>4080</v>
      </c>
      <c r="E2224">
        <v>2016</v>
      </c>
      <c r="F2224" s="9"/>
      <c r="H2224" s="20" t="str">
        <f t="shared" si="34"/>
        <v>(nextval('obj_part_id_seq'), (select id from obj_building_v where zip||'|'||street||'|'||name||'|'||volume = '4950|Lochmühleweg 2a|Pumpwerk, Elektrizität|650.00'), 'P6', 0, null, 2016,null),</v>
      </c>
    </row>
    <row r="2225" spans="1:8" x14ac:dyDescent="0.25">
      <c r="A2225" s="9" t="s">
        <v>2498</v>
      </c>
      <c r="B2225" s="9" t="s">
        <v>1106</v>
      </c>
      <c r="C2225">
        <v>0</v>
      </c>
      <c r="D2225" t="s">
        <v>4080</v>
      </c>
      <c r="E2225">
        <v>2016</v>
      </c>
      <c r="F2225" s="9"/>
      <c r="H2225" s="20" t="str">
        <f t="shared" si="34"/>
        <v>(nextval('obj_part_id_seq'), (select id from obj_building_v where zip||'|'||street||'|'||name||'|'||volume = '4950|Lochmühleweg 2a|Pumpwerk, Elektrizität|650.00'), 'P7', 0, null, 2016,null),</v>
      </c>
    </row>
    <row r="2226" spans="1:8" x14ac:dyDescent="0.25">
      <c r="A2226" s="9" t="s">
        <v>2498</v>
      </c>
      <c r="B2226" s="9" t="s">
        <v>1108</v>
      </c>
      <c r="C2226">
        <v>0</v>
      </c>
      <c r="D2226" t="s">
        <v>4080</v>
      </c>
      <c r="E2226">
        <v>2016</v>
      </c>
      <c r="F2226" s="9"/>
      <c r="H2226" s="20" t="str">
        <f t="shared" si="34"/>
        <v>(nextval('obj_part_id_seq'), (select id from obj_building_v where zip||'|'||street||'|'||name||'|'||volume = '4950|Lochmühleweg 2a|Pumpwerk, Elektrizität|650.00'), 'P8', 0, null, 2016,null),</v>
      </c>
    </row>
    <row r="2227" spans="1:8" x14ac:dyDescent="0.25">
      <c r="A2227" s="9" t="s">
        <v>2498</v>
      </c>
      <c r="B2227" s="9" t="s">
        <v>1110</v>
      </c>
      <c r="C2227">
        <v>6</v>
      </c>
      <c r="D2227">
        <v>90</v>
      </c>
      <c r="E2227">
        <v>2016</v>
      </c>
      <c r="F2227" s="9" t="s">
        <v>1295</v>
      </c>
      <c r="H2227" s="20" t="str">
        <f t="shared" si="34"/>
        <v>(nextval('obj_part_id_seq'), (select id from obj_building_v where zip||'|'||street||'|'||name||'|'||volume = '4950|Lochmühleweg 2a|Pumpwerk, Elektrizität|650.00'), 'P9', 6, 90, 2016,'Beleuchtung'),</v>
      </c>
    </row>
    <row r="2228" spans="1:8" x14ac:dyDescent="0.25">
      <c r="A2228" s="9" t="s">
        <v>2498</v>
      </c>
      <c r="B2228" s="9" t="s">
        <v>1112</v>
      </c>
      <c r="C2228">
        <v>0</v>
      </c>
      <c r="D2228" t="s">
        <v>4080</v>
      </c>
      <c r="E2228">
        <v>2016</v>
      </c>
      <c r="F2228" s="9"/>
      <c r="H2228" s="20" t="str">
        <f t="shared" si="34"/>
        <v>(nextval('obj_part_id_seq'), (select id from obj_building_v where zip||'|'||street||'|'||name||'|'||volume = '4950|Lochmühleweg 2a|Pumpwerk, Elektrizität|650.00'), 'P10', 0, null, 2016,null),</v>
      </c>
    </row>
    <row r="2229" spans="1:8" x14ac:dyDescent="0.25">
      <c r="A2229" s="9" t="s">
        <v>2498</v>
      </c>
      <c r="B2229" s="9" t="s">
        <v>1114</v>
      </c>
      <c r="C2229">
        <v>12</v>
      </c>
      <c r="D2229">
        <v>90</v>
      </c>
      <c r="E2229">
        <v>2016</v>
      </c>
      <c r="F2229" s="9" t="s">
        <v>2501</v>
      </c>
      <c r="H2229" s="20" t="str">
        <f t="shared" si="34"/>
        <v>(nextval('obj_part_id_seq'), (select id from obj_building_v where zip||'|'||street||'|'||name||'|'||volume = '4950|Lochmühleweg 2a|Pumpwerk, Elektrizität|650.00'), 'P11', 12, 90, 2016,'B: Beton gestrichen, W+D: gestrichen'),</v>
      </c>
    </row>
    <row r="2230" spans="1:8" x14ac:dyDescent="0.25">
      <c r="A2230" s="9" t="s">
        <v>2498</v>
      </c>
      <c r="B2230" s="9" t="s">
        <v>1114</v>
      </c>
      <c r="C2230">
        <v>0</v>
      </c>
      <c r="D2230" t="s">
        <v>4080</v>
      </c>
      <c r="E2230">
        <v>2016</v>
      </c>
      <c r="F2230" s="9"/>
      <c r="H2230" s="20" t="str">
        <f t="shared" si="34"/>
        <v>(nextval('obj_part_id_seq'), (select id from obj_building_v where zip||'|'||street||'|'||name||'|'||volume = '4950|Lochmühleweg 2a|Pumpwerk, Elektrizität|650.00'), 'P11', 0, null, 2016,null),</v>
      </c>
    </row>
    <row r="2231" spans="1:8" x14ac:dyDescent="0.25">
      <c r="A2231" s="9" t="s">
        <v>2498</v>
      </c>
      <c r="B2231" s="9" t="s">
        <v>1116</v>
      </c>
      <c r="C2231">
        <v>0</v>
      </c>
      <c r="D2231" t="s">
        <v>4080</v>
      </c>
      <c r="E2231">
        <v>2016</v>
      </c>
      <c r="F2231" s="9"/>
      <c r="H2231" s="20" t="str">
        <f t="shared" si="34"/>
        <v>(nextval('obj_part_id_seq'), (select id from obj_building_v where zip||'|'||street||'|'||name||'|'||volume = '4950|Lochmühleweg 2a|Pumpwerk, Elektrizität|650.00'), 'P12', 0, null, 2016,null),</v>
      </c>
    </row>
    <row r="2232" spans="1:8" x14ac:dyDescent="0.25">
      <c r="A2232" s="9" t="s">
        <v>2502</v>
      </c>
      <c r="B2232" s="9" t="s">
        <v>1095</v>
      </c>
      <c r="C2232">
        <v>35</v>
      </c>
      <c r="D2232">
        <v>90</v>
      </c>
      <c r="E2232">
        <v>2016</v>
      </c>
      <c r="F2232" s="9" t="s">
        <v>1787</v>
      </c>
      <c r="H2232" s="20" t="str">
        <f t="shared" si="34"/>
        <v>(nextval('obj_part_id_seq'), (select id from obj_building_v where zip||'|'||street||'|'||name||'|'||volume = '4950|Marktgasse 2|Restaurant|6300.00'), 'P1', 35, 90, 2016,'Mauerwerk mit Holzbalkendecken'),</v>
      </c>
    </row>
    <row r="2233" spans="1:8" x14ac:dyDescent="0.25">
      <c r="A2233" s="9" t="s">
        <v>2502</v>
      </c>
      <c r="B2233" s="9" t="s">
        <v>1097</v>
      </c>
      <c r="C2233">
        <v>4</v>
      </c>
      <c r="D2233">
        <v>90</v>
      </c>
      <c r="E2233">
        <v>2016</v>
      </c>
      <c r="F2233" s="9" t="s">
        <v>2503</v>
      </c>
      <c r="H2233" s="20" t="str">
        <f t="shared" si="34"/>
        <v>(nextval('obj_part_id_seq'), (select id from obj_building_v where zip||'|'||street||'|'||name||'|'||volume = '4950|Marktgasse 2|Restaurant|6300.00'), 'P2', 4, 90, 2016,'Walmdach mit Falzziegeln und Dachgaupen'),</v>
      </c>
    </row>
    <row r="2234" spans="1:8" x14ac:dyDescent="0.25">
      <c r="A2234" s="9" t="s">
        <v>2502</v>
      </c>
      <c r="B2234" s="9" t="s">
        <v>1099</v>
      </c>
      <c r="C2234">
        <v>0</v>
      </c>
      <c r="D2234" t="s">
        <v>4080</v>
      </c>
      <c r="E2234">
        <v>2016</v>
      </c>
      <c r="F2234" s="9"/>
      <c r="H2234" s="20" t="str">
        <f t="shared" si="34"/>
        <v>(nextval('obj_part_id_seq'), (select id from obj_building_v where zip||'|'||street||'|'||name||'|'||volume = '4950|Marktgasse 2|Restaurant|6300.00'), 'P3', 0, null, 2016,null),</v>
      </c>
    </row>
    <row r="2235" spans="1:8" x14ac:dyDescent="0.25">
      <c r="A2235" s="9" t="s">
        <v>2502</v>
      </c>
      <c r="B2235" s="9" t="s">
        <v>1100</v>
      </c>
      <c r="C2235">
        <v>8</v>
      </c>
      <c r="D2235">
        <v>90</v>
      </c>
      <c r="E2235">
        <v>2016</v>
      </c>
      <c r="F2235" s="9" t="s">
        <v>2504</v>
      </c>
      <c r="H2235" s="20" t="str">
        <f t="shared" si="34"/>
        <v>(nextval('obj_part_id_seq'), (select id from obj_building_v where zip||'|'||street||'|'||name||'|'||volume = '4950|Marktgasse 2|Restaurant|6300.00'), 'P4', 8, 90, 2016,'Natursteinfassade'),</v>
      </c>
    </row>
    <row r="2236" spans="1:8" x14ac:dyDescent="0.25">
      <c r="A2236" s="9" t="s">
        <v>2502</v>
      </c>
      <c r="B2236" s="9" t="s">
        <v>1102</v>
      </c>
      <c r="C2236">
        <v>8</v>
      </c>
      <c r="D2236">
        <v>90</v>
      </c>
      <c r="E2236">
        <v>2016</v>
      </c>
      <c r="F2236" s="9" t="s">
        <v>2505</v>
      </c>
      <c r="H2236" s="20" t="str">
        <f t="shared" si="34"/>
        <v>(nextval('obj_part_id_seq'), (select id from obj_building_v where zip||'|'||street||'|'||name||'|'||volume = '4950|Marktgasse 2|Restaurant|6300.00'), 'P5', 8, 90, 2016,'Holz-/Metalfenster, Aussentüre aus Metall mit Glaseinfassung und Vergitterung'),</v>
      </c>
    </row>
    <row r="2237" spans="1:8" x14ac:dyDescent="0.25">
      <c r="A2237" s="9" t="s">
        <v>2502</v>
      </c>
      <c r="B2237" s="9" t="s">
        <v>1104</v>
      </c>
      <c r="C2237">
        <v>1</v>
      </c>
      <c r="D2237">
        <v>90</v>
      </c>
      <c r="E2237">
        <v>2016</v>
      </c>
      <c r="F2237" s="9" t="s">
        <v>1235</v>
      </c>
      <c r="H2237" s="20" t="str">
        <f t="shared" si="34"/>
        <v>(nextval('obj_part_id_seq'), (select id from obj_building_v where zip||'|'||street||'|'||name||'|'||volume = '4950|Marktgasse 2|Restaurant|6300.00'), 'P6', 1, 90, 2016,'Fernwärme'),</v>
      </c>
    </row>
    <row r="2238" spans="1:8" x14ac:dyDescent="0.25">
      <c r="A2238" s="9" t="s">
        <v>2502</v>
      </c>
      <c r="B2238" s="9" t="s">
        <v>1106</v>
      </c>
      <c r="C2238">
        <v>2</v>
      </c>
      <c r="D2238">
        <v>90</v>
      </c>
      <c r="E2238">
        <v>2016</v>
      </c>
      <c r="F2238" s="9" t="s">
        <v>1107</v>
      </c>
      <c r="H2238" s="20" t="str">
        <f t="shared" si="34"/>
        <v>(nextval('obj_part_id_seq'), (select id from obj_building_v where zip||'|'||street||'|'||name||'|'||volume = '4950|Marktgasse 2|Restaurant|6300.00'), 'P7', 2, 90, 2016,'Radiatoren mit Thermostaten'),</v>
      </c>
    </row>
    <row r="2239" spans="1:8" x14ac:dyDescent="0.25">
      <c r="A2239" s="9" t="s">
        <v>2502</v>
      </c>
      <c r="B2239" s="9" t="s">
        <v>1108</v>
      </c>
      <c r="C2239">
        <v>6</v>
      </c>
      <c r="D2239">
        <v>90</v>
      </c>
      <c r="E2239">
        <v>2016</v>
      </c>
      <c r="F2239" s="9" t="s">
        <v>2506</v>
      </c>
      <c r="H2239" s="20" t="str">
        <f t="shared" si="34"/>
        <v>(nextval('obj_part_id_seq'), (select id from obj_building_v where zip||'|'||street||'|'||name||'|'||volume = '4950|Marktgasse 2|Restaurant|6300.00'), 'P8', 6, 90, 2016,'Genügender Druck vorhanden, das Wasser kann ungehindert ablaufen, WM/WT'),</v>
      </c>
    </row>
    <row r="2240" spans="1:8" x14ac:dyDescent="0.25">
      <c r="A2240" s="9" t="s">
        <v>2502</v>
      </c>
      <c r="B2240" s="9" t="s">
        <v>1110</v>
      </c>
      <c r="C2240">
        <v>6</v>
      </c>
      <c r="D2240">
        <v>90</v>
      </c>
      <c r="E2240">
        <v>2016</v>
      </c>
      <c r="F2240" s="9" t="s">
        <v>2507</v>
      </c>
      <c r="H2240" s="20" t="str">
        <f t="shared" si="34"/>
        <v>(nextval('obj_part_id_seq'), (select id from obj_building_v where zip||'|'||street||'|'||name||'|'||volume = '4950|Marktgasse 2|Restaurant|6300.00'), 'P9', 6, 90, 2016,'Ältere Schalter, Beleuchtung'),</v>
      </c>
    </row>
    <row r="2241" spans="1:8" x14ac:dyDescent="0.25">
      <c r="A2241" s="9" t="s">
        <v>2502</v>
      </c>
      <c r="B2241" s="9" t="s">
        <v>1112</v>
      </c>
      <c r="C2241">
        <v>3</v>
      </c>
      <c r="D2241">
        <v>90</v>
      </c>
      <c r="E2241">
        <v>2016</v>
      </c>
      <c r="F2241" s="9" t="s">
        <v>2508</v>
      </c>
      <c r="H2241" s="20" t="str">
        <f t="shared" si="34"/>
        <v>(nextval('obj_part_id_seq'), (select id from obj_building_v where zip||'|'||street||'|'||name||'|'||volume = '4950|Marktgasse 2|Restaurant|6300.00'), 'P10', 3, 90, 2016,'Lüftung, Kühlanlagen, Kühlgeräte für Lagerräume'),</v>
      </c>
    </row>
    <row r="2242" spans="1:8" x14ac:dyDescent="0.25">
      <c r="A2242" s="9" t="s">
        <v>2502</v>
      </c>
      <c r="B2242" s="9" t="s">
        <v>1114</v>
      </c>
      <c r="C2242">
        <v>10</v>
      </c>
      <c r="D2242">
        <v>90</v>
      </c>
      <c r="E2242">
        <v>2016</v>
      </c>
      <c r="F2242" s="9" t="s">
        <v>2509</v>
      </c>
      <c r="H2242" s="20" t="str">
        <f t="shared" si="34"/>
        <v>(nextval('obj_part_id_seq'), (select id from obj_building_v where zip||'|'||street||'|'||name||'|'||volume = '4950|Marktgasse 2|Restaurant|6300.00'), 'P11', 10, 90, 2016,'Gastronomieküche, Einbauschränke aus Holz'),</v>
      </c>
    </row>
    <row r="2243" spans="1:8" x14ac:dyDescent="0.25">
      <c r="A2243" s="9" t="s">
        <v>2502</v>
      </c>
      <c r="B2243" s="9" t="s">
        <v>1114</v>
      </c>
      <c r="C2243">
        <v>17</v>
      </c>
      <c r="D2243">
        <v>85</v>
      </c>
      <c r="E2243">
        <v>2016</v>
      </c>
      <c r="F2243" s="9" t="s">
        <v>2510</v>
      </c>
      <c r="H2243" s="20" t="str">
        <f t="shared" si="34"/>
        <v>(nextval('obj_part_id_seq'), (select id from obj_building_v where zip||'|'||street||'|'||name||'|'||volume = '4950|Marktgasse 2|Restaurant|6300.00'), 'P11', 17, 85, 2016,'B: Keramik, Beton gestrichen, Gebrauchsspuren ersichtlich, Naturstein W: Verputz, Keramik D: Verputz, über dem Pizzaofen sind flecken vorhanden'),</v>
      </c>
    </row>
    <row r="2244" spans="1:8" x14ac:dyDescent="0.25">
      <c r="A2244" s="9" t="s">
        <v>2502</v>
      </c>
      <c r="B2244" s="9" t="s">
        <v>1116</v>
      </c>
      <c r="C2244">
        <v>0</v>
      </c>
      <c r="D2244" t="s">
        <v>4080</v>
      </c>
      <c r="E2244">
        <v>2016</v>
      </c>
      <c r="F2244" s="9"/>
      <c r="H2244" s="20" t="str">
        <f t="shared" si="34"/>
        <v>(nextval('obj_part_id_seq'), (select id from obj_building_v where zip||'|'||street||'|'||name||'|'||volume = '4950|Marktgasse 2|Restaurant|6300.00'), 'P12', 0, null, 2016,null),</v>
      </c>
    </row>
    <row r="2245" spans="1:8" x14ac:dyDescent="0.25">
      <c r="A2245" s="9" t="s">
        <v>2511</v>
      </c>
      <c r="B2245" s="9" t="s">
        <v>1095</v>
      </c>
      <c r="C2245">
        <v>37</v>
      </c>
      <c r="D2245">
        <v>90</v>
      </c>
      <c r="E2245">
        <v>2016</v>
      </c>
      <c r="F2245" s="9" t="s">
        <v>2512</v>
      </c>
      <c r="H2245" s="20" t="str">
        <f t="shared" ref="H2245:H2308" si="35">"(nextval('obj_part_id_seq'), (select id from obj_building_v where zip||'|'||street||'|'||name||'|'||volume = '"&amp;A2245&amp;"'), '"&amp;B2245&amp;"', "&amp;C2245&amp;", "&amp;D2245&amp;", "&amp;IF(ISBLANK(E2245),"null",E2245)&amp;","&amp;IF(ISBLANK(F2245),"null","'"&amp;F2245&amp;"'")&amp;"),"</f>
        <v>(nextval('obj_part_id_seq'), (select id from obj_building_v where zip||'|'||street||'|'||name||'|'||volume = '4950|Marktgasse 4|Verwaltungsgebäude|2020.00'), 'P1', 37, 90, 2016,'Mauerwerk, rückseitig Riegelbau mit Ausfachungen aus Klinkersteinen'),</v>
      </c>
    </row>
    <row r="2246" spans="1:8" x14ac:dyDescent="0.25">
      <c r="A2246" s="9" t="s">
        <v>2511</v>
      </c>
      <c r="B2246" s="9" t="s">
        <v>1097</v>
      </c>
      <c r="C2246">
        <v>5</v>
      </c>
      <c r="D2246">
        <v>80</v>
      </c>
      <c r="E2246">
        <v>2016</v>
      </c>
      <c r="F2246" s="9" t="s">
        <v>2513</v>
      </c>
      <c r="H2246" s="20" t="str">
        <f t="shared" si="35"/>
        <v>(nextval('obj_part_id_seq'), (select id from obj_building_v where zip||'|'||street||'|'||name||'|'||volume = '4950|Marktgasse 4|Verwaltungsgebäude|2020.00'), 'P2', 5, 80, 2016,'Satteldach mit Falzziegel, Feuchtigkeitsspuren ersichtlich'),</v>
      </c>
    </row>
    <row r="2247" spans="1:8" x14ac:dyDescent="0.25">
      <c r="A2247" s="9" t="s">
        <v>2511</v>
      </c>
      <c r="B2247" s="9" t="s">
        <v>1099</v>
      </c>
      <c r="C2247">
        <v>0</v>
      </c>
      <c r="D2247" t="s">
        <v>4080</v>
      </c>
      <c r="E2247">
        <v>2016</v>
      </c>
      <c r="F2247" s="9"/>
      <c r="H2247" s="20" t="str">
        <f t="shared" si="35"/>
        <v>(nextval('obj_part_id_seq'), (select id from obj_building_v where zip||'|'||street||'|'||name||'|'||volume = '4950|Marktgasse 4|Verwaltungsgebäude|2020.00'), 'P3', 0, null, 2016,null),</v>
      </c>
    </row>
    <row r="2248" spans="1:8" x14ac:dyDescent="0.25">
      <c r="A2248" s="9" t="s">
        <v>2511</v>
      </c>
      <c r="B2248" s="9" t="s">
        <v>1100</v>
      </c>
      <c r="C2248">
        <v>8</v>
      </c>
      <c r="D2248">
        <v>90</v>
      </c>
      <c r="E2248">
        <v>2016</v>
      </c>
      <c r="F2248" s="9" t="s">
        <v>2514</v>
      </c>
      <c r="H2248" s="20" t="str">
        <f t="shared" si="35"/>
        <v>(nextval('obj_part_id_seq'), (select id from obj_building_v where zip||'|'||street||'|'||name||'|'||volume = '4950|Marktgasse 4|Verwaltungsgebäude|2020.00'), 'P4', 8, 90, 2016,'Mauerwerk verputzt, im EG mit Natursteinen, Fachwerk mit Ausfachungen aus Klinkersteinen rückseitig'),</v>
      </c>
    </row>
    <row r="2249" spans="1:8" x14ac:dyDescent="0.25">
      <c r="A2249" s="9" t="s">
        <v>2511</v>
      </c>
      <c r="B2249" s="9" t="s">
        <v>1102</v>
      </c>
      <c r="C2249">
        <v>8</v>
      </c>
      <c r="D2249">
        <v>90</v>
      </c>
      <c r="E2249">
        <v>2016</v>
      </c>
      <c r="F2249" s="9" t="s">
        <v>2515</v>
      </c>
      <c r="H2249" s="20" t="str">
        <f t="shared" si="35"/>
        <v>(nextval('obj_part_id_seq'), (select id from obj_building_v where zip||'|'||street||'|'||name||'|'||volume = '4950|Marktgasse 4|Verwaltungsgebäude|2020.00'), 'P5', 8, 90, 2016,'Holz-/Metallfenster (''10), doppelverglast, einzelne mit Sprossen, Glasbausteine'),</v>
      </c>
    </row>
    <row r="2250" spans="1:8" x14ac:dyDescent="0.25">
      <c r="A2250" s="9" t="s">
        <v>2511</v>
      </c>
      <c r="B2250" s="9" t="s">
        <v>1104</v>
      </c>
      <c r="C2250">
        <v>1</v>
      </c>
      <c r="D2250">
        <v>90</v>
      </c>
      <c r="E2250">
        <v>2016</v>
      </c>
      <c r="F2250" s="9" t="s">
        <v>1235</v>
      </c>
      <c r="H2250" s="20" t="str">
        <f t="shared" si="35"/>
        <v>(nextval('obj_part_id_seq'), (select id from obj_building_v where zip||'|'||street||'|'||name||'|'||volume = '4950|Marktgasse 4|Verwaltungsgebäude|2020.00'), 'P6', 1, 90, 2016,'Fernwärme'),</v>
      </c>
    </row>
    <row r="2251" spans="1:8" x14ac:dyDescent="0.25">
      <c r="A2251" s="9" t="s">
        <v>2511</v>
      </c>
      <c r="B2251" s="9" t="s">
        <v>1106</v>
      </c>
      <c r="C2251">
        <v>2</v>
      </c>
      <c r="D2251">
        <v>90</v>
      </c>
      <c r="E2251">
        <v>2016</v>
      </c>
      <c r="F2251" s="9" t="s">
        <v>1107</v>
      </c>
      <c r="H2251" s="20" t="str">
        <f t="shared" si="35"/>
        <v>(nextval('obj_part_id_seq'), (select id from obj_building_v where zip||'|'||street||'|'||name||'|'||volume = '4950|Marktgasse 4|Verwaltungsgebäude|2020.00'), 'P7', 2, 90, 2016,'Radiatoren mit Thermostaten'),</v>
      </c>
    </row>
    <row r="2252" spans="1:8" x14ac:dyDescent="0.25">
      <c r="A2252" s="9" t="s">
        <v>2511</v>
      </c>
      <c r="B2252" s="9" t="s">
        <v>1108</v>
      </c>
      <c r="C2252">
        <v>6</v>
      </c>
      <c r="D2252">
        <v>85</v>
      </c>
      <c r="E2252">
        <v>2016</v>
      </c>
      <c r="F2252" s="9" t="s">
        <v>2516</v>
      </c>
      <c r="H2252" s="20" t="str">
        <f t="shared" si="35"/>
        <v>(nextval('obj_part_id_seq'), (select id from obj_building_v where zip||'|'||street||'|'||name||'|'||volume = '4950|Marktgasse 4|Verwaltungsgebäude|2020.00'), 'P8', 6, 85, 2016,'z.T. sind keine Mischventile vorhanden, jedoch sind keine Mängel bekannt, WM'),</v>
      </c>
    </row>
    <row r="2253" spans="1:8" x14ac:dyDescent="0.25">
      <c r="A2253" s="9" t="s">
        <v>2511</v>
      </c>
      <c r="B2253" s="9" t="s">
        <v>1110</v>
      </c>
      <c r="C2253">
        <v>6</v>
      </c>
      <c r="D2253">
        <v>85</v>
      </c>
      <c r="E2253">
        <v>2016</v>
      </c>
      <c r="F2253" s="9" t="s">
        <v>2517</v>
      </c>
      <c r="H2253" s="20" t="str">
        <f t="shared" si="35"/>
        <v>(nextval('obj_part_id_seq'), (select id from obj_building_v where zip||'|'||street||'|'||name||'|'||volume = '4950|Marktgasse 4|Verwaltungsgebäude|2020.00'), 'P9', 6, 85, 2016,'Kabelkanäle, Beleuchtung, tw. alte Keramiksicherungen vorhanden, keine FI-Schutzschalter'),</v>
      </c>
    </row>
    <row r="2254" spans="1:8" x14ac:dyDescent="0.25">
      <c r="A2254" s="9" t="s">
        <v>2511</v>
      </c>
      <c r="B2254" s="9" t="s">
        <v>1112</v>
      </c>
      <c r="C2254">
        <v>0</v>
      </c>
      <c r="D2254" t="s">
        <v>4080</v>
      </c>
      <c r="E2254">
        <v>2016</v>
      </c>
      <c r="F2254" s="9"/>
      <c r="H2254" s="20" t="str">
        <f t="shared" si="35"/>
        <v>(nextval('obj_part_id_seq'), (select id from obj_building_v where zip||'|'||street||'|'||name||'|'||volume = '4950|Marktgasse 4|Verwaltungsgebäude|2020.00'), 'P10', 0, null, 2016,null),</v>
      </c>
    </row>
    <row r="2255" spans="1:8" x14ac:dyDescent="0.25">
      <c r="A2255" s="9" t="s">
        <v>2511</v>
      </c>
      <c r="B2255" s="9" t="s">
        <v>1114</v>
      </c>
      <c r="C2255">
        <v>14</v>
      </c>
      <c r="D2255">
        <v>85</v>
      </c>
      <c r="E2255">
        <v>2016</v>
      </c>
      <c r="F2255" s="9" t="s">
        <v>2518</v>
      </c>
      <c r="H2255" s="20" t="str">
        <f t="shared" si="35"/>
        <v>(nextval('obj_part_id_seq'), (select id from obj_building_v where zip||'|'||street||'|'||name||'|'||volume = '4950|Marktgasse 4|Verwaltungsgebäude|2020.00'), 'P11', 14, 85, 2016,'Treppen, Geländer und Innenwände aus Holz, Teeküche, innere Verglasung, Archivschränke'),</v>
      </c>
    </row>
    <row r="2256" spans="1:8" x14ac:dyDescent="0.25">
      <c r="A2256" s="9" t="s">
        <v>2511</v>
      </c>
      <c r="B2256" s="9" t="s">
        <v>1114</v>
      </c>
      <c r="C2256">
        <v>13</v>
      </c>
      <c r="D2256">
        <v>80</v>
      </c>
      <c r="E2256">
        <v>2016</v>
      </c>
      <c r="F2256" s="9" t="s">
        <v>2519</v>
      </c>
      <c r="H2256" s="20" t="str">
        <f t="shared" si="35"/>
        <v>(nextval('obj_part_id_seq'), (select id from obj_building_v where zip||'|'||street||'|'||name||'|'||volume = '4950|Marktgasse 4|Verwaltungsgebäude|2020.00'), 'P11', 13, 80, 2016,'B: Parket, Keramikplatten, Klinkerboden, Linol, Teppich, W: Verputz, Keramik, PVC, Glasfasertapeten, diverse Risse und Abplatzungen ersichtlich, D: Akustikplatten, Verputz'),</v>
      </c>
    </row>
    <row r="2257" spans="1:8" x14ac:dyDescent="0.25">
      <c r="A2257" s="9" t="s">
        <v>2511</v>
      </c>
      <c r="B2257" s="9" t="s">
        <v>1116</v>
      </c>
      <c r="C2257">
        <v>0</v>
      </c>
      <c r="D2257" t="s">
        <v>4080</v>
      </c>
      <c r="E2257">
        <v>2016</v>
      </c>
      <c r="F2257" s="9"/>
      <c r="H2257" s="20" t="str">
        <f t="shared" si="35"/>
        <v>(nextval('obj_part_id_seq'), (select id from obj_building_v where zip||'|'||street||'|'||name||'|'||volume = '4950|Marktgasse 4|Verwaltungsgebäude|2020.00'), 'P12', 0, null, 2016,null),</v>
      </c>
    </row>
    <row r="2258" spans="1:8" x14ac:dyDescent="0.25">
      <c r="A2258" s="9" t="s">
        <v>2520</v>
      </c>
      <c r="B2258" s="9" t="s">
        <v>1095</v>
      </c>
      <c r="C2258">
        <v>30</v>
      </c>
      <c r="D2258">
        <v>90</v>
      </c>
      <c r="E2258">
        <v>2016</v>
      </c>
      <c r="F2258" s="9" t="s">
        <v>1250</v>
      </c>
      <c r="H2258" s="20" t="str">
        <f t="shared" si="35"/>
        <v>(nextval('obj_part_id_seq'), (select id from obj_building_v where zip||'|'||street||'|'||name||'|'||volume = '4950|Neuhausstrasse 15|Schulanlage Schwarzenbach|20444.00'), 'P1', 30, 90, 2016,'Stahlbeton und Mauerwerk'),</v>
      </c>
    </row>
    <row r="2259" spans="1:8" x14ac:dyDescent="0.25">
      <c r="A2259" s="9" t="s">
        <v>2520</v>
      </c>
      <c r="B2259" s="9" t="s">
        <v>1097</v>
      </c>
      <c r="C2259">
        <v>2</v>
      </c>
      <c r="D2259">
        <v>80</v>
      </c>
      <c r="E2259">
        <v>2016</v>
      </c>
      <c r="F2259" s="9" t="s">
        <v>2521</v>
      </c>
      <c r="H2259" s="20" t="str">
        <f t="shared" si="35"/>
        <v>(nextval('obj_part_id_seq'), (select id from obj_building_v where zip||'|'||street||'|'||name||'|'||volume = '4950|Neuhausstrasse 15|Schulanlage Schwarzenbach|20444.00'), 'P2', 2, 80, 2016,'Blechfalzdach aus Kupfer'),</v>
      </c>
    </row>
    <row r="2260" spans="1:8" x14ac:dyDescent="0.25">
      <c r="A2260" s="9" t="s">
        <v>2520</v>
      </c>
      <c r="B2260" s="9" t="s">
        <v>1099</v>
      </c>
      <c r="C2260">
        <v>7</v>
      </c>
      <c r="D2260">
        <v>90</v>
      </c>
      <c r="E2260">
        <v>2016</v>
      </c>
      <c r="F2260" s="9" t="s">
        <v>2522</v>
      </c>
      <c r="H2260" s="20" t="str">
        <f t="shared" si="35"/>
        <v>(nextval('obj_part_id_seq'), (select id from obj_building_v where zip||'|'||street||'|'||name||'|'||volume = '4950|Neuhausstrasse 15|Schulanlage Schwarzenbach|20444.00'), 'P3', 7, 90, 2016,'Kiesklebedach mit Solaranlagen, Dachentwässerung funktionierend, Notüberläufe vorhanden, stellenweise Vermoosung/Veralgung, Oblichtkuppeln'),</v>
      </c>
    </row>
    <row r="2261" spans="1:8" x14ac:dyDescent="0.25">
      <c r="A2261" s="9" t="s">
        <v>2520</v>
      </c>
      <c r="B2261" s="9" t="s">
        <v>1100</v>
      </c>
      <c r="C2261">
        <v>8</v>
      </c>
      <c r="D2261">
        <v>85</v>
      </c>
      <c r="E2261">
        <v>2016</v>
      </c>
      <c r="F2261" s="9" t="s">
        <v>2523</v>
      </c>
      <c r="H2261" s="20" t="str">
        <f t="shared" si="35"/>
        <v>(nextval('obj_part_id_seq'), (select id from obj_building_v where zip||'|'||street||'|'||name||'|'||volume = '4950|Neuhausstrasse 15|Schulanlage Schwarzenbach|20444.00'), 'P4', 8, 85, 2016,'Eternitschindeln und Blech, Verwitterungsspuren und gebrochene Eternitschindeln im Sockelbereich ersichtlich'),</v>
      </c>
    </row>
    <row r="2262" spans="1:8" x14ac:dyDescent="0.25">
      <c r="A2262" s="9" t="s">
        <v>2520</v>
      </c>
      <c r="B2262" s="9" t="s">
        <v>1102</v>
      </c>
      <c r="C2262">
        <v>8</v>
      </c>
      <c r="D2262">
        <v>80</v>
      </c>
      <c r="E2262">
        <v>2016</v>
      </c>
      <c r="F2262" s="9" t="s">
        <v>2524</v>
      </c>
      <c r="H2262" s="20" t="str">
        <f t="shared" si="35"/>
        <v>(nextval('obj_part_id_seq'), (select id from obj_building_v where zip||'|'||street||'|'||name||'|'||volume = '4950|Neuhausstrasse 15|Schulanlage Schwarzenbach|20444.00'), 'P5', 8, 80, 2016,'Holz-/Metallfenster mit Isolierverglaungen/Sonnenschutzfolie und Rafflamellenstoren, Oblicht, Windfang, Turnhalle: alte Holzfensterrahmen'),</v>
      </c>
    </row>
    <row r="2263" spans="1:8" x14ac:dyDescent="0.25">
      <c r="A2263" s="9" t="s">
        <v>2520</v>
      </c>
      <c r="B2263" s="9" t="s">
        <v>1104</v>
      </c>
      <c r="C2263">
        <v>1</v>
      </c>
      <c r="D2263">
        <v>70</v>
      </c>
      <c r="E2263">
        <v>2016</v>
      </c>
      <c r="F2263" s="9" t="s">
        <v>2525</v>
      </c>
      <c r="H2263" s="20" t="str">
        <f t="shared" si="35"/>
        <v>(nextval('obj_part_id_seq'), (select id from obj_building_v where zip||'|'||street||'|'||name||'|'||volume = '4950|Neuhausstrasse 15|Schulanlage Schwarzenbach|20444.00'), 'P6', 1, 70, 2016,'Holzschnitzelfeuerungsanlage (''94), entspricht nicht mehr den heutigen Anforderungen'),</v>
      </c>
    </row>
    <row r="2264" spans="1:8" x14ac:dyDescent="0.25">
      <c r="A2264" s="9" t="s">
        <v>2520</v>
      </c>
      <c r="B2264" s="9" t="s">
        <v>1106</v>
      </c>
      <c r="C2264">
        <v>2</v>
      </c>
      <c r="D2264">
        <v>90</v>
      </c>
      <c r="E2264">
        <v>2016</v>
      </c>
      <c r="F2264" s="9" t="s">
        <v>1107</v>
      </c>
      <c r="H2264" s="20" t="str">
        <f t="shared" si="35"/>
        <v>(nextval('obj_part_id_seq'), (select id from obj_building_v where zip||'|'||street||'|'||name||'|'||volume = '4950|Neuhausstrasse 15|Schulanlage Schwarzenbach|20444.00'), 'P7', 2, 90, 2016,'Radiatoren mit Thermostaten'),</v>
      </c>
    </row>
    <row r="2265" spans="1:8" x14ac:dyDescent="0.25">
      <c r="A2265" s="9" t="s">
        <v>2520</v>
      </c>
      <c r="B2265" s="9" t="s">
        <v>1108</v>
      </c>
      <c r="C2265">
        <v>6</v>
      </c>
      <c r="D2265">
        <v>80</v>
      </c>
      <c r="E2265">
        <v>2016</v>
      </c>
      <c r="F2265" s="9" t="s">
        <v>2526</v>
      </c>
      <c r="H2265" s="20" t="str">
        <f t="shared" si="35"/>
        <v>(nextval('obj_part_id_seq'), (select id from obj_building_v where zip||'|'||street||'|'||name||'|'||volume = '4950|Neuhausstrasse 15|Schulanlage Schwarzenbach|20444.00'), 'P8', 6, 80, 2016,'Warmwasser-Leitungen sind zum teil rostig, Sanitäranlagen tw. älteren Datums ohne Mischventile'),</v>
      </c>
    </row>
    <row r="2266" spans="1:8" x14ac:dyDescent="0.25">
      <c r="A2266" s="9" t="s">
        <v>2520</v>
      </c>
      <c r="B2266" s="9" t="s">
        <v>1110</v>
      </c>
      <c r="C2266">
        <v>6</v>
      </c>
      <c r="D2266">
        <v>85</v>
      </c>
      <c r="E2266">
        <v>2016</v>
      </c>
      <c r="F2266" s="9" t="s">
        <v>2527</v>
      </c>
      <c r="H2266" s="20" t="str">
        <f t="shared" si="35"/>
        <v>(nextval('obj_part_id_seq'), (select id from obj_building_v where zip||'|'||street||'|'||name||'|'||volume = '4950|Neuhausstrasse 15|Schulanlage Schwarzenbach|20444.00'), 'P9', 6, 85, 2016,'Steuerung Holzschnitzelfeuerungsanlage, Kabelkanäle, Beleuchtung, tw. alte Keramiksicherungen vorhanden'),</v>
      </c>
    </row>
    <row r="2267" spans="1:8" x14ac:dyDescent="0.25">
      <c r="A2267" s="9" t="s">
        <v>2520</v>
      </c>
      <c r="B2267" s="9" t="s">
        <v>1112</v>
      </c>
      <c r="C2267">
        <v>3</v>
      </c>
      <c r="D2267">
        <v>90</v>
      </c>
      <c r="E2267">
        <v>2016</v>
      </c>
      <c r="F2267" s="9" t="s">
        <v>2528</v>
      </c>
      <c r="H2267" s="20" t="str">
        <f t="shared" si="35"/>
        <v>(nextval('obj_part_id_seq'), (select id from obj_building_v where zip||'|'||street||'|'||name||'|'||volume = '4950|Neuhausstrasse 15|Schulanlage Schwarzenbach|20444.00'), 'P10', 3, 90, 2016,'Treppenlift, Schiessanlage'),</v>
      </c>
    </row>
    <row r="2268" spans="1:8" x14ac:dyDescent="0.25">
      <c r="A2268" s="9" t="s">
        <v>2520</v>
      </c>
      <c r="B2268" s="9" t="s">
        <v>1114</v>
      </c>
      <c r="C2268">
        <v>10</v>
      </c>
      <c r="D2268">
        <v>85</v>
      </c>
      <c r="E2268">
        <v>2016</v>
      </c>
      <c r="F2268" s="9" t="s">
        <v>2529</v>
      </c>
      <c r="H2268" s="20" t="str">
        <f t="shared" si="35"/>
        <v>(nextval('obj_part_id_seq'), (select id from obj_building_v where zip||'|'||street||'|'||name||'|'||volume = '4950|Neuhausstrasse 15|Schulanlage Schwarzenbach|20444.00'), 'P11', 10, 85, 2016,'Garderoben, Tee- und Schulküchen, Einbauschränke, Fenstersimse, Garderoben älteren Datums'),</v>
      </c>
    </row>
    <row r="2269" spans="1:8" x14ac:dyDescent="0.25">
      <c r="A2269" s="9" t="s">
        <v>2520</v>
      </c>
      <c r="B2269" s="9" t="s">
        <v>1114</v>
      </c>
      <c r="C2269">
        <v>17</v>
      </c>
      <c r="D2269">
        <v>80</v>
      </c>
      <c r="E2269">
        <v>2016</v>
      </c>
      <c r="F2269" s="9" t="s">
        <v>2530</v>
      </c>
      <c r="H2269" s="20" t="str">
        <f t="shared" si="35"/>
        <v>(nextval('obj_part_id_seq'), (select id from obj_building_v where zip||'|'||street||'|'||name||'|'||volume = '4950|Neuhausstrasse 15|Schulanlage Schwarzenbach|20444.00'), 'P11', 17, 80, 2016,'B: Linol, Kunststeintreppen, Klinker im Korridor, Parkett, Bodenplatten beim Balkon sind vermoost, Turnhallenboden mit einzelnen Rissen W: Verputz, an einzelnen Stellen sind Risse und Abnützungsspuren sichtbar, D: Verputz, Holz'),</v>
      </c>
    </row>
    <row r="2270" spans="1:8" x14ac:dyDescent="0.25">
      <c r="A2270" s="9" t="s">
        <v>2520</v>
      </c>
      <c r="B2270" s="9" t="s">
        <v>1116</v>
      </c>
      <c r="C2270">
        <v>0</v>
      </c>
      <c r="D2270" t="s">
        <v>4080</v>
      </c>
      <c r="E2270">
        <v>2016</v>
      </c>
      <c r="F2270" s="9"/>
      <c r="H2270" s="20" t="str">
        <f t="shared" si="35"/>
        <v>(nextval('obj_part_id_seq'), (select id from obj_building_v where zip||'|'||street||'|'||name||'|'||volume = '4950|Neuhausstrasse 15|Schulanlage Schwarzenbach|20444.00'), 'P12', 0, null, 2016,null),</v>
      </c>
    </row>
    <row r="2271" spans="1:8" x14ac:dyDescent="0.25">
      <c r="A2271" s="9" t="s">
        <v>2531</v>
      </c>
      <c r="B2271" s="9" t="s">
        <v>1127</v>
      </c>
      <c r="C2271">
        <v>39</v>
      </c>
      <c r="D2271">
        <v>90</v>
      </c>
      <c r="E2271">
        <v>2016</v>
      </c>
      <c r="F2271" s="9" t="s">
        <v>1369</v>
      </c>
      <c r="H2271" s="20" t="str">
        <f t="shared" si="35"/>
        <v>(nextval('obj_part_id_seq'), (select id from obj_building_v where zip||'|'||street||'|'||name||'|'||volume = '4950|Oberdorfstrasse 4|Berufsschulhaus|3800.00'), 'P48', 39, 90, 2016,'Stahlbeton, Mauerwerk'),</v>
      </c>
    </row>
    <row r="2272" spans="1:8" x14ac:dyDescent="0.25">
      <c r="A2272" s="9" t="s">
        <v>2531</v>
      </c>
      <c r="B2272" s="9" t="s">
        <v>1129</v>
      </c>
      <c r="C2272">
        <v>0</v>
      </c>
      <c r="D2272" t="s">
        <v>4080</v>
      </c>
      <c r="E2272">
        <v>2016</v>
      </c>
      <c r="F2272" s="9"/>
      <c r="H2272" s="20" t="str">
        <f t="shared" si="35"/>
        <v>(nextval('obj_part_id_seq'), (select id from obj_building_v where zip||'|'||street||'|'||name||'|'||volume = '4950|Oberdorfstrasse 4|Berufsschulhaus|3800.00'), 'P49', 0, null, 2016,null),</v>
      </c>
    </row>
    <row r="2273" spans="1:8" x14ac:dyDescent="0.25">
      <c r="A2273" s="9" t="s">
        <v>2531</v>
      </c>
      <c r="B2273" s="9" t="s">
        <v>1097</v>
      </c>
      <c r="C2273">
        <v>8</v>
      </c>
      <c r="D2273">
        <v>90</v>
      </c>
      <c r="E2273">
        <v>2016</v>
      </c>
      <c r="F2273" s="9" t="s">
        <v>2532</v>
      </c>
      <c r="H2273" s="20" t="str">
        <f t="shared" si="35"/>
        <v>(nextval('obj_part_id_seq'), (select id from obj_building_v where zip||'|'||street||'|'||name||'|'||volume = '4950|Oberdorfstrasse 4|Berufsschulhaus|3800.00'), 'P2', 8, 90, 2016,'Mansardendach mit Biberschwanzziegeln, isoliert, tw. ausgebaut, Dachuntersichten i.O., Lukarnen'),</v>
      </c>
    </row>
    <row r="2274" spans="1:8" x14ac:dyDescent="0.25">
      <c r="A2274" s="9" t="s">
        <v>2531</v>
      </c>
      <c r="B2274" s="9" t="s">
        <v>1099</v>
      </c>
      <c r="C2274">
        <v>0</v>
      </c>
      <c r="D2274" t="s">
        <v>4080</v>
      </c>
      <c r="E2274">
        <v>2016</v>
      </c>
      <c r="F2274" s="9"/>
      <c r="H2274" s="20" t="str">
        <f t="shared" si="35"/>
        <v>(nextval('obj_part_id_seq'), (select id from obj_building_v where zip||'|'||street||'|'||name||'|'||volume = '4950|Oberdorfstrasse 4|Berufsschulhaus|3800.00'), 'P3', 0, null, 2016,null),</v>
      </c>
    </row>
    <row r="2275" spans="1:8" x14ac:dyDescent="0.25">
      <c r="A2275" s="9" t="s">
        <v>2531</v>
      </c>
      <c r="B2275" s="9" t="s">
        <v>1100</v>
      </c>
      <c r="C2275">
        <v>7</v>
      </c>
      <c r="D2275">
        <v>90</v>
      </c>
      <c r="E2275">
        <v>2016</v>
      </c>
      <c r="F2275" s="9" t="s">
        <v>2533</v>
      </c>
      <c r="H2275" s="20" t="str">
        <f t="shared" si="35"/>
        <v>(nextval('obj_part_id_seq'), (select id from obj_building_v where zip||'|'||street||'|'||name||'|'||volume = '4950|Oberdorfstrasse 4|Berufsschulhaus|3800.00'), 'P4', 7, 90, 2016,'Mauerwerk verputzt, mit Natursteingewänden im Erdgeschoss und Holzgewänden und -fensterbrettern in den OG''s'),</v>
      </c>
    </row>
    <row r="2276" spans="1:8" x14ac:dyDescent="0.25">
      <c r="A2276" s="9" t="s">
        <v>2531</v>
      </c>
      <c r="B2276" s="9" t="s">
        <v>1102</v>
      </c>
      <c r="C2276">
        <v>10</v>
      </c>
      <c r="D2276">
        <v>90</v>
      </c>
      <c r="E2276">
        <v>2016</v>
      </c>
      <c r="F2276" s="9" t="s">
        <v>2534</v>
      </c>
      <c r="H2276" s="20" t="str">
        <f t="shared" si="35"/>
        <v>(nextval('obj_part_id_seq'), (select id from obj_building_v where zip||'|'||street||'|'||name||'|'||volume = '4950|Oberdorfstrasse 4|Berufsschulhaus|3800.00'), 'P5', 10, 90, 2016,'Holz-/Metallfenster mit Sprossen und Rafflamellenstoren'),</v>
      </c>
    </row>
    <row r="2277" spans="1:8" x14ac:dyDescent="0.25">
      <c r="A2277" s="9" t="s">
        <v>2531</v>
      </c>
      <c r="B2277" s="9" t="s">
        <v>1164</v>
      </c>
      <c r="C2277">
        <v>6</v>
      </c>
      <c r="D2277">
        <v>80</v>
      </c>
      <c r="E2277">
        <v>2016</v>
      </c>
      <c r="F2277" s="9" t="s">
        <v>2535</v>
      </c>
      <c r="H2277" s="20" t="str">
        <f t="shared" si="35"/>
        <v>(nextval('obj_part_id_seq'), (select id from obj_building_v where zip||'|'||street||'|'||name||'|'||volume = '4950|Oberdorfstrasse 4|Berufsschulhaus|3800.00'), 'P50', 6, 80, 2016,'Ältere Beleuchtung, Beamer, tw. Keramiksicherungen vorh.'),</v>
      </c>
    </row>
    <row r="2278" spans="1:8" x14ac:dyDescent="0.25">
      <c r="A2278" s="9" t="s">
        <v>2531</v>
      </c>
      <c r="B2278" s="9" t="s">
        <v>1166</v>
      </c>
      <c r="C2278">
        <v>1</v>
      </c>
      <c r="D2278">
        <v>90</v>
      </c>
      <c r="E2278">
        <v>2016</v>
      </c>
      <c r="F2278" s="9" t="s">
        <v>2536</v>
      </c>
      <c r="H2278" s="20" t="str">
        <f t="shared" si="35"/>
        <v>(nextval('obj_part_id_seq'), (select id from obj_building_v where zip||'|'||street||'|'||name||'|'||volume = '4950|Oberdorfstrasse 4|Berufsschulhaus|3800.00'), 'P51', 1, 90, 2016,'Telefon, EDV-Analge'),</v>
      </c>
    </row>
    <row r="2279" spans="1:8" x14ac:dyDescent="0.25">
      <c r="A2279" s="9" t="s">
        <v>2531</v>
      </c>
      <c r="B2279" s="9" t="s">
        <v>1104</v>
      </c>
      <c r="C2279">
        <v>1</v>
      </c>
      <c r="D2279">
        <v>90</v>
      </c>
      <c r="E2279">
        <v>2016</v>
      </c>
      <c r="F2279" s="9" t="s">
        <v>2537</v>
      </c>
      <c r="H2279" s="20" t="str">
        <f t="shared" si="35"/>
        <v>(nextval('obj_part_id_seq'), (select id from obj_building_v where zip||'|'||street||'|'||name||'|'||volume = '4950|Oberdorfstrasse 4|Berufsschulhaus|3800.00'), 'P6', 1, 90, 2016,'Fernwärme, WW-Boiler'),</v>
      </c>
    </row>
    <row r="2280" spans="1:8" x14ac:dyDescent="0.25">
      <c r="A2280" s="9" t="s">
        <v>2531</v>
      </c>
      <c r="B2280" s="9" t="s">
        <v>1106</v>
      </c>
      <c r="C2280">
        <v>3</v>
      </c>
      <c r="D2280">
        <v>90</v>
      </c>
      <c r="E2280">
        <v>2016</v>
      </c>
      <c r="F2280" s="9" t="s">
        <v>1571</v>
      </c>
      <c r="H2280" s="20" t="str">
        <f t="shared" si="35"/>
        <v>(nextval('obj_part_id_seq'), (select id from obj_building_v where zip||'|'||street||'|'||name||'|'||volume = '4950|Oberdorfstrasse 4|Berufsschulhaus|3800.00'), 'P7', 3, 90, 2016,'Bodenheizung'),</v>
      </c>
    </row>
    <row r="2281" spans="1:8" x14ac:dyDescent="0.25">
      <c r="A2281" s="9" t="s">
        <v>2531</v>
      </c>
      <c r="B2281" s="9" t="s">
        <v>1108</v>
      </c>
      <c r="C2281">
        <v>4</v>
      </c>
      <c r="D2281">
        <v>90</v>
      </c>
      <c r="E2281">
        <v>2016</v>
      </c>
      <c r="F2281" s="9" t="s">
        <v>2538</v>
      </c>
      <c r="H2281" s="20" t="str">
        <f t="shared" si="35"/>
        <v>(nextval('obj_part_id_seq'), (select id from obj_building_v where zip||'|'||street||'|'||name||'|'||volume = '4950|Oberdorfstrasse 4|Berufsschulhaus|3800.00'), 'P8', 4, 90, 2016,'Genügend Druck vorhanden, Wasser kann ungehindert abfliessen'),</v>
      </c>
    </row>
    <row r="2282" spans="1:8" x14ac:dyDescent="0.25">
      <c r="A2282" s="9" t="s">
        <v>2531</v>
      </c>
      <c r="B2282" s="9" t="s">
        <v>1138</v>
      </c>
      <c r="C2282">
        <v>11</v>
      </c>
      <c r="D2282">
        <v>90</v>
      </c>
      <c r="E2282">
        <v>2016</v>
      </c>
      <c r="F2282" s="9" t="s">
        <v>2539</v>
      </c>
      <c r="H2282" s="20" t="str">
        <f t="shared" si="35"/>
        <v>(nextval('obj_part_id_seq'), (select id from obj_building_v where zip||'|'||street||'|'||name||'|'||volume = '4950|Oberdorfstrasse 4|Berufsschulhaus|3800.00'), 'P57', 11, 90, 2016,'Einbauschränke, Garderoben, Windfang, Holzsimse'),</v>
      </c>
    </row>
    <row r="2283" spans="1:8" x14ac:dyDescent="0.25">
      <c r="A2283" s="9" t="s">
        <v>2531</v>
      </c>
      <c r="B2283" s="9" t="s">
        <v>1140</v>
      </c>
      <c r="C2283">
        <v>8</v>
      </c>
      <c r="D2283">
        <v>85</v>
      </c>
      <c r="E2283">
        <v>2016</v>
      </c>
      <c r="F2283" s="9" t="s">
        <v>2540</v>
      </c>
      <c r="H2283" s="20" t="str">
        <f t="shared" si="35"/>
        <v>(nextval('obj_part_id_seq'), (select id from obj_building_v where zip||'|'||street||'|'||name||'|'||volume = '4950|Oberdorfstrasse 4|Berufsschulhaus|3800.00'), 'P58', 8, 85, 2016,'B: Keramik, Linol, W: Verputz, einzelne Risse vorh., D: Täfer, Verputz'),</v>
      </c>
    </row>
    <row r="2284" spans="1:8" x14ac:dyDescent="0.25">
      <c r="A2284" s="9" t="s">
        <v>2531</v>
      </c>
      <c r="B2284" s="9" t="s">
        <v>1142</v>
      </c>
      <c r="C2284">
        <v>2</v>
      </c>
      <c r="D2284">
        <v>90</v>
      </c>
      <c r="E2284">
        <v>2016</v>
      </c>
      <c r="F2284" s="9" t="s">
        <v>2252</v>
      </c>
      <c r="H2284" s="20" t="str">
        <f t="shared" si="35"/>
        <v>(nextval('obj_part_id_seq'), (select id from obj_building_v where zip||'|'||street||'|'||name||'|'||volume = '4950|Oberdorfstrasse 4|Berufsschulhaus|3800.00'), 'P60', 2, 90, 2016,'Aufzug i.O.'),</v>
      </c>
    </row>
    <row r="2285" spans="1:8" x14ac:dyDescent="0.25">
      <c r="A2285" s="9" t="s">
        <v>2531</v>
      </c>
      <c r="B2285" s="9" t="s">
        <v>1143</v>
      </c>
      <c r="C2285">
        <v>0</v>
      </c>
      <c r="D2285" t="s">
        <v>4080</v>
      </c>
      <c r="E2285">
        <v>2016</v>
      </c>
      <c r="F2285" s="9"/>
      <c r="H2285" s="20" t="str">
        <f t="shared" si="35"/>
        <v>(nextval('obj_part_id_seq'), (select id from obj_building_v where zip||'|'||street||'|'||name||'|'||volume = '4950|Oberdorfstrasse 4|Berufsschulhaus|3800.00'), 'P61', 0, null, 2016,null),</v>
      </c>
    </row>
    <row r="2286" spans="1:8" x14ac:dyDescent="0.25">
      <c r="A2286" s="9" t="s">
        <v>2531</v>
      </c>
      <c r="B2286" s="9" t="s">
        <v>1144</v>
      </c>
      <c r="C2286">
        <v>0</v>
      </c>
      <c r="D2286" t="s">
        <v>4080</v>
      </c>
      <c r="E2286">
        <v>2016</v>
      </c>
      <c r="F2286" s="9"/>
      <c r="H2286" s="20" t="str">
        <f t="shared" si="35"/>
        <v>(nextval('obj_part_id_seq'), (select id from obj_building_v where zip||'|'||street||'|'||name||'|'||volume = '4950|Oberdorfstrasse 4|Berufsschulhaus|3800.00'), 'P62', 0, null, 2016,null),</v>
      </c>
    </row>
    <row r="2287" spans="1:8" x14ac:dyDescent="0.25">
      <c r="A2287" s="9" t="s">
        <v>2541</v>
      </c>
      <c r="B2287" s="9" t="s">
        <v>1127</v>
      </c>
      <c r="C2287">
        <v>73</v>
      </c>
      <c r="D2287">
        <v>90</v>
      </c>
      <c r="E2287">
        <v>2016</v>
      </c>
      <c r="F2287" s="9" t="s">
        <v>1698</v>
      </c>
      <c r="H2287" s="20" t="str">
        <f t="shared" si="35"/>
        <v>(nextval('obj_part_id_seq'), (select id from obj_building_v where zip||'|'||street||'|'||name||'|'||volume = '4950|Oberdorfstrasse 5|Velokeller|275.00'), 'P48', 73, 90, 2016,'Sichtbeton'),</v>
      </c>
    </row>
    <row r="2288" spans="1:8" x14ac:dyDescent="0.25">
      <c r="A2288" s="9" t="s">
        <v>2541</v>
      </c>
      <c r="B2288" s="9" t="s">
        <v>1129</v>
      </c>
      <c r="C2288">
        <v>0</v>
      </c>
      <c r="D2288" t="s">
        <v>4080</v>
      </c>
      <c r="E2288">
        <v>2016</v>
      </c>
      <c r="F2288" s="9"/>
      <c r="H2288" s="20" t="str">
        <f t="shared" si="35"/>
        <v>(nextval('obj_part_id_seq'), (select id from obj_building_v where zip||'|'||street||'|'||name||'|'||volume = '4950|Oberdorfstrasse 5|Velokeller|275.00'), 'P49', 0, null, 2016,null),</v>
      </c>
    </row>
    <row r="2289" spans="1:8" x14ac:dyDescent="0.25">
      <c r="A2289" s="9" t="s">
        <v>2541</v>
      </c>
      <c r="B2289" s="9" t="s">
        <v>1099</v>
      </c>
      <c r="C2289">
        <v>17</v>
      </c>
      <c r="D2289">
        <v>90</v>
      </c>
      <c r="E2289">
        <v>2016</v>
      </c>
      <c r="F2289" s="9" t="s">
        <v>2542</v>
      </c>
      <c r="H2289" s="20" t="str">
        <f t="shared" si="35"/>
        <v>(nextval('obj_part_id_seq'), (select id from obj_building_v where zip||'|'||street||'|'||name||'|'||volume = '4950|Oberdorfstrasse 5|Velokeller|275.00'), 'P3', 17, 90, 2016,'Das Flachdach ist begehbar, Nutzschicht: Zementplatten'),</v>
      </c>
    </row>
    <row r="2290" spans="1:8" x14ac:dyDescent="0.25">
      <c r="A2290" s="9" t="s">
        <v>2541</v>
      </c>
      <c r="B2290" s="9" t="s">
        <v>1100</v>
      </c>
      <c r="C2290">
        <v>1</v>
      </c>
      <c r="D2290">
        <v>80</v>
      </c>
      <c r="E2290">
        <v>2016</v>
      </c>
      <c r="F2290" s="9" t="s">
        <v>2543</v>
      </c>
      <c r="H2290" s="20" t="str">
        <f t="shared" si="35"/>
        <v>(nextval('obj_part_id_seq'), (select id from obj_building_v where zip||'|'||street||'|'||name||'|'||volume = '4950|Oberdorfstrasse 5|Velokeller|275.00'), 'P4', 1, 80, 2016,'Sichtbeton, tw. verwittert und vermoost'),</v>
      </c>
    </row>
    <row r="2291" spans="1:8" x14ac:dyDescent="0.25">
      <c r="A2291" s="9" t="s">
        <v>2541</v>
      </c>
      <c r="B2291" s="9" t="s">
        <v>1102</v>
      </c>
      <c r="C2291">
        <v>1</v>
      </c>
      <c r="D2291">
        <v>90</v>
      </c>
      <c r="E2291">
        <v>2016</v>
      </c>
      <c r="F2291" s="9" t="s">
        <v>2544</v>
      </c>
      <c r="H2291" s="20" t="str">
        <f t="shared" si="35"/>
        <v>(nextval('obj_part_id_seq'), (select id from obj_building_v where zip||'|'||street||'|'||name||'|'||volume = '4950|Oberdorfstrasse 5|Velokeller|275.00'), 'P5', 1, 90, 2016,'Gitter-/Kellerfenster'),</v>
      </c>
    </row>
    <row r="2292" spans="1:8" x14ac:dyDescent="0.25">
      <c r="A2292" s="9" t="s">
        <v>2541</v>
      </c>
      <c r="B2292" s="9" t="s">
        <v>1164</v>
      </c>
      <c r="C2292">
        <v>3</v>
      </c>
      <c r="D2292">
        <v>90</v>
      </c>
      <c r="E2292">
        <v>2016</v>
      </c>
      <c r="F2292" s="9" t="s">
        <v>1295</v>
      </c>
      <c r="H2292" s="20" t="str">
        <f t="shared" si="35"/>
        <v>(nextval('obj_part_id_seq'), (select id from obj_building_v where zip||'|'||street||'|'||name||'|'||volume = '4950|Oberdorfstrasse 5|Velokeller|275.00'), 'P50', 3, 90, 2016,'Beleuchtung'),</v>
      </c>
    </row>
    <row r="2293" spans="1:8" x14ac:dyDescent="0.25">
      <c r="A2293" s="9" t="s">
        <v>2541</v>
      </c>
      <c r="B2293" s="9" t="s">
        <v>1166</v>
      </c>
      <c r="C2293">
        <v>0</v>
      </c>
      <c r="D2293" t="s">
        <v>4080</v>
      </c>
      <c r="E2293">
        <v>2016</v>
      </c>
      <c r="F2293" s="9"/>
      <c r="H2293" s="20" t="str">
        <f t="shared" si="35"/>
        <v>(nextval('obj_part_id_seq'), (select id from obj_building_v where zip||'|'||street||'|'||name||'|'||volume = '4950|Oberdorfstrasse 5|Velokeller|275.00'), 'P51', 0, null, 2016,null),</v>
      </c>
    </row>
    <row r="2294" spans="1:8" x14ac:dyDescent="0.25">
      <c r="A2294" s="9" t="s">
        <v>2541</v>
      </c>
      <c r="B2294" s="9" t="s">
        <v>1403</v>
      </c>
      <c r="C2294">
        <v>0</v>
      </c>
      <c r="D2294" t="s">
        <v>4080</v>
      </c>
      <c r="E2294">
        <v>2016</v>
      </c>
      <c r="F2294" s="9"/>
      <c r="H2294" s="20" t="str">
        <f t="shared" si="35"/>
        <v>(nextval('obj_part_id_seq'), (select id from obj_building_v where zip||'|'||street||'|'||name||'|'||volume = '4950|Oberdorfstrasse 5|Velokeller|275.00'), 'P52', 0, null, 2016,null),</v>
      </c>
    </row>
    <row r="2295" spans="1:8" x14ac:dyDescent="0.25">
      <c r="A2295" s="9" t="s">
        <v>2541</v>
      </c>
      <c r="B2295" s="9" t="s">
        <v>1404</v>
      </c>
      <c r="C2295">
        <v>0</v>
      </c>
      <c r="D2295" t="s">
        <v>4080</v>
      </c>
      <c r="E2295">
        <v>2016</v>
      </c>
      <c r="F2295" s="9"/>
      <c r="H2295" s="20" t="str">
        <f t="shared" si="35"/>
        <v>(nextval('obj_part_id_seq'), (select id from obj_building_v where zip||'|'||street||'|'||name||'|'||volume = '4950|Oberdorfstrasse 5|Velokeller|275.00'), 'P53', 0, null, 2016,null),</v>
      </c>
    </row>
    <row r="2296" spans="1:8" x14ac:dyDescent="0.25">
      <c r="A2296" s="9" t="s">
        <v>2541</v>
      </c>
      <c r="B2296" s="9" t="s">
        <v>1108</v>
      </c>
      <c r="C2296">
        <v>0</v>
      </c>
      <c r="D2296" t="s">
        <v>4080</v>
      </c>
      <c r="E2296">
        <v>2016</v>
      </c>
      <c r="F2296" s="9"/>
      <c r="H2296" s="20" t="str">
        <f t="shared" si="35"/>
        <v>(nextval('obj_part_id_seq'), (select id from obj_building_v where zip||'|'||street||'|'||name||'|'||volume = '4950|Oberdorfstrasse 5|Velokeller|275.00'), 'P8', 0, null, 2016,null),</v>
      </c>
    </row>
    <row r="2297" spans="1:8" x14ac:dyDescent="0.25">
      <c r="A2297" s="9" t="s">
        <v>2541</v>
      </c>
      <c r="B2297" s="9" t="s">
        <v>1155</v>
      </c>
      <c r="C2297">
        <v>0</v>
      </c>
      <c r="D2297" t="s">
        <v>4080</v>
      </c>
      <c r="E2297">
        <v>2016</v>
      </c>
      <c r="F2297" s="9"/>
      <c r="H2297" s="20" t="str">
        <f t="shared" si="35"/>
        <v>(nextval('obj_part_id_seq'), (select id from obj_building_v where zip||'|'||street||'|'||name||'|'||volume = '4950|Oberdorfstrasse 5|Velokeller|275.00'), 'P56', 0, null, 2016,null),</v>
      </c>
    </row>
    <row r="2298" spans="1:8" x14ac:dyDescent="0.25">
      <c r="A2298" s="9" t="s">
        <v>2541</v>
      </c>
      <c r="B2298" s="9" t="s">
        <v>1114</v>
      </c>
      <c r="C2298">
        <v>5</v>
      </c>
      <c r="D2298">
        <v>80</v>
      </c>
      <c r="E2298">
        <v>2016</v>
      </c>
      <c r="F2298" s="9" t="s">
        <v>2545</v>
      </c>
      <c r="H2298" s="20" t="str">
        <f t="shared" si="35"/>
        <v>(nextval('obj_part_id_seq'), (select id from obj_building_v where zip||'|'||street||'|'||name||'|'||volume = '4950|Oberdorfstrasse 5|Velokeller|275.00'), 'P11', 5, 80, 2016,'B: Der Gehweg besteht aus Betonsteinen, W: Beton, D: Heraklith, rund um das Wasserleitungsrohr ist es nass, vermutlich undicht, die Ablaufrinne beim Eingang ist rostig, Metall-Geländer'),</v>
      </c>
    </row>
    <row r="2299" spans="1:8" x14ac:dyDescent="0.25">
      <c r="A2299" s="9" t="s">
        <v>2541</v>
      </c>
      <c r="B2299" s="9" t="s">
        <v>1142</v>
      </c>
      <c r="C2299">
        <v>0</v>
      </c>
      <c r="D2299" t="s">
        <v>4080</v>
      </c>
      <c r="E2299">
        <v>2016</v>
      </c>
      <c r="F2299" s="9"/>
      <c r="H2299" s="20" t="str">
        <f t="shared" si="35"/>
        <v>(nextval('obj_part_id_seq'), (select id from obj_building_v where zip||'|'||street||'|'||name||'|'||volume = '4950|Oberdorfstrasse 5|Velokeller|275.00'), 'P60', 0, null, 2016,null),</v>
      </c>
    </row>
    <row r="2300" spans="1:8" x14ac:dyDescent="0.25">
      <c r="A2300" s="9" t="s">
        <v>2541</v>
      </c>
      <c r="B2300" s="9" t="s">
        <v>1143</v>
      </c>
      <c r="C2300">
        <v>0</v>
      </c>
      <c r="D2300" t="s">
        <v>4080</v>
      </c>
      <c r="E2300">
        <v>2016</v>
      </c>
      <c r="F2300" s="9"/>
      <c r="H2300" s="20" t="str">
        <f t="shared" si="35"/>
        <v>(nextval('obj_part_id_seq'), (select id from obj_building_v where zip||'|'||street||'|'||name||'|'||volume = '4950|Oberdorfstrasse 5|Velokeller|275.00'), 'P61', 0, null, 2016,null),</v>
      </c>
    </row>
    <row r="2301" spans="1:8" x14ac:dyDescent="0.25">
      <c r="A2301" s="9" t="s">
        <v>2541</v>
      </c>
      <c r="B2301" s="9" t="s">
        <v>1144</v>
      </c>
      <c r="C2301">
        <v>0</v>
      </c>
      <c r="D2301" t="s">
        <v>4080</v>
      </c>
      <c r="E2301">
        <v>2016</v>
      </c>
      <c r="F2301" s="9"/>
      <c r="H2301" s="20" t="str">
        <f t="shared" si="35"/>
        <v>(nextval('obj_part_id_seq'), (select id from obj_building_v where zip||'|'||street||'|'||name||'|'||volume = '4950|Oberdorfstrasse 5|Velokeller|275.00'), 'P62', 0, null, 2016,null),</v>
      </c>
    </row>
    <row r="2302" spans="1:8" x14ac:dyDescent="0.25">
      <c r="A2302" s="9" t="s">
        <v>2546</v>
      </c>
      <c r="B2302" s="9" t="s">
        <v>1095</v>
      </c>
      <c r="C2302">
        <v>54</v>
      </c>
      <c r="D2302">
        <v>85</v>
      </c>
      <c r="E2302">
        <v>2016</v>
      </c>
      <c r="F2302" s="9" t="s">
        <v>2547</v>
      </c>
      <c r="H2302" s="20" t="str">
        <f t="shared" si="35"/>
        <v>(nextval('obj_part_id_seq'), (select id from obj_building_v where zip||'|'||street||'|'||name||'|'||volume = '4950|Oberdorfstrasse 11a|Schulhaus Städtli|9200.00'), 'P1', 54, 85, 2016,'Mauerwerk, Hourdisdecke und Metallstützen im UG, stellenweise rostig, Kunststeintreppen'),</v>
      </c>
    </row>
    <row r="2303" spans="1:8" x14ac:dyDescent="0.25">
      <c r="A2303" s="9" t="s">
        <v>2546</v>
      </c>
      <c r="B2303" s="9" t="s">
        <v>1097</v>
      </c>
      <c r="C2303">
        <v>13</v>
      </c>
      <c r="D2303">
        <v>90</v>
      </c>
      <c r="E2303">
        <v>2016</v>
      </c>
      <c r="F2303" s="9" t="s">
        <v>2548</v>
      </c>
      <c r="H2303" s="20" t="str">
        <f t="shared" si="35"/>
        <v>(nextval('obj_part_id_seq'), (select id from obj_building_v where zip||'|'||street||'|'||name||'|'||volume = '4950|Oberdorfstrasse 11a|Schulhaus Städtli|9200.00'), 'P2', 13, 90, 2016,'Satteldach mit Falzziegeln, im Dachraum teilweise ausgebaut, Bibliothek, einzelne Wasserflecken beim Unterdach'),</v>
      </c>
    </row>
    <row r="2304" spans="1:8" x14ac:dyDescent="0.25">
      <c r="A2304" s="9" t="s">
        <v>2546</v>
      </c>
      <c r="B2304" s="9" t="s">
        <v>1099</v>
      </c>
      <c r="C2304">
        <v>0</v>
      </c>
      <c r="D2304" t="s">
        <v>4080</v>
      </c>
      <c r="E2304">
        <v>2016</v>
      </c>
      <c r="F2304" s="9"/>
      <c r="H2304" s="20" t="str">
        <f t="shared" si="35"/>
        <v>(nextval('obj_part_id_seq'), (select id from obj_building_v where zip||'|'||street||'|'||name||'|'||volume = '4950|Oberdorfstrasse 11a|Schulhaus Städtli|9200.00'), 'P3', 0, null, 2016,null),</v>
      </c>
    </row>
    <row r="2305" spans="1:8" x14ac:dyDescent="0.25">
      <c r="A2305" s="9" t="s">
        <v>2546</v>
      </c>
      <c r="B2305" s="9" t="s">
        <v>1100</v>
      </c>
      <c r="C2305">
        <v>8</v>
      </c>
      <c r="D2305">
        <v>90</v>
      </c>
      <c r="E2305">
        <v>2016</v>
      </c>
      <c r="F2305" s="9" t="s">
        <v>2549</v>
      </c>
      <c r="H2305" s="20" t="str">
        <f t="shared" si="35"/>
        <v>(nextval('obj_part_id_seq'), (select id from obj_building_v where zip||'|'||street||'|'||name||'|'||volume = '4950|Oberdorfstrasse 11a|Schulhaus Städtli|9200.00'), 'P4', 8, 90, 2016,'Mauerwerk verputzt, Kunststeingewände, gestrichen'),</v>
      </c>
    </row>
    <row r="2306" spans="1:8" x14ac:dyDescent="0.25">
      <c r="A2306" s="9" t="s">
        <v>2546</v>
      </c>
      <c r="B2306" s="9" t="s">
        <v>1102</v>
      </c>
      <c r="C2306">
        <v>4</v>
      </c>
      <c r="D2306">
        <v>85</v>
      </c>
      <c r="E2306">
        <v>2016</v>
      </c>
      <c r="F2306" s="9" t="s">
        <v>2550</v>
      </c>
      <c r="H2306" s="20" t="str">
        <f t="shared" si="35"/>
        <v>(nextval('obj_part_id_seq'), (select id from obj_building_v where zip||'|'||street||'|'||name||'|'||volume = '4950|Oberdorfstrasse 11a|Schulhaus Städtli|9200.00'), 'P5', 4, 85, 2016,'Holz-/Metallfenster (''04) mit Rafflamellenstoren, Windfang aus Metall/Glas, undicht, fehlende Panikbeschläge'),</v>
      </c>
    </row>
    <row r="2307" spans="1:8" x14ac:dyDescent="0.25">
      <c r="A2307" s="9" t="s">
        <v>2546</v>
      </c>
      <c r="B2307" s="9" t="s">
        <v>1104</v>
      </c>
      <c r="C2307">
        <v>1</v>
      </c>
      <c r="D2307">
        <v>90</v>
      </c>
      <c r="E2307">
        <v>2016</v>
      </c>
      <c r="F2307" s="9" t="s">
        <v>1235</v>
      </c>
      <c r="H2307" s="20" t="str">
        <f t="shared" si="35"/>
        <v>(nextval('obj_part_id_seq'), (select id from obj_building_v where zip||'|'||street||'|'||name||'|'||volume = '4950|Oberdorfstrasse 11a|Schulhaus Städtli|9200.00'), 'P6', 1, 90, 2016,'Fernwärme'),</v>
      </c>
    </row>
    <row r="2308" spans="1:8" x14ac:dyDescent="0.25">
      <c r="A2308" s="9" t="s">
        <v>2546</v>
      </c>
      <c r="B2308" s="9" t="s">
        <v>1106</v>
      </c>
      <c r="C2308">
        <v>2</v>
      </c>
      <c r="D2308">
        <v>90</v>
      </c>
      <c r="E2308">
        <v>2016</v>
      </c>
      <c r="F2308" s="9" t="s">
        <v>1107</v>
      </c>
      <c r="H2308" s="20" t="str">
        <f t="shared" si="35"/>
        <v>(nextval('obj_part_id_seq'), (select id from obj_building_v where zip||'|'||street||'|'||name||'|'||volume = '4950|Oberdorfstrasse 11a|Schulhaus Städtli|9200.00'), 'P7', 2, 90, 2016,'Radiatoren mit Thermostaten'),</v>
      </c>
    </row>
    <row r="2309" spans="1:8" x14ac:dyDescent="0.25">
      <c r="A2309" s="9" t="s">
        <v>2546</v>
      </c>
      <c r="B2309" s="9" t="s">
        <v>1108</v>
      </c>
      <c r="C2309">
        <v>3</v>
      </c>
      <c r="D2309">
        <v>90</v>
      </c>
      <c r="E2309">
        <v>2016</v>
      </c>
      <c r="F2309" s="9" t="s">
        <v>2551</v>
      </c>
      <c r="H2309" s="20" t="str">
        <f t="shared" ref="H2309:H2372" si="36">"(nextval('obj_part_id_seq'), (select id from obj_building_v where zip||'|'||street||'|'||name||'|'||volume = '"&amp;A2309&amp;"'), '"&amp;B2309&amp;"', "&amp;C2309&amp;", "&amp;D2309&amp;", "&amp;IF(ISBLANK(E2309),"null",E2309)&amp;","&amp;IF(ISBLANK(F2309),"null","'"&amp;F2309&amp;"'")&amp;"),"</f>
        <v>(nextval('obj_part_id_seq'), (select id from obj_building_v where zip||'|'||street||'|'||name||'|'||volume = '4950|Oberdorfstrasse 11a|Schulhaus Städtli|9200.00'), 'P8', 3, 90, 2016,'Ausreichender Druck vorhanden, Apparate und Armaturen i.O., Wasser kann ungehindert ablaufen'),</v>
      </c>
    </row>
    <row r="2310" spans="1:8" x14ac:dyDescent="0.25">
      <c r="A2310" s="9" t="s">
        <v>2546</v>
      </c>
      <c r="B2310" s="9" t="s">
        <v>1110</v>
      </c>
      <c r="C2310">
        <v>2</v>
      </c>
      <c r="D2310">
        <v>90</v>
      </c>
      <c r="E2310">
        <v>2016</v>
      </c>
      <c r="F2310" s="9" t="s">
        <v>2552</v>
      </c>
      <c r="H2310" s="20" t="str">
        <f t="shared" si="36"/>
        <v>(nextval('obj_part_id_seq'), (select id from obj_building_v where zip||'|'||street||'|'||name||'|'||volume = '4950|Oberdorfstrasse 11a|Schulhaus Städtli|9200.00'), 'P9', 2, 90, 2016,'Warmwasser-Boiler, Beleuchtung, EDV-Anlagen'),</v>
      </c>
    </row>
    <row r="2311" spans="1:8" x14ac:dyDescent="0.25">
      <c r="A2311" s="9" t="s">
        <v>2546</v>
      </c>
      <c r="B2311" s="9" t="s">
        <v>1112</v>
      </c>
      <c r="C2311">
        <v>0</v>
      </c>
      <c r="D2311" t="s">
        <v>4080</v>
      </c>
      <c r="E2311">
        <v>2016</v>
      </c>
      <c r="F2311" s="9"/>
      <c r="H2311" s="20" t="str">
        <f t="shared" si="36"/>
        <v>(nextval('obj_part_id_seq'), (select id from obj_building_v where zip||'|'||street||'|'||name||'|'||volume = '4950|Oberdorfstrasse 11a|Schulhaus Städtli|9200.00'), 'P10', 0, null, 2016,null),</v>
      </c>
    </row>
    <row r="2312" spans="1:8" x14ac:dyDescent="0.25">
      <c r="A2312" s="9" t="s">
        <v>2546</v>
      </c>
      <c r="B2312" s="9" t="s">
        <v>1114</v>
      </c>
      <c r="C2312">
        <v>5</v>
      </c>
      <c r="D2312">
        <v>90</v>
      </c>
      <c r="E2312">
        <v>2016</v>
      </c>
      <c r="F2312" s="9" t="s">
        <v>2553</v>
      </c>
      <c r="H2312" s="20" t="str">
        <f t="shared" si="36"/>
        <v>(nextval('obj_part_id_seq'), (select id from obj_building_v where zip||'|'||street||'|'||name||'|'||volume = '4950|Oberdorfstrasse 11a|Schulhaus Städtli|9200.00'), 'P11', 5, 90, 2016,'Windfang, Holztreppe, Einbauschränke, Garderoben, Arbeitssimse, Küchen, Glas-Metallabschlüsse'),</v>
      </c>
    </row>
    <row r="2313" spans="1:8" x14ac:dyDescent="0.25">
      <c r="A2313" s="9" t="s">
        <v>2546</v>
      </c>
      <c r="B2313" s="9" t="s">
        <v>1114</v>
      </c>
      <c r="C2313">
        <v>8</v>
      </c>
      <c r="D2313">
        <v>80</v>
      </c>
      <c r="E2313">
        <v>2016</v>
      </c>
      <c r="F2313" s="9" t="s">
        <v>2554</v>
      </c>
      <c r="H2313" s="20" t="str">
        <f t="shared" si="36"/>
        <v>(nextval('obj_part_id_seq'), (select id from obj_building_v where zip||'|'||street||'|'||name||'|'||volume = '4950|Oberdorfstrasse 11a|Schulhaus Städtli|9200.00'), 'P11', 8, 80, 2016,'B: Linol, Parkett, Klinker, Kunststein, W: Verputz , an einzelnen Stellen sind Abplatzungen und Risse ersichtlich, D: Gipskartonplatten, Täfer, Verputz'),</v>
      </c>
    </row>
    <row r="2314" spans="1:8" x14ac:dyDescent="0.25">
      <c r="A2314" s="9" t="s">
        <v>2546</v>
      </c>
      <c r="B2314" s="9" t="s">
        <v>1116</v>
      </c>
      <c r="C2314">
        <v>0</v>
      </c>
      <c r="D2314" t="s">
        <v>4080</v>
      </c>
      <c r="E2314">
        <v>2016</v>
      </c>
      <c r="F2314" s="9"/>
      <c r="H2314" s="20" t="str">
        <f t="shared" si="36"/>
        <v>(nextval('obj_part_id_seq'), (select id from obj_building_v where zip||'|'||street||'|'||name||'|'||volume = '4950|Oberdorfstrasse 11a|Schulhaus Städtli|9200.00'), 'P12', 0, null, 2016,null),</v>
      </c>
    </row>
    <row r="2315" spans="1:8" x14ac:dyDescent="0.25">
      <c r="A2315" s="9" t="s">
        <v>2555</v>
      </c>
      <c r="B2315" s="9" t="s">
        <v>1127</v>
      </c>
      <c r="C2315">
        <v>41</v>
      </c>
      <c r="D2315">
        <v>90</v>
      </c>
      <c r="E2315">
        <v>2016</v>
      </c>
      <c r="F2315" s="9" t="s">
        <v>2556</v>
      </c>
      <c r="H2315" s="20" t="str">
        <f t="shared" si="36"/>
        <v>(nextval('obj_part_id_seq'), (select id from obj_building_v where zip||'|'||street||'|'||name||'|'||volume = '4950|Oberdorfstrasse 13/15/15b|Werkhof|3750.00'), 'P48', 41, 90, 2016,'Naturstein-Mauerwerk, Holzbalkendecken, BS-/KS-Mauerwerk mit Hourdisdecke, z.T. Beton'),</v>
      </c>
    </row>
    <row r="2316" spans="1:8" x14ac:dyDescent="0.25">
      <c r="A2316" s="9" t="s">
        <v>2555</v>
      </c>
      <c r="B2316" s="9" t="s">
        <v>1129</v>
      </c>
      <c r="C2316">
        <v>0</v>
      </c>
      <c r="D2316" t="s">
        <v>4080</v>
      </c>
      <c r="E2316">
        <v>2016</v>
      </c>
      <c r="F2316" s="9"/>
      <c r="H2316" s="20" t="str">
        <f t="shared" si="36"/>
        <v>(nextval('obj_part_id_seq'), (select id from obj_building_v where zip||'|'||street||'|'||name||'|'||volume = '4950|Oberdorfstrasse 13/15/15b|Werkhof|3750.00'), 'P49', 0, null, 2016,null),</v>
      </c>
    </row>
    <row r="2317" spans="1:8" x14ac:dyDescent="0.25">
      <c r="A2317" s="9" t="s">
        <v>2555</v>
      </c>
      <c r="B2317" s="9" t="s">
        <v>1097</v>
      </c>
      <c r="C2317">
        <v>13</v>
      </c>
      <c r="D2317">
        <v>90</v>
      </c>
      <c r="E2317">
        <v>2016</v>
      </c>
      <c r="F2317" s="9" t="s">
        <v>2557</v>
      </c>
      <c r="H2317" s="20" t="str">
        <f t="shared" si="36"/>
        <v>(nextval('obj_part_id_seq'), (select id from obj_building_v where zip||'|'||street||'|'||name||'|'||volume = '4950|Oberdorfstrasse 13/15/15b|Werkhof|3750.00'), 'P2', 13, 90, 2016,'Krüppelwalmdach mit Falzziegel und Eternitziegeln, Satteldach im ehem. Wohngebäude'),</v>
      </c>
    </row>
    <row r="2318" spans="1:8" x14ac:dyDescent="0.25">
      <c r="A2318" s="9" t="s">
        <v>2555</v>
      </c>
      <c r="B2318" s="9" t="s">
        <v>1099</v>
      </c>
      <c r="C2318">
        <v>0</v>
      </c>
      <c r="D2318" t="s">
        <v>4080</v>
      </c>
      <c r="E2318">
        <v>2016</v>
      </c>
      <c r="F2318" s="9"/>
      <c r="H2318" s="20" t="str">
        <f t="shared" si="36"/>
        <v>(nextval('obj_part_id_seq'), (select id from obj_building_v where zip||'|'||street||'|'||name||'|'||volume = '4950|Oberdorfstrasse 13/15/15b|Werkhof|3750.00'), 'P3', 0, null, 2016,null),</v>
      </c>
    </row>
    <row r="2319" spans="1:8" x14ac:dyDescent="0.25">
      <c r="A2319" s="9" t="s">
        <v>2555</v>
      </c>
      <c r="B2319" s="9" t="s">
        <v>1100</v>
      </c>
      <c r="C2319">
        <v>6</v>
      </c>
      <c r="D2319">
        <v>90</v>
      </c>
      <c r="E2319">
        <v>2016</v>
      </c>
      <c r="F2319" s="9" t="s">
        <v>2558</v>
      </c>
      <c r="H2319" s="20" t="str">
        <f t="shared" si="36"/>
        <v>(nextval('obj_part_id_seq'), (select id from obj_building_v where zip||'|'||street||'|'||name||'|'||volume = '4950|Oberdorfstrasse 13/15/15b|Werkhof|3750.00'), 'P4', 6, 90, 2016,'Bürogebäude: Mauerwerk verputzt und Eternitschindeln, \nWerkhof:  Holz, Anbau KS-Sichtmauerwerk'),</v>
      </c>
    </row>
    <row r="2320" spans="1:8" x14ac:dyDescent="0.25">
      <c r="A2320" s="9" t="s">
        <v>2555</v>
      </c>
      <c r="B2320" s="9" t="s">
        <v>1102</v>
      </c>
      <c r="C2320">
        <v>15</v>
      </c>
      <c r="D2320">
        <v>80</v>
      </c>
      <c r="E2320">
        <v>2016</v>
      </c>
      <c r="F2320" s="9" t="s">
        <v>2559</v>
      </c>
      <c r="H2320" s="20" t="str">
        <f t="shared" si="36"/>
        <v>(nextval('obj_part_id_seq'), (select id from obj_building_v where zip||'|'||street||'|'||name||'|'||volume = '4950|Oberdorfstrasse 13/15/15b|Werkhof|3750.00'), 'P5', 15, 80, 2016,'Holzfenster mit Holz-/Fensterläden und Sprossen, Oblicht, Sektionaltor'),</v>
      </c>
    </row>
    <row r="2321" spans="1:8" x14ac:dyDescent="0.25">
      <c r="A2321" s="9" t="s">
        <v>2555</v>
      </c>
      <c r="B2321" s="9" t="s">
        <v>1110</v>
      </c>
      <c r="C2321">
        <v>3</v>
      </c>
      <c r="D2321">
        <v>90</v>
      </c>
      <c r="E2321">
        <v>2016</v>
      </c>
      <c r="F2321" s="9" t="s">
        <v>2560</v>
      </c>
      <c r="H2321" s="20" t="str">
        <f t="shared" si="36"/>
        <v>(nextval('obj_part_id_seq'), (select id from obj_building_v where zip||'|'||street||'|'||name||'|'||volume = '4950|Oberdorfstrasse 13/15/15b|Werkhof|3750.00'), 'P9', 3, 90, 2016,'Beleuchtung, genügende Absicherung'),</v>
      </c>
    </row>
    <row r="2322" spans="1:8" x14ac:dyDescent="0.25">
      <c r="A2322" s="9" t="s">
        <v>2555</v>
      </c>
      <c r="B2322" s="9" t="s">
        <v>1104</v>
      </c>
      <c r="C2322">
        <v>1</v>
      </c>
      <c r="D2322">
        <v>90</v>
      </c>
      <c r="E2322">
        <v>2016</v>
      </c>
      <c r="F2322" s="9" t="s">
        <v>2537</v>
      </c>
      <c r="H2322" s="20" t="str">
        <f t="shared" si="36"/>
        <v>(nextval('obj_part_id_seq'), (select id from obj_building_v where zip||'|'||street||'|'||name||'|'||volume = '4950|Oberdorfstrasse 13/15/15b|Werkhof|3750.00'), 'P6', 1, 90, 2016,'Fernwärme, WW-Boiler'),</v>
      </c>
    </row>
    <row r="2323" spans="1:8" x14ac:dyDescent="0.25">
      <c r="A2323" s="9" t="s">
        <v>2555</v>
      </c>
      <c r="B2323" s="9" t="s">
        <v>1106</v>
      </c>
      <c r="C2323">
        <v>4</v>
      </c>
      <c r="D2323">
        <v>90</v>
      </c>
      <c r="E2323">
        <v>2016</v>
      </c>
      <c r="F2323" s="9" t="s">
        <v>2561</v>
      </c>
      <c r="H2323" s="20" t="str">
        <f t="shared" si="36"/>
        <v>(nextval('obj_part_id_seq'), (select id from obj_building_v where zip||'|'||street||'|'||name||'|'||volume = '4950|Oberdorfstrasse 13/15/15b|Werkhof|3750.00'), 'P7', 4, 90, 2016,'Bodenheizung und Radiatoren'),</v>
      </c>
    </row>
    <row r="2324" spans="1:8" x14ac:dyDescent="0.25">
      <c r="A2324" s="9" t="s">
        <v>2555</v>
      </c>
      <c r="B2324" s="9" t="s">
        <v>1403</v>
      </c>
      <c r="C2324">
        <v>0</v>
      </c>
      <c r="D2324" t="s">
        <v>4080</v>
      </c>
      <c r="E2324">
        <v>2016</v>
      </c>
      <c r="F2324" s="9"/>
      <c r="H2324" s="20" t="str">
        <f t="shared" si="36"/>
        <v>(nextval('obj_part_id_seq'), (select id from obj_building_v where zip||'|'||street||'|'||name||'|'||volume = '4950|Oberdorfstrasse 13/15/15b|Werkhof|3750.00'), 'P52', 0, null, 2016,null),</v>
      </c>
    </row>
    <row r="2325" spans="1:8" x14ac:dyDescent="0.25">
      <c r="A2325" s="9" t="s">
        <v>2555</v>
      </c>
      <c r="B2325" s="9" t="s">
        <v>1404</v>
      </c>
      <c r="C2325">
        <v>0</v>
      </c>
      <c r="D2325" t="s">
        <v>4080</v>
      </c>
      <c r="E2325">
        <v>2016</v>
      </c>
      <c r="F2325" s="9"/>
      <c r="H2325" s="20" t="str">
        <f t="shared" si="36"/>
        <v>(nextval('obj_part_id_seq'), (select id from obj_building_v where zip||'|'||street||'|'||name||'|'||volume = '4950|Oberdorfstrasse 13/15/15b|Werkhof|3750.00'), 'P53', 0, null, 2016,null),</v>
      </c>
    </row>
    <row r="2326" spans="1:8" x14ac:dyDescent="0.25">
      <c r="A2326" s="9" t="s">
        <v>2555</v>
      </c>
      <c r="B2326" s="9" t="s">
        <v>1108</v>
      </c>
      <c r="C2326">
        <v>4</v>
      </c>
      <c r="D2326">
        <v>85</v>
      </c>
      <c r="E2326">
        <v>2016</v>
      </c>
      <c r="F2326" s="9" t="s">
        <v>2562</v>
      </c>
      <c r="H2326" s="20" t="str">
        <f t="shared" si="36"/>
        <v>(nextval('obj_part_id_seq'), (select id from obj_building_v where zip||'|'||street||'|'||name||'|'||volume = '4950|Oberdorfstrasse 13/15/15b|Werkhof|3750.00'), 'P8', 4, 85, 2016,'Tw. sind keine Mischventile vorhanden, ansonsten sind keine Mängel ersichtlich'),</v>
      </c>
    </row>
    <row r="2327" spans="1:8" x14ac:dyDescent="0.25">
      <c r="A2327" s="9" t="s">
        <v>2555</v>
      </c>
      <c r="B2327" s="9" t="s">
        <v>1155</v>
      </c>
      <c r="C2327">
        <v>0</v>
      </c>
      <c r="D2327" t="s">
        <v>4080</v>
      </c>
      <c r="E2327">
        <v>2016</v>
      </c>
      <c r="F2327" s="9"/>
      <c r="H2327" s="20" t="str">
        <f t="shared" si="36"/>
        <v>(nextval('obj_part_id_seq'), (select id from obj_building_v where zip||'|'||street||'|'||name||'|'||volume = '4950|Oberdorfstrasse 13/15/15b|Werkhof|3750.00'), 'P56', 0, null, 2016,null),</v>
      </c>
    </row>
    <row r="2328" spans="1:8" x14ac:dyDescent="0.25">
      <c r="A2328" s="9" t="s">
        <v>2555</v>
      </c>
      <c r="B2328" s="9" t="s">
        <v>1138</v>
      </c>
      <c r="C2328">
        <v>8</v>
      </c>
      <c r="D2328">
        <v>90</v>
      </c>
      <c r="E2328">
        <v>2016</v>
      </c>
      <c r="F2328" s="9" t="s">
        <v>2563</v>
      </c>
      <c r="H2328" s="20" t="str">
        <f t="shared" si="36"/>
        <v>(nextval('obj_part_id_seq'), (select id from obj_building_v where zip||'|'||street||'|'||name||'|'||volume = '4950|Oberdorfstrasse 13/15/15b|Werkhof|3750.00'), 'P57', 8, 90, 2016,'Einbauschränke, Garderoben, Holztreppe, Teeküche, Trennwände'),</v>
      </c>
    </row>
    <row r="2329" spans="1:8" x14ac:dyDescent="0.25">
      <c r="A2329" s="9" t="s">
        <v>2555</v>
      </c>
      <c r="B2329" s="9" t="s">
        <v>1140</v>
      </c>
      <c r="C2329">
        <v>5</v>
      </c>
      <c r="D2329">
        <v>80</v>
      </c>
      <c r="E2329">
        <v>2016</v>
      </c>
      <c r="F2329" s="9" t="s">
        <v>2564</v>
      </c>
      <c r="H2329" s="20" t="str">
        <f t="shared" si="36"/>
        <v>(nextval('obj_part_id_seq'), (select id from obj_building_v where zip||'|'||street||'|'||name||'|'||volume = '4950|Oberdorfstrasse 13/15/15b|Werkhof|3750.00'), 'P58', 5, 80, 2016,'B: Linol, Keramik, W: Verputz, Abrieb, Holz, Keramikplatten, D: Abrieb, tw. Schimmelpilz, Täfer'),</v>
      </c>
    </row>
    <row r="2330" spans="1:8" x14ac:dyDescent="0.25">
      <c r="A2330" s="9" t="s">
        <v>2555</v>
      </c>
      <c r="B2330" s="9" t="s">
        <v>1142</v>
      </c>
      <c r="C2330">
        <v>0</v>
      </c>
      <c r="D2330" t="s">
        <v>4080</v>
      </c>
      <c r="E2330">
        <v>2016</v>
      </c>
      <c r="F2330" s="9"/>
      <c r="H2330" s="20" t="str">
        <f t="shared" si="36"/>
        <v>(nextval('obj_part_id_seq'), (select id from obj_building_v where zip||'|'||street||'|'||name||'|'||volume = '4950|Oberdorfstrasse 13/15/15b|Werkhof|3750.00'), 'P60', 0, null, 2016,null),</v>
      </c>
    </row>
    <row r="2331" spans="1:8" x14ac:dyDescent="0.25">
      <c r="A2331" s="9" t="s">
        <v>2555</v>
      </c>
      <c r="B2331" s="9" t="s">
        <v>1143</v>
      </c>
      <c r="C2331">
        <v>0</v>
      </c>
      <c r="D2331" t="s">
        <v>4080</v>
      </c>
      <c r="E2331">
        <v>2016</v>
      </c>
      <c r="F2331" s="9"/>
      <c r="H2331" s="20" t="str">
        <f t="shared" si="36"/>
        <v>(nextval('obj_part_id_seq'), (select id from obj_building_v where zip||'|'||street||'|'||name||'|'||volume = '4950|Oberdorfstrasse 13/15/15b|Werkhof|3750.00'), 'P61', 0, null, 2016,null),</v>
      </c>
    </row>
    <row r="2332" spans="1:8" x14ac:dyDescent="0.25">
      <c r="A2332" s="9" t="s">
        <v>2555</v>
      </c>
      <c r="B2332" s="9" t="s">
        <v>1144</v>
      </c>
      <c r="C2332">
        <v>0</v>
      </c>
      <c r="D2332" t="s">
        <v>4080</v>
      </c>
      <c r="E2332">
        <v>2016</v>
      </c>
      <c r="F2332" s="9"/>
      <c r="H2332" s="20" t="str">
        <f t="shared" si="36"/>
        <v>(nextval('obj_part_id_seq'), (select id from obj_building_v where zip||'|'||street||'|'||name||'|'||volume = '4950|Oberdorfstrasse 13/15/15b|Werkhof|3750.00'), 'P62', 0, null, 2016,null),</v>
      </c>
    </row>
    <row r="2333" spans="1:8" x14ac:dyDescent="0.25">
      <c r="A2333" s="9" t="s">
        <v>2565</v>
      </c>
      <c r="B2333" s="9" t="s">
        <v>1095</v>
      </c>
      <c r="C2333">
        <v>49</v>
      </c>
      <c r="D2333">
        <v>90</v>
      </c>
      <c r="E2333">
        <v>2016</v>
      </c>
      <c r="F2333" s="9" t="s">
        <v>2168</v>
      </c>
      <c r="H2333" s="20" t="str">
        <f t="shared" si="36"/>
        <v>(nextval('obj_part_id_seq'), (select id from obj_building_v where zip||'|'||street||'|'||name||'|'||volume = '4950|Buchenweg 6b|Wasserversorgung|480.00'), 'P1', 49, 90, 2016,'Mauerwerk'),</v>
      </c>
    </row>
    <row r="2334" spans="1:8" x14ac:dyDescent="0.25">
      <c r="A2334" s="9" t="s">
        <v>2565</v>
      </c>
      <c r="B2334" s="9" t="s">
        <v>1097</v>
      </c>
      <c r="C2334">
        <v>12</v>
      </c>
      <c r="D2334">
        <v>90</v>
      </c>
      <c r="E2334">
        <v>2016</v>
      </c>
      <c r="F2334" s="9" t="s">
        <v>2566</v>
      </c>
      <c r="H2334" s="20" t="str">
        <f t="shared" si="36"/>
        <v>(nextval('obj_part_id_seq'), (select id from obj_building_v where zip||'|'||street||'|'||name||'|'||volume = '4950|Buchenweg 6b|Wasserversorgung|480.00'), 'P2', 12, 90, 2016,'Satteldach mit Falzziegel, Untersichten aus Holz\nNebengebäude: Satteldach mit Biberschwanzziegel'),</v>
      </c>
    </row>
    <row r="2335" spans="1:8" x14ac:dyDescent="0.25">
      <c r="A2335" s="9" t="s">
        <v>2565</v>
      </c>
      <c r="B2335" s="9" t="s">
        <v>1099</v>
      </c>
      <c r="C2335">
        <v>0</v>
      </c>
      <c r="D2335" t="s">
        <v>4080</v>
      </c>
      <c r="E2335">
        <v>2016</v>
      </c>
      <c r="F2335" s="9"/>
      <c r="H2335" s="20" t="str">
        <f t="shared" si="36"/>
        <v>(nextval('obj_part_id_seq'), (select id from obj_building_v where zip||'|'||street||'|'||name||'|'||volume = '4950|Buchenweg 6b|Wasserversorgung|480.00'), 'P3', 0, null, 2016,null),</v>
      </c>
    </row>
    <row r="2336" spans="1:8" x14ac:dyDescent="0.25">
      <c r="A2336" s="9" t="s">
        <v>2565</v>
      </c>
      <c r="B2336" s="9" t="s">
        <v>1100</v>
      </c>
      <c r="C2336">
        <v>8</v>
      </c>
      <c r="D2336">
        <v>90</v>
      </c>
      <c r="E2336">
        <v>2016</v>
      </c>
      <c r="F2336" s="9" t="s">
        <v>2567</v>
      </c>
      <c r="H2336" s="20" t="str">
        <f t="shared" si="36"/>
        <v>(nextval('obj_part_id_seq'), (select id from obj_building_v where zip||'|'||street||'|'||name||'|'||volume = '4950|Buchenweg 6b|Wasserversorgung|480.00'), 'P4', 8, 90, 2016,'Mauerwerk, verputzt, Natursteingewände am Eingang'),</v>
      </c>
    </row>
    <row r="2337" spans="1:8" x14ac:dyDescent="0.25">
      <c r="A2337" s="9" t="s">
        <v>2565</v>
      </c>
      <c r="B2337" s="9" t="s">
        <v>1102</v>
      </c>
      <c r="C2337">
        <v>4</v>
      </c>
      <c r="D2337">
        <v>80</v>
      </c>
      <c r="E2337">
        <v>2016</v>
      </c>
      <c r="F2337" s="9" t="s">
        <v>2568</v>
      </c>
      <c r="H2337" s="20" t="str">
        <f t="shared" si="36"/>
        <v>(nextval('obj_part_id_seq'), (select id from obj_building_v where zip||'|'||street||'|'||name||'|'||volume = '4950|Buchenweg 6b|Wasserversorgung|480.00'), 'P5', 4, 80, 2016,'Holzfenster mit Schutzgitter, Aussentüre aus Holz'),</v>
      </c>
    </row>
    <row r="2338" spans="1:8" x14ac:dyDescent="0.25">
      <c r="A2338" s="9" t="s">
        <v>2565</v>
      </c>
      <c r="B2338" s="9" t="s">
        <v>1104</v>
      </c>
      <c r="C2338">
        <v>1</v>
      </c>
      <c r="D2338">
        <v>85</v>
      </c>
      <c r="E2338">
        <v>2016</v>
      </c>
      <c r="F2338" s="9" t="s">
        <v>2227</v>
      </c>
      <c r="H2338" s="20" t="str">
        <f t="shared" si="36"/>
        <v>(nextval('obj_part_id_seq'), (select id from obj_building_v where zip||'|'||street||'|'||name||'|'||volume = '4950|Buchenweg 6b|Wasserversorgung|480.00'), 'P6', 1, 85, 2016,'Elektroheizung'),</v>
      </c>
    </row>
    <row r="2339" spans="1:8" x14ac:dyDescent="0.25">
      <c r="A2339" s="9" t="s">
        <v>2565</v>
      </c>
      <c r="B2339" s="9" t="s">
        <v>1106</v>
      </c>
      <c r="C2339">
        <v>0</v>
      </c>
      <c r="D2339" t="s">
        <v>4080</v>
      </c>
      <c r="E2339">
        <v>2016</v>
      </c>
      <c r="F2339" s="9"/>
      <c r="H2339" s="20" t="str">
        <f t="shared" si="36"/>
        <v>(nextval('obj_part_id_seq'), (select id from obj_building_v where zip||'|'||street||'|'||name||'|'||volume = '4950|Buchenweg 6b|Wasserversorgung|480.00'), 'P7', 0, null, 2016,null),</v>
      </c>
    </row>
    <row r="2340" spans="1:8" x14ac:dyDescent="0.25">
      <c r="A2340" s="9" t="s">
        <v>2565</v>
      </c>
      <c r="B2340" s="9" t="s">
        <v>1108</v>
      </c>
      <c r="C2340">
        <v>3</v>
      </c>
      <c r="D2340">
        <v>90</v>
      </c>
      <c r="E2340">
        <v>2016</v>
      </c>
      <c r="F2340" s="9" t="s">
        <v>1218</v>
      </c>
      <c r="H2340" s="20" t="str">
        <f t="shared" si="36"/>
        <v>(nextval('obj_part_id_seq'), (select id from obj_building_v where zip||'|'||street||'|'||name||'|'||volume = '4950|Buchenweg 6b|Wasserversorgung|480.00'), 'P8', 3, 90, 2016,'Keine Mängel bekannt'),</v>
      </c>
    </row>
    <row r="2341" spans="1:8" x14ac:dyDescent="0.25">
      <c r="A2341" s="9" t="s">
        <v>2565</v>
      </c>
      <c r="B2341" s="9" t="s">
        <v>1110</v>
      </c>
      <c r="C2341">
        <v>6</v>
      </c>
      <c r="D2341">
        <v>90</v>
      </c>
      <c r="E2341">
        <v>2016</v>
      </c>
      <c r="F2341" s="9" t="s">
        <v>1295</v>
      </c>
      <c r="H2341" s="20" t="str">
        <f t="shared" si="36"/>
        <v>(nextval('obj_part_id_seq'), (select id from obj_building_v where zip||'|'||street||'|'||name||'|'||volume = '4950|Buchenweg 6b|Wasserversorgung|480.00'), 'P9', 6, 90, 2016,'Beleuchtung'),</v>
      </c>
    </row>
    <row r="2342" spans="1:8" x14ac:dyDescent="0.25">
      <c r="A2342" s="9" t="s">
        <v>2565</v>
      </c>
      <c r="B2342" s="9" t="s">
        <v>1112</v>
      </c>
      <c r="C2342">
        <v>0</v>
      </c>
      <c r="D2342" t="s">
        <v>4080</v>
      </c>
      <c r="E2342">
        <v>2016</v>
      </c>
      <c r="F2342" s="9"/>
      <c r="H2342" s="20" t="str">
        <f t="shared" si="36"/>
        <v>(nextval('obj_part_id_seq'), (select id from obj_building_v where zip||'|'||street||'|'||name||'|'||volume = '4950|Buchenweg 6b|Wasserversorgung|480.00'), 'P10', 0, null, 2016,null),</v>
      </c>
    </row>
    <row r="2343" spans="1:8" x14ac:dyDescent="0.25">
      <c r="A2343" s="9" t="s">
        <v>2565</v>
      </c>
      <c r="B2343" s="9" t="s">
        <v>1114</v>
      </c>
      <c r="C2343">
        <v>2</v>
      </c>
      <c r="D2343">
        <v>90</v>
      </c>
      <c r="E2343">
        <v>2016</v>
      </c>
      <c r="F2343" s="9" t="s">
        <v>2569</v>
      </c>
      <c r="H2343" s="20" t="str">
        <f t="shared" si="36"/>
        <v>(nextval('obj_part_id_seq'), (select id from obj_building_v where zip||'|'||street||'|'||name||'|'||volume = '4950|Buchenweg 6b|Wasserversorgung|480.00'), 'P11', 2, 90, 2016,'Einbauschrank, Hebezug'),</v>
      </c>
    </row>
    <row r="2344" spans="1:8" x14ac:dyDescent="0.25">
      <c r="A2344" s="9" t="s">
        <v>2565</v>
      </c>
      <c r="B2344" s="9" t="s">
        <v>1114</v>
      </c>
      <c r="C2344">
        <v>15</v>
      </c>
      <c r="D2344">
        <v>85</v>
      </c>
      <c r="E2344">
        <v>2016</v>
      </c>
      <c r="F2344" s="9" t="s">
        <v>2570</v>
      </c>
      <c r="H2344" s="20" t="str">
        <f t="shared" si="36"/>
        <v>(nextval('obj_part_id_seq'), (select id from obj_building_v where zip||'|'||street||'|'||name||'|'||volume = '4950|Buchenweg 6b|Wasserversorgung|480.00'), 'P11', 15, 85, 2016,'B: Keramik, Beton gestrichen, an einzelnen Stellen Vermoosungen und Rostflecken erkennbar, W+D: Verputz'),</v>
      </c>
    </row>
    <row r="2345" spans="1:8" x14ac:dyDescent="0.25">
      <c r="A2345" s="9" t="s">
        <v>2565</v>
      </c>
      <c r="B2345" s="9" t="s">
        <v>1116</v>
      </c>
      <c r="C2345">
        <v>0</v>
      </c>
      <c r="D2345" t="s">
        <v>4080</v>
      </c>
      <c r="E2345">
        <v>2016</v>
      </c>
      <c r="F2345" s="9"/>
      <c r="H2345" s="20" t="str">
        <f t="shared" si="36"/>
        <v>(nextval('obj_part_id_seq'), (select id from obj_building_v where zip||'|'||street||'|'||name||'|'||volume = '4950|Buchenweg 6b|Wasserversorgung|480.00'), 'P12', 0, null, 2016,null),</v>
      </c>
    </row>
    <row r="2346" spans="1:8" x14ac:dyDescent="0.25">
      <c r="A2346" s="9" t="s">
        <v>2571</v>
      </c>
      <c r="B2346" s="9" t="s">
        <v>1095</v>
      </c>
      <c r="C2346">
        <v>41</v>
      </c>
      <c r="D2346">
        <v>90</v>
      </c>
      <c r="E2346">
        <v>2016</v>
      </c>
      <c r="F2346" s="9" t="s">
        <v>2572</v>
      </c>
      <c r="H2346" s="20" t="str">
        <f t="shared" si="36"/>
        <v>(nextval('obj_part_id_seq'), (select id from obj_building_v where zip||'|'||street||'|'||name||'|'||volume = '4950|Huttwilwald 1a|Pumpwerk|291.00'), 'P1', 41, 90, 2016,'KS-Mauerwerk und Stahlbeton, Stahlträger/Laufschiene'),</v>
      </c>
    </row>
    <row r="2347" spans="1:8" x14ac:dyDescent="0.25">
      <c r="A2347" s="9" t="s">
        <v>2571</v>
      </c>
      <c r="B2347" s="9" t="s">
        <v>1097</v>
      </c>
      <c r="C2347">
        <v>0</v>
      </c>
      <c r="D2347" t="s">
        <v>4080</v>
      </c>
      <c r="E2347">
        <v>2016</v>
      </c>
      <c r="F2347" s="9"/>
      <c r="H2347" s="20" t="str">
        <f t="shared" si="36"/>
        <v>(nextval('obj_part_id_seq'), (select id from obj_building_v where zip||'|'||street||'|'||name||'|'||volume = '4950|Huttwilwald 1a|Pumpwerk|291.00'), 'P2', 0, null, 2016,null),</v>
      </c>
    </row>
    <row r="2348" spans="1:8" x14ac:dyDescent="0.25">
      <c r="A2348" s="9" t="s">
        <v>2571</v>
      </c>
      <c r="B2348" s="9" t="s">
        <v>1099</v>
      </c>
      <c r="C2348">
        <v>8</v>
      </c>
      <c r="D2348">
        <v>90</v>
      </c>
      <c r="E2348">
        <v>2016</v>
      </c>
      <c r="F2348" s="9" t="s">
        <v>2573</v>
      </c>
      <c r="H2348" s="20" t="str">
        <f t="shared" si="36"/>
        <v>(nextval('obj_part_id_seq'), (select id from obj_building_v where zip||'|'||street||'|'||name||'|'||volume = '4950|Huttwilwald 1a|Pumpwerk|291.00'), 'P3', 8, 90, 2016,'Blechdach'),</v>
      </c>
    </row>
    <row r="2349" spans="1:8" x14ac:dyDescent="0.25">
      <c r="A2349" s="9" t="s">
        <v>2571</v>
      </c>
      <c r="B2349" s="9" t="s">
        <v>1100</v>
      </c>
      <c r="C2349">
        <v>10</v>
      </c>
      <c r="D2349">
        <v>90</v>
      </c>
      <c r="E2349">
        <v>2016</v>
      </c>
      <c r="F2349" s="9" t="s">
        <v>1698</v>
      </c>
      <c r="H2349" s="20" t="str">
        <f t="shared" si="36"/>
        <v>(nextval('obj_part_id_seq'), (select id from obj_building_v where zip||'|'||street||'|'||name||'|'||volume = '4950|Huttwilwald 1a|Pumpwerk|291.00'), 'P4', 10, 90, 2016,'Sichtbeton'),</v>
      </c>
    </row>
    <row r="2350" spans="1:8" x14ac:dyDescent="0.25">
      <c r="A2350" s="9" t="s">
        <v>2571</v>
      </c>
      <c r="B2350" s="9" t="s">
        <v>1102</v>
      </c>
      <c r="C2350">
        <v>1</v>
      </c>
      <c r="D2350">
        <v>90</v>
      </c>
      <c r="E2350">
        <v>2016</v>
      </c>
      <c r="F2350" s="9" t="s">
        <v>2500</v>
      </c>
      <c r="H2350" s="20" t="str">
        <f t="shared" si="36"/>
        <v>(nextval('obj_part_id_seq'), (select id from obj_building_v where zip||'|'||street||'|'||name||'|'||volume = '4950|Huttwilwald 1a|Pumpwerk|291.00'), 'P5', 1, 90, 2016,'Eingangstür aus Aluminium'),</v>
      </c>
    </row>
    <row r="2351" spans="1:8" x14ac:dyDescent="0.25">
      <c r="A2351" s="9" t="s">
        <v>2571</v>
      </c>
      <c r="B2351" s="9" t="s">
        <v>1104</v>
      </c>
      <c r="C2351">
        <v>1</v>
      </c>
      <c r="D2351">
        <v>90</v>
      </c>
      <c r="E2351">
        <v>2016</v>
      </c>
      <c r="F2351" s="9" t="s">
        <v>2574</v>
      </c>
      <c r="H2351" s="20" t="str">
        <f t="shared" si="36"/>
        <v>(nextval('obj_part_id_seq'), (select id from obj_building_v where zip||'|'||street||'|'||name||'|'||volume = '4950|Huttwilwald 1a|Pumpwerk|291.00'), 'P6', 1, 90, 2016,'Klimaanlage'),</v>
      </c>
    </row>
    <row r="2352" spans="1:8" x14ac:dyDescent="0.25">
      <c r="A2352" s="9" t="s">
        <v>2571</v>
      </c>
      <c r="B2352" s="9" t="s">
        <v>1106</v>
      </c>
      <c r="C2352">
        <v>2</v>
      </c>
      <c r="D2352">
        <v>90</v>
      </c>
      <c r="E2352">
        <v>2016</v>
      </c>
      <c r="F2352" s="9" t="s">
        <v>2574</v>
      </c>
      <c r="H2352" s="20" t="str">
        <f t="shared" si="36"/>
        <v>(nextval('obj_part_id_seq'), (select id from obj_building_v where zip||'|'||street||'|'||name||'|'||volume = '4950|Huttwilwald 1a|Pumpwerk|291.00'), 'P7', 2, 90, 2016,'Klimaanlage'),</v>
      </c>
    </row>
    <row r="2353" spans="1:8" x14ac:dyDescent="0.25">
      <c r="A2353" s="9" t="s">
        <v>2571</v>
      </c>
      <c r="B2353" s="9" t="s">
        <v>1108</v>
      </c>
      <c r="C2353">
        <v>0</v>
      </c>
      <c r="D2353" t="s">
        <v>4080</v>
      </c>
      <c r="E2353">
        <v>2016</v>
      </c>
      <c r="F2353" s="9" t="s">
        <v>2575</v>
      </c>
      <c r="H2353" s="20" t="str">
        <f t="shared" si="36"/>
        <v>(nextval('obj_part_id_seq'), (select id from obj_building_v where zip||'|'||street||'|'||name||'|'||volume = '4950|Huttwilwald 1a|Pumpwerk|291.00'), 'P8', 0, null, 2016,'Pumpen'),</v>
      </c>
    </row>
    <row r="2354" spans="1:8" x14ac:dyDescent="0.25">
      <c r="A2354" s="9" t="s">
        <v>2571</v>
      </c>
      <c r="B2354" s="9" t="s">
        <v>1110</v>
      </c>
      <c r="C2354">
        <v>6</v>
      </c>
      <c r="D2354">
        <v>90</v>
      </c>
      <c r="E2354">
        <v>2016</v>
      </c>
      <c r="F2354" s="9" t="s">
        <v>2576</v>
      </c>
      <c r="H2354" s="20" t="str">
        <f t="shared" si="36"/>
        <v>(nextval('obj_part_id_seq'), (select id from obj_building_v where zip||'|'||street||'|'||name||'|'||volume = '4950|Huttwilwald 1a|Pumpwerk|291.00'), 'P9', 6, 90, 2016,'Pumpensteuerung, Beleuchtung'),</v>
      </c>
    </row>
    <row r="2355" spans="1:8" x14ac:dyDescent="0.25">
      <c r="A2355" s="9" t="s">
        <v>2571</v>
      </c>
      <c r="B2355" s="9" t="s">
        <v>1112</v>
      </c>
      <c r="C2355">
        <v>3</v>
      </c>
      <c r="D2355">
        <v>90</v>
      </c>
      <c r="E2355">
        <v>2016</v>
      </c>
      <c r="F2355" s="9" t="s">
        <v>2577</v>
      </c>
      <c r="H2355" s="20" t="str">
        <f t="shared" si="36"/>
        <v>(nextval('obj_part_id_seq'), (select id from obj_building_v where zip||'|'||street||'|'||name||'|'||volume = '4950|Huttwilwald 1a|Pumpwerk|291.00'), 'P10', 3, 90, 2016,'Lüftung'),</v>
      </c>
    </row>
    <row r="2356" spans="1:8" x14ac:dyDescent="0.25">
      <c r="A2356" s="9" t="s">
        <v>2571</v>
      </c>
      <c r="B2356" s="9" t="s">
        <v>1114</v>
      </c>
      <c r="C2356">
        <v>1</v>
      </c>
      <c r="D2356">
        <v>90</v>
      </c>
      <c r="E2356">
        <v>2016</v>
      </c>
      <c r="F2356" s="9" t="s">
        <v>2578</v>
      </c>
      <c r="H2356" s="20" t="str">
        <f t="shared" si="36"/>
        <v>(nextval('obj_part_id_seq'), (select id from obj_building_v where zip||'|'||street||'|'||name||'|'||volume = '4950|Huttwilwald 1a|Pumpwerk|291.00'), 'P11', 1, 90, 2016,'Elektro-Hebezug, Metallgeländer'),</v>
      </c>
    </row>
    <row r="2357" spans="1:8" x14ac:dyDescent="0.25">
      <c r="A2357" s="9" t="s">
        <v>2571</v>
      </c>
      <c r="B2357" s="9" t="s">
        <v>1114</v>
      </c>
      <c r="C2357">
        <v>27</v>
      </c>
      <c r="D2357">
        <v>90</v>
      </c>
      <c r="E2357">
        <v>2016</v>
      </c>
      <c r="F2357" s="9" t="s">
        <v>2579</v>
      </c>
      <c r="H2357" s="20" t="str">
        <f t="shared" si="36"/>
        <v>(nextval('obj_part_id_seq'), (select id from obj_building_v where zip||'|'||street||'|'||name||'|'||volume = '4950|Huttwilwald 1a|Pumpwerk|291.00'), 'P11', 27, 90, 2016,'B: Beton gestrichen, eingesandt, W: Kalksandstein, gestrichen, D: Beton gestrichen'),</v>
      </c>
    </row>
    <row r="2358" spans="1:8" x14ac:dyDescent="0.25">
      <c r="A2358" s="9" t="s">
        <v>2571</v>
      </c>
      <c r="B2358" s="9" t="s">
        <v>1116</v>
      </c>
      <c r="C2358">
        <v>0</v>
      </c>
      <c r="D2358" t="s">
        <v>4080</v>
      </c>
      <c r="E2358">
        <v>2016</v>
      </c>
      <c r="F2358" s="9"/>
      <c r="H2358" s="20" t="str">
        <f t="shared" si="36"/>
        <v>(nextval('obj_part_id_seq'), (select id from obj_building_v where zip||'|'||street||'|'||name||'|'||volume = '4950|Huttwilwald 1a|Pumpwerk|291.00'), 'P12', 0, null, 2016,null),</v>
      </c>
    </row>
    <row r="2359" spans="1:8" x14ac:dyDescent="0.25">
      <c r="A2359" s="9" t="s">
        <v>2580</v>
      </c>
      <c r="B2359" s="9" t="s">
        <v>1095</v>
      </c>
      <c r="C2359">
        <v>35</v>
      </c>
      <c r="D2359">
        <v>90</v>
      </c>
      <c r="E2359">
        <v>2016</v>
      </c>
      <c r="F2359" s="9" t="s">
        <v>1192</v>
      </c>
      <c r="H2359" s="20" t="str">
        <f t="shared" si="36"/>
        <v>(nextval('obj_part_id_seq'), (select id from obj_building_v where zip||'|'||street||'|'||name||'|'||volume = '4950|Dornackerweg 2a/b|Wasserversorgung|330.00'), 'P1', 35, 90, 2016,'Stahlbeton'),</v>
      </c>
    </row>
    <row r="2360" spans="1:8" x14ac:dyDescent="0.25">
      <c r="A2360" s="9" t="s">
        <v>2580</v>
      </c>
      <c r="B2360" s="9" t="s">
        <v>1097</v>
      </c>
      <c r="C2360">
        <v>0</v>
      </c>
      <c r="D2360" t="s">
        <v>4080</v>
      </c>
      <c r="E2360">
        <v>2016</v>
      </c>
      <c r="F2360" s="9"/>
      <c r="H2360" s="20" t="str">
        <f t="shared" si="36"/>
        <v>(nextval('obj_part_id_seq'), (select id from obj_building_v where zip||'|'||street||'|'||name||'|'||volume = '4950|Dornackerweg 2a/b|Wasserversorgung|330.00'), 'P2', 0, null, 2016,null),</v>
      </c>
    </row>
    <row r="2361" spans="1:8" x14ac:dyDescent="0.25">
      <c r="A2361" s="9" t="s">
        <v>2580</v>
      </c>
      <c r="B2361" s="9" t="s">
        <v>1099</v>
      </c>
      <c r="C2361">
        <v>8</v>
      </c>
      <c r="D2361">
        <v>90</v>
      </c>
      <c r="E2361">
        <v>2016</v>
      </c>
      <c r="F2361" s="9" t="s">
        <v>2581</v>
      </c>
      <c r="H2361" s="20" t="str">
        <f t="shared" si="36"/>
        <v>(nextval('obj_part_id_seq'), (select id from obj_building_v where zip||'|'||street||'|'||name||'|'||volume = '4950|Dornackerweg 2a/b|Wasserversorgung|330.00'), 'P3', 8, 90, 2016,'Begrüntes Flachdach'),</v>
      </c>
    </row>
    <row r="2362" spans="1:8" x14ac:dyDescent="0.25">
      <c r="A2362" s="9" t="s">
        <v>2580</v>
      </c>
      <c r="B2362" s="9" t="s">
        <v>1100</v>
      </c>
      <c r="C2362">
        <v>8</v>
      </c>
      <c r="D2362">
        <v>85</v>
      </c>
      <c r="E2362">
        <v>2016</v>
      </c>
      <c r="F2362" s="9" t="s">
        <v>2582</v>
      </c>
      <c r="H2362" s="20" t="str">
        <f t="shared" si="36"/>
        <v>(nextval('obj_part_id_seq'), (select id from obj_building_v where zip||'|'||street||'|'||name||'|'||volume = '4950|Dornackerweg 2a/b|Wasserversorgung|330.00'), 'P4', 8, 85, 2016,'Sichtbeton zum Teil verschmutzt, Naturstein'),</v>
      </c>
    </row>
    <row r="2363" spans="1:8" x14ac:dyDescent="0.25">
      <c r="A2363" s="9" t="s">
        <v>2580</v>
      </c>
      <c r="B2363" s="9" t="s">
        <v>1102</v>
      </c>
      <c r="C2363">
        <v>8</v>
      </c>
      <c r="D2363">
        <v>90</v>
      </c>
      <c r="E2363">
        <v>2016</v>
      </c>
      <c r="F2363" s="9" t="s">
        <v>2583</v>
      </c>
      <c r="H2363" s="20" t="str">
        <f t="shared" si="36"/>
        <v>(nextval('obj_part_id_seq'), (select id from obj_building_v where zip||'|'||street||'|'||name||'|'||volume = '4950|Dornackerweg 2a/b|Wasserversorgung|330.00'), 'P5', 8, 90, 2016,'Aluminiumfenster und -Aussentüre'),</v>
      </c>
    </row>
    <row r="2364" spans="1:8" x14ac:dyDescent="0.25">
      <c r="A2364" s="9" t="s">
        <v>2580</v>
      </c>
      <c r="B2364" s="9" t="s">
        <v>1104</v>
      </c>
      <c r="C2364">
        <v>1</v>
      </c>
      <c r="D2364">
        <v>90</v>
      </c>
      <c r="E2364">
        <v>2016</v>
      </c>
      <c r="F2364" s="9" t="s">
        <v>2584</v>
      </c>
      <c r="H2364" s="20" t="str">
        <f t="shared" si="36"/>
        <v>(nextval('obj_part_id_seq'), (select id from obj_building_v where zip||'|'||street||'|'||name||'|'||volume = '4950|Dornackerweg 2a/b|Wasserversorgung|330.00'), 'P6', 1, 90, 2016,'Elektroheizung, Warmwasser-Boiler'),</v>
      </c>
    </row>
    <row r="2365" spans="1:8" x14ac:dyDescent="0.25">
      <c r="A2365" s="9" t="s">
        <v>2580</v>
      </c>
      <c r="B2365" s="9" t="s">
        <v>1106</v>
      </c>
      <c r="C2365">
        <v>2</v>
      </c>
      <c r="D2365">
        <v>90</v>
      </c>
      <c r="E2365">
        <v>2016</v>
      </c>
      <c r="F2365" s="9" t="s">
        <v>2585</v>
      </c>
      <c r="H2365" s="20" t="str">
        <f t="shared" si="36"/>
        <v>(nextval('obj_part_id_seq'), (select id from obj_building_v where zip||'|'||street||'|'||name||'|'||volume = '4950|Dornackerweg 2a/b|Wasserversorgung|330.00'), 'P7', 2, 90, 2016,'Radiator'),</v>
      </c>
    </row>
    <row r="2366" spans="1:8" x14ac:dyDescent="0.25">
      <c r="A2366" s="9" t="s">
        <v>2580</v>
      </c>
      <c r="B2366" s="9" t="s">
        <v>1108</v>
      </c>
      <c r="C2366">
        <v>6</v>
      </c>
      <c r="D2366">
        <v>85</v>
      </c>
      <c r="E2366">
        <v>2016</v>
      </c>
      <c r="F2366" s="9" t="s">
        <v>2586</v>
      </c>
      <c r="H2366" s="20" t="str">
        <f t="shared" si="36"/>
        <v>(nextval('obj_part_id_seq'), (select id from obj_building_v where zip||'|'||street||'|'||name||'|'||volume = '4950|Dornackerweg 2a/b|Wasserversorgung|330.00'), 'P8', 6, 85, 2016,'Pumpen, keine Mängel bekannt'),</v>
      </c>
    </row>
    <row r="2367" spans="1:8" x14ac:dyDescent="0.25">
      <c r="A2367" s="9" t="s">
        <v>2580</v>
      </c>
      <c r="B2367" s="9" t="s">
        <v>1110</v>
      </c>
      <c r="C2367">
        <v>6</v>
      </c>
      <c r="D2367">
        <v>90</v>
      </c>
      <c r="E2367">
        <v>2016</v>
      </c>
      <c r="F2367" s="9" t="s">
        <v>2576</v>
      </c>
      <c r="H2367" s="20" t="str">
        <f t="shared" si="36"/>
        <v>(nextval('obj_part_id_seq'), (select id from obj_building_v where zip||'|'||street||'|'||name||'|'||volume = '4950|Dornackerweg 2a/b|Wasserversorgung|330.00'), 'P9', 6, 90, 2016,'Pumpensteuerung, Beleuchtung'),</v>
      </c>
    </row>
    <row r="2368" spans="1:8" x14ac:dyDescent="0.25">
      <c r="A2368" s="9" t="s">
        <v>2580</v>
      </c>
      <c r="B2368" s="9" t="s">
        <v>1112</v>
      </c>
      <c r="C2368">
        <v>3</v>
      </c>
      <c r="D2368">
        <v>90</v>
      </c>
      <c r="E2368">
        <v>2016</v>
      </c>
      <c r="F2368" s="9" t="s">
        <v>2587</v>
      </c>
      <c r="H2368" s="20" t="str">
        <f t="shared" si="36"/>
        <v>(nextval('obj_part_id_seq'), (select id from obj_building_v where zip||'|'||street||'|'||name||'|'||volume = '4950|Dornackerweg 2a/b|Wasserversorgung|330.00'), 'P10', 3, 90, 2016,'Lüftung, Kompressor'),</v>
      </c>
    </row>
    <row r="2369" spans="1:8" x14ac:dyDescent="0.25">
      <c r="A2369" s="9" t="s">
        <v>2580</v>
      </c>
      <c r="B2369" s="9" t="s">
        <v>1114</v>
      </c>
      <c r="C2369">
        <v>0</v>
      </c>
      <c r="D2369" t="s">
        <v>4080</v>
      </c>
      <c r="E2369">
        <v>2016</v>
      </c>
      <c r="F2369" s="9" t="s">
        <v>2588</v>
      </c>
      <c r="H2369" s="20" t="str">
        <f t="shared" si="36"/>
        <v>(nextval('obj_part_id_seq'), (select id from obj_building_v where zip||'|'||street||'|'||name||'|'||volume = '4950|Dornackerweg 2a/b|Wasserversorgung|330.00'), 'P11', 0, null, 2016,'Treppengeländer (entsprechen nicht den aktuellen Anforderungen)'),</v>
      </c>
    </row>
    <row r="2370" spans="1:8" x14ac:dyDescent="0.25">
      <c r="A2370" s="9" t="s">
        <v>2580</v>
      </c>
      <c r="B2370" s="9" t="s">
        <v>1114</v>
      </c>
      <c r="C2370">
        <v>23</v>
      </c>
      <c r="D2370">
        <v>90</v>
      </c>
      <c r="E2370">
        <v>2016</v>
      </c>
      <c r="F2370" s="9" t="s">
        <v>2589</v>
      </c>
      <c r="H2370" s="20" t="str">
        <f t="shared" si="36"/>
        <v>(nextval('obj_part_id_seq'), (select id from obj_building_v where zip||'|'||street||'|'||name||'|'||volume = '4950|Dornackerweg 2a/b|Wasserversorgung|330.00'), 'P11', 23, 90, 2016,'B: Linol, Kunststein, W: Verputz gestrichen, D: Pavatex Akustikdecke'),</v>
      </c>
    </row>
    <row r="2371" spans="1:8" x14ac:dyDescent="0.25">
      <c r="A2371" s="9" t="s">
        <v>2580</v>
      </c>
      <c r="B2371" s="9" t="s">
        <v>1116</v>
      </c>
      <c r="C2371">
        <v>0</v>
      </c>
      <c r="D2371" t="s">
        <v>4080</v>
      </c>
      <c r="E2371">
        <v>2016</v>
      </c>
      <c r="F2371" s="9"/>
      <c r="H2371" s="20" t="str">
        <f t="shared" si="36"/>
        <v>(nextval('obj_part_id_seq'), (select id from obj_building_v where zip||'|'||street||'|'||name||'|'||volume = '4950|Dornackerweg 2a/b|Wasserversorgung|330.00'), 'P12', 0, null, 2016,null),</v>
      </c>
    </row>
    <row r="2372" spans="1:8" x14ac:dyDescent="0.25">
      <c r="A2372" s="9" t="s">
        <v>2590</v>
      </c>
      <c r="B2372" s="9" t="s">
        <v>1095</v>
      </c>
      <c r="C2372">
        <v>41</v>
      </c>
      <c r="D2372">
        <v>90</v>
      </c>
      <c r="E2372">
        <v>2016</v>
      </c>
      <c r="F2372" s="9" t="s">
        <v>2069</v>
      </c>
      <c r="H2372" s="20" t="str">
        <f t="shared" si="36"/>
        <v>(nextval('obj_part_id_seq'), (select id from obj_building_v where zip||'|'||street||'|'||name||'|'||volume = '4950|innere Schlüecht 5a|Wasserversorgung|2540.00'), 'P1', 41, 90, 2016,'Mauerwerk, Stahlbeton'),</v>
      </c>
    </row>
    <row r="2373" spans="1:8" x14ac:dyDescent="0.25">
      <c r="A2373" s="9" t="s">
        <v>2590</v>
      </c>
      <c r="B2373" s="9" t="s">
        <v>1097</v>
      </c>
      <c r="C2373">
        <v>0</v>
      </c>
      <c r="D2373" t="s">
        <v>4080</v>
      </c>
      <c r="E2373">
        <v>2016</v>
      </c>
      <c r="F2373" s="9"/>
      <c r="H2373" s="20" t="str">
        <f t="shared" ref="H2373:H2436" si="37">"(nextval('obj_part_id_seq'), (select id from obj_building_v where zip||'|'||street||'|'||name||'|'||volume = '"&amp;A2373&amp;"'), '"&amp;B2373&amp;"', "&amp;C2373&amp;", "&amp;D2373&amp;", "&amp;IF(ISBLANK(E2373),"null",E2373)&amp;","&amp;IF(ISBLANK(F2373),"null","'"&amp;F2373&amp;"'")&amp;"),"</f>
        <v>(nextval('obj_part_id_seq'), (select id from obj_building_v where zip||'|'||street||'|'||name||'|'||volume = '4950|innere Schlüecht 5a|Wasserversorgung|2540.00'), 'P2', 0, null, 2016,null),</v>
      </c>
    </row>
    <row r="2374" spans="1:8" x14ac:dyDescent="0.25">
      <c r="A2374" s="9" t="s">
        <v>2590</v>
      </c>
      <c r="B2374" s="9" t="s">
        <v>1099</v>
      </c>
      <c r="C2374">
        <v>8</v>
      </c>
      <c r="D2374">
        <v>90</v>
      </c>
      <c r="E2374">
        <v>2016</v>
      </c>
      <c r="F2374" s="9" t="s">
        <v>2591</v>
      </c>
      <c r="H2374" s="20" t="str">
        <f t="shared" si="37"/>
        <v>(nextval('obj_part_id_seq'), (select id from obj_building_v where zip||'|'||street||'|'||name||'|'||volume = '4950|innere Schlüecht 5a|Wasserversorgung|2540.00'), 'P3', 8, 90, 2016,'Extensiv begrünt, keine Mängel bekannt'),</v>
      </c>
    </row>
    <row r="2375" spans="1:8" x14ac:dyDescent="0.25">
      <c r="A2375" s="9" t="s">
        <v>2590</v>
      </c>
      <c r="B2375" s="9" t="s">
        <v>1100</v>
      </c>
      <c r="C2375">
        <v>8</v>
      </c>
      <c r="D2375">
        <v>90</v>
      </c>
      <c r="E2375">
        <v>2016</v>
      </c>
      <c r="F2375" s="9" t="s">
        <v>2592</v>
      </c>
      <c r="H2375" s="20" t="str">
        <f t="shared" si="37"/>
        <v>(nextval('obj_part_id_seq'), (select id from obj_building_v where zip||'|'||street||'|'||name||'|'||volume = '4950|innere Schlüecht 5a|Wasserversorgung|2540.00'), 'P4', 8, 90, 2016,'Mauerwerk mit Eternitschindeln'),</v>
      </c>
    </row>
    <row r="2376" spans="1:8" x14ac:dyDescent="0.25">
      <c r="A2376" s="9" t="s">
        <v>2590</v>
      </c>
      <c r="B2376" s="9" t="s">
        <v>1102</v>
      </c>
      <c r="C2376">
        <v>2</v>
      </c>
      <c r="D2376">
        <v>90</v>
      </c>
      <c r="E2376">
        <v>2016</v>
      </c>
      <c r="F2376" s="9" t="s">
        <v>2593</v>
      </c>
      <c r="H2376" s="20" t="str">
        <f t="shared" si="37"/>
        <v>(nextval('obj_part_id_seq'), (select id from obj_building_v where zip||'|'||street||'|'||name||'|'||volume = '4950|innere Schlüecht 5a|Wasserversorgung|2540.00'), 'P5', 2, 90, 2016,'Holzfenster, Aussentüre aus Aluminium'),</v>
      </c>
    </row>
    <row r="2377" spans="1:8" x14ac:dyDescent="0.25">
      <c r="A2377" s="9" t="s">
        <v>2590</v>
      </c>
      <c r="B2377" s="9" t="s">
        <v>1104</v>
      </c>
      <c r="C2377">
        <v>1</v>
      </c>
      <c r="D2377">
        <v>90</v>
      </c>
      <c r="E2377">
        <v>2016</v>
      </c>
      <c r="F2377" s="9" t="s">
        <v>2594</v>
      </c>
      <c r="H2377" s="20" t="str">
        <f t="shared" si="37"/>
        <v>(nextval('obj_part_id_seq'), (select id from obj_building_v where zip||'|'||street||'|'||name||'|'||volume = '4950|innere Schlüecht 5a|Wasserversorgung|2540.00'), 'P6', 1, 90, 2016,'Elektroboiler'),</v>
      </c>
    </row>
    <row r="2378" spans="1:8" x14ac:dyDescent="0.25">
      <c r="A2378" s="9" t="s">
        <v>2590</v>
      </c>
      <c r="B2378" s="9" t="s">
        <v>1106</v>
      </c>
      <c r="C2378">
        <v>1</v>
      </c>
      <c r="D2378">
        <v>90</v>
      </c>
      <c r="E2378">
        <v>2016</v>
      </c>
      <c r="F2378" s="9" t="s">
        <v>2595</v>
      </c>
      <c r="H2378" s="20" t="str">
        <f t="shared" si="37"/>
        <v>(nextval('obj_part_id_seq'), (select id from obj_building_v where zip||'|'||street||'|'||name||'|'||volume = '4950|innere Schlüecht 5a|Wasserversorgung|2540.00'), 'P7', 1, 90, 2016,'mobiler Entfeuchter vorh.'),</v>
      </c>
    </row>
    <row r="2379" spans="1:8" x14ac:dyDescent="0.25">
      <c r="A2379" s="9" t="s">
        <v>2590</v>
      </c>
      <c r="B2379" s="9" t="s">
        <v>1108</v>
      </c>
      <c r="C2379">
        <v>6</v>
      </c>
      <c r="D2379">
        <v>90</v>
      </c>
      <c r="E2379">
        <v>2016</v>
      </c>
      <c r="F2379" s="9" t="s">
        <v>2596</v>
      </c>
      <c r="H2379" s="20" t="str">
        <f t="shared" si="37"/>
        <v>(nextval('obj_part_id_seq'), (select id from obj_building_v where zip||'|'||street||'|'||name||'|'||volume = '4950|innere Schlüecht 5a|Wasserversorgung|2540.00'), 'P8', 6, 90, 2016,'keine Mängel ersichtlich'),</v>
      </c>
    </row>
    <row r="2380" spans="1:8" x14ac:dyDescent="0.25">
      <c r="A2380" s="9" t="s">
        <v>2590</v>
      </c>
      <c r="B2380" s="9" t="s">
        <v>1110</v>
      </c>
      <c r="C2380">
        <v>6</v>
      </c>
      <c r="D2380">
        <v>85</v>
      </c>
      <c r="E2380">
        <v>2016</v>
      </c>
      <c r="F2380" s="9" t="s">
        <v>2062</v>
      </c>
      <c r="H2380" s="20" t="str">
        <f t="shared" si="37"/>
        <v>(nextval('obj_part_id_seq'), (select id from obj_building_v where zip||'|'||street||'|'||name||'|'||volume = '4950|innere Schlüecht 5a|Wasserversorgung|2540.00'), 'P9', 6, 85, 2016,'tw. alte Keramiksicherungen, Beleuchtung'),</v>
      </c>
    </row>
    <row r="2381" spans="1:8" x14ac:dyDescent="0.25">
      <c r="A2381" s="9" t="s">
        <v>2590</v>
      </c>
      <c r="B2381" s="9" t="s">
        <v>1112</v>
      </c>
      <c r="C2381">
        <v>0</v>
      </c>
      <c r="D2381" t="s">
        <v>4080</v>
      </c>
      <c r="E2381">
        <v>2016</v>
      </c>
      <c r="F2381" s="9"/>
      <c r="H2381" s="20" t="str">
        <f t="shared" si="37"/>
        <v>(nextval('obj_part_id_seq'), (select id from obj_building_v where zip||'|'||street||'|'||name||'|'||volume = '4950|innere Schlüecht 5a|Wasserversorgung|2540.00'), 'P10', 0, null, 2016,null),</v>
      </c>
    </row>
    <row r="2382" spans="1:8" x14ac:dyDescent="0.25">
      <c r="A2382" s="9" t="s">
        <v>2590</v>
      </c>
      <c r="B2382" s="9" t="s">
        <v>1114</v>
      </c>
      <c r="C2382">
        <v>27</v>
      </c>
      <c r="D2382">
        <v>90</v>
      </c>
      <c r="E2382">
        <v>2016</v>
      </c>
      <c r="F2382" s="9" t="s">
        <v>2597</v>
      </c>
      <c r="H2382" s="20" t="str">
        <f t="shared" si="37"/>
        <v>(nextval('obj_part_id_seq'), (select id from obj_building_v where zip||'|'||street||'|'||name||'|'||volume = '4950|innere Schlüecht 5a|Wasserversorgung|2540.00'), 'P11', 27, 90, 2016,'Treppengeländer (entspricht nicht den heutigen Anforderungen)'),</v>
      </c>
    </row>
    <row r="2383" spans="1:8" x14ac:dyDescent="0.25">
      <c r="A2383" s="9" t="s">
        <v>2590</v>
      </c>
      <c r="B2383" s="9" t="s">
        <v>1114</v>
      </c>
      <c r="C2383">
        <v>0</v>
      </c>
      <c r="D2383" t="s">
        <v>4080</v>
      </c>
      <c r="E2383">
        <v>2016</v>
      </c>
      <c r="F2383" s="9" t="s">
        <v>2598</v>
      </c>
      <c r="H2383" s="20" t="str">
        <f t="shared" si="37"/>
        <v>(nextval('obj_part_id_seq'), (select id from obj_building_v where zip||'|'||street||'|'||name||'|'||volume = '4950|innere Schlüecht 5a|Wasserversorgung|2540.00'), 'P11', 0, null, 2016,'B: Keramik, Beton gestrichen, W+D: Verputz'),</v>
      </c>
    </row>
    <row r="2384" spans="1:8" x14ac:dyDescent="0.25">
      <c r="A2384" s="9" t="s">
        <v>2590</v>
      </c>
      <c r="B2384" s="9" t="s">
        <v>1116</v>
      </c>
      <c r="C2384">
        <v>0</v>
      </c>
      <c r="D2384" t="s">
        <v>4080</v>
      </c>
      <c r="E2384">
        <v>2016</v>
      </c>
      <c r="F2384" s="9"/>
      <c r="H2384" s="20" t="str">
        <f t="shared" si="37"/>
        <v>(nextval('obj_part_id_seq'), (select id from obj_building_v where zip||'|'||street||'|'||name||'|'||volume = '4950|innere Schlüecht 5a|Wasserversorgung|2540.00'), 'P12', 0, null, 2016,null),</v>
      </c>
    </row>
    <row r="2385" spans="1:8" x14ac:dyDescent="0.25">
      <c r="A2385" s="9" t="s">
        <v>2599</v>
      </c>
      <c r="B2385" s="9" t="s">
        <v>1095</v>
      </c>
      <c r="C2385">
        <v>38</v>
      </c>
      <c r="D2385">
        <v>90</v>
      </c>
      <c r="E2385">
        <v>2016</v>
      </c>
      <c r="F2385" s="9" t="s">
        <v>1192</v>
      </c>
      <c r="H2385" s="20" t="str">
        <f t="shared" si="37"/>
        <v>(nextval('obj_part_id_seq'), (select id from obj_building_v where zip||'|'||street||'|'||name||'|'||volume = '4950|Möhrenweid 1a|Wasserversorgung|1950.00'), 'P1', 38, 90, 2016,'Stahlbeton'),</v>
      </c>
    </row>
    <row r="2386" spans="1:8" x14ac:dyDescent="0.25">
      <c r="A2386" s="9" t="s">
        <v>2599</v>
      </c>
      <c r="B2386" s="9" t="s">
        <v>1097</v>
      </c>
      <c r="C2386">
        <v>0</v>
      </c>
      <c r="D2386" t="s">
        <v>4080</v>
      </c>
      <c r="E2386">
        <v>2016</v>
      </c>
      <c r="F2386" s="9"/>
      <c r="H2386" s="20" t="str">
        <f t="shared" si="37"/>
        <v>(nextval('obj_part_id_seq'), (select id from obj_building_v where zip||'|'||street||'|'||name||'|'||volume = '4950|Möhrenweid 1a|Wasserversorgung|1950.00'), 'P2', 0, null, 2016,null),</v>
      </c>
    </row>
    <row r="2387" spans="1:8" x14ac:dyDescent="0.25">
      <c r="A2387" s="9" t="s">
        <v>2599</v>
      </c>
      <c r="B2387" s="9" t="s">
        <v>1099</v>
      </c>
      <c r="C2387">
        <v>8</v>
      </c>
      <c r="D2387">
        <v>90</v>
      </c>
      <c r="E2387">
        <v>2016</v>
      </c>
      <c r="F2387" s="9" t="s">
        <v>2600</v>
      </c>
      <c r="H2387" s="20" t="str">
        <f t="shared" si="37"/>
        <v>(nextval('obj_part_id_seq'), (select id from obj_building_v where zip||'|'||street||'|'||name||'|'||volume = '4950|Möhrenweid 1a|Wasserversorgung|1950.00'), 'P3', 8, 90, 2016,'Überdeckt, int. begrünt'),</v>
      </c>
    </row>
    <row r="2388" spans="1:8" x14ac:dyDescent="0.25">
      <c r="A2388" s="9" t="s">
        <v>2599</v>
      </c>
      <c r="B2388" s="9" t="s">
        <v>1100</v>
      </c>
      <c r="C2388">
        <v>8</v>
      </c>
      <c r="D2388">
        <v>80</v>
      </c>
      <c r="E2388">
        <v>2016</v>
      </c>
      <c r="F2388" s="9" t="s">
        <v>2601</v>
      </c>
      <c r="H2388" s="20" t="str">
        <f t="shared" si="37"/>
        <v>(nextval('obj_part_id_seq'), (select id from obj_building_v where zip||'|'||street||'|'||name||'|'||volume = '4950|Möhrenweid 1a|Wasserversorgung|1950.00'), 'P4', 8, 80, 2016,'Mauerwerk, verputzt, div. z.T. grössere Risse im Putz und Gewände'),</v>
      </c>
    </row>
    <row r="2389" spans="1:8" x14ac:dyDescent="0.25">
      <c r="A2389" s="9" t="s">
        <v>2599</v>
      </c>
      <c r="B2389" s="9" t="s">
        <v>1102</v>
      </c>
      <c r="C2389">
        <v>8</v>
      </c>
      <c r="D2389">
        <v>90</v>
      </c>
      <c r="E2389">
        <v>2016</v>
      </c>
      <c r="F2389" s="9" t="s">
        <v>2602</v>
      </c>
      <c r="H2389" s="20" t="str">
        <f t="shared" si="37"/>
        <v>(nextval('obj_part_id_seq'), (select id from obj_building_v where zip||'|'||street||'|'||name||'|'||volume = '4950|Möhrenweid 1a|Wasserversorgung|1950.00'), 'P5', 8, 90, 2016,'Metallfenster mit Schutzgitter, Aussentür aus Aluminium'),</v>
      </c>
    </row>
    <row r="2390" spans="1:8" x14ac:dyDescent="0.25">
      <c r="A2390" s="9" t="s">
        <v>2599</v>
      </c>
      <c r="B2390" s="9" t="s">
        <v>1104</v>
      </c>
      <c r="C2390">
        <v>0</v>
      </c>
      <c r="D2390" t="s">
        <v>4080</v>
      </c>
      <c r="E2390">
        <v>2016</v>
      </c>
      <c r="F2390" s="9"/>
      <c r="H2390" s="20" t="str">
        <f t="shared" si="37"/>
        <v>(nextval('obj_part_id_seq'), (select id from obj_building_v where zip||'|'||street||'|'||name||'|'||volume = '4950|Möhrenweid 1a|Wasserversorgung|1950.00'), 'P6', 0, null, 2016,null),</v>
      </c>
    </row>
    <row r="2391" spans="1:8" x14ac:dyDescent="0.25">
      <c r="A2391" s="9" t="s">
        <v>2599</v>
      </c>
      <c r="B2391" s="9" t="s">
        <v>1106</v>
      </c>
      <c r="C2391">
        <v>1</v>
      </c>
      <c r="D2391">
        <v>90</v>
      </c>
      <c r="E2391">
        <v>2016</v>
      </c>
      <c r="F2391" s="9" t="s">
        <v>2603</v>
      </c>
      <c r="H2391" s="20" t="str">
        <f t="shared" si="37"/>
        <v>(nextval('obj_part_id_seq'), (select id from obj_building_v where zip||'|'||street||'|'||name||'|'||volume = '4950|Möhrenweid 1a|Wasserversorgung|1950.00'), 'P7', 1, 90, 2016,'Entfeuchter'),</v>
      </c>
    </row>
    <row r="2392" spans="1:8" x14ac:dyDescent="0.25">
      <c r="A2392" s="9" t="s">
        <v>2599</v>
      </c>
      <c r="B2392" s="9" t="s">
        <v>1108</v>
      </c>
      <c r="C2392">
        <v>6</v>
      </c>
      <c r="D2392">
        <v>75</v>
      </c>
      <c r="E2392">
        <v>2016</v>
      </c>
      <c r="F2392" s="9" t="s">
        <v>2604</v>
      </c>
      <c r="H2392" s="20" t="str">
        <f t="shared" si="37"/>
        <v>(nextval('obj_part_id_seq'), (select id from obj_building_v where zip||'|'||street||'|'||name||'|'||volume = '4950|Möhrenweid 1a|Wasserversorgung|1950.00'), 'P8', 6, 75, 2016,'Pumpe, Leitungen tw. rostig'),</v>
      </c>
    </row>
    <row r="2393" spans="1:8" x14ac:dyDescent="0.25">
      <c r="A2393" s="9" t="s">
        <v>2599</v>
      </c>
      <c r="B2393" s="9" t="s">
        <v>1110</v>
      </c>
      <c r="C2393">
        <v>6</v>
      </c>
      <c r="D2393">
        <v>90</v>
      </c>
      <c r="E2393">
        <v>2016</v>
      </c>
      <c r="F2393" s="9" t="s">
        <v>1295</v>
      </c>
      <c r="H2393" s="20" t="str">
        <f t="shared" si="37"/>
        <v>(nextval('obj_part_id_seq'), (select id from obj_building_v where zip||'|'||street||'|'||name||'|'||volume = '4950|Möhrenweid 1a|Wasserversorgung|1950.00'), 'P9', 6, 90, 2016,'Beleuchtung'),</v>
      </c>
    </row>
    <row r="2394" spans="1:8" x14ac:dyDescent="0.25">
      <c r="A2394" s="9" t="s">
        <v>2599</v>
      </c>
      <c r="B2394" s="9" t="s">
        <v>1112</v>
      </c>
      <c r="C2394">
        <v>0</v>
      </c>
      <c r="D2394">
        <v>90</v>
      </c>
      <c r="E2394">
        <v>2016</v>
      </c>
      <c r="F2394" s="9"/>
      <c r="H2394" s="20" t="str">
        <f t="shared" si="37"/>
        <v>(nextval('obj_part_id_seq'), (select id from obj_building_v where zip||'|'||street||'|'||name||'|'||volume = '4950|Möhrenweid 1a|Wasserversorgung|1950.00'), 'P10', 0, 90, 2016,null),</v>
      </c>
    </row>
    <row r="2395" spans="1:8" x14ac:dyDescent="0.25">
      <c r="A2395" s="9" t="s">
        <v>2599</v>
      </c>
      <c r="B2395" s="9" t="s">
        <v>1114</v>
      </c>
      <c r="C2395">
        <v>1</v>
      </c>
      <c r="D2395">
        <v>70</v>
      </c>
      <c r="E2395">
        <v>2016</v>
      </c>
      <c r="F2395" s="9" t="s">
        <v>2605</v>
      </c>
      <c r="H2395" s="20" t="str">
        <f t="shared" si="37"/>
        <v>(nextval('obj_part_id_seq'), (select id from obj_building_v where zip||'|'||street||'|'||name||'|'||volume = '4950|Möhrenweid 1a|Wasserversorgung|1950.00'), 'P11', 1, 70, 2016,'Geländer (entspricht nicht den aktuellen Anforderungen)'),</v>
      </c>
    </row>
    <row r="2396" spans="1:8" x14ac:dyDescent="0.25">
      <c r="A2396" s="9" t="s">
        <v>2599</v>
      </c>
      <c r="B2396" s="9" t="s">
        <v>1114</v>
      </c>
      <c r="C2396">
        <v>24</v>
      </c>
      <c r="D2396">
        <v>90</v>
      </c>
      <c r="E2396">
        <v>2016</v>
      </c>
      <c r="F2396" s="9" t="s">
        <v>2606</v>
      </c>
      <c r="H2396" s="20" t="str">
        <f t="shared" si="37"/>
        <v>(nextval('obj_part_id_seq'), (select id from obj_building_v where zip||'|'||street||'|'||name||'|'||volume = '4950|Möhrenweid 1a|Wasserversorgung|1950.00'), 'P11', 24, 90, 2016,'B: Beton gestrichen, W+D: Verputz'),</v>
      </c>
    </row>
    <row r="2397" spans="1:8" x14ac:dyDescent="0.25">
      <c r="A2397" s="9" t="s">
        <v>2599</v>
      </c>
      <c r="B2397" s="9" t="s">
        <v>1116</v>
      </c>
      <c r="C2397">
        <v>0</v>
      </c>
      <c r="D2397" t="s">
        <v>4080</v>
      </c>
      <c r="E2397">
        <v>2016</v>
      </c>
      <c r="F2397" s="9"/>
      <c r="H2397" s="20" t="str">
        <f t="shared" si="37"/>
        <v>(nextval('obj_part_id_seq'), (select id from obj_building_v where zip||'|'||street||'|'||name||'|'||volume = '4950|Möhrenweid 1a|Wasserversorgung|1950.00'), 'P12', 0, null, 2016,null),</v>
      </c>
    </row>
    <row r="2398" spans="1:8" x14ac:dyDescent="0.25">
      <c r="A2398" s="9" t="s">
        <v>2607</v>
      </c>
      <c r="B2398" s="9" t="s">
        <v>1095</v>
      </c>
      <c r="C2398">
        <v>49</v>
      </c>
      <c r="D2398">
        <v>90</v>
      </c>
      <c r="E2398">
        <v>2016</v>
      </c>
      <c r="F2398" s="9" t="s">
        <v>2608</v>
      </c>
      <c r="H2398" s="20" t="str">
        <f t="shared" si="37"/>
        <v>(nextval('obj_part_id_seq'), (select id from obj_building_v where zip||'|'||street||'|'||name||'|'||volume = '4950|Moostrasse 2a|Garage Feuerwehr|27.00'), 'P1', 49, 90, 2016,'Hourdisdecke, Mauerwerk'),</v>
      </c>
    </row>
    <row r="2399" spans="1:8" x14ac:dyDescent="0.25">
      <c r="A2399" s="9" t="s">
        <v>2607</v>
      </c>
      <c r="B2399" s="9" t="s">
        <v>1097</v>
      </c>
      <c r="C2399">
        <v>0</v>
      </c>
      <c r="D2399" t="s">
        <v>4080</v>
      </c>
      <c r="E2399">
        <v>2016</v>
      </c>
      <c r="F2399" s="9"/>
      <c r="H2399" s="20" t="str">
        <f t="shared" si="37"/>
        <v>(nextval('obj_part_id_seq'), (select id from obj_building_v where zip||'|'||street||'|'||name||'|'||volume = '4950|Moostrasse 2a|Garage Feuerwehr|27.00'), 'P2', 0, null, 2016,null),</v>
      </c>
    </row>
    <row r="2400" spans="1:8" x14ac:dyDescent="0.25">
      <c r="A2400" s="9" t="s">
        <v>2607</v>
      </c>
      <c r="B2400" s="9" t="s">
        <v>1099</v>
      </c>
      <c r="C2400">
        <v>10</v>
      </c>
      <c r="D2400">
        <v>80</v>
      </c>
      <c r="E2400">
        <v>2016</v>
      </c>
      <c r="F2400" s="9" t="s">
        <v>2609</v>
      </c>
      <c r="H2400" s="20" t="str">
        <f t="shared" si="37"/>
        <v>(nextval('obj_part_id_seq'), (select id from obj_building_v where zip||'|'||street||'|'||name||'|'||volume = '4950|Moostrasse 2a|Garage Feuerwehr|27.00'), 'P3', 10, 80, 2016,'Nacktdach und Dachrand vermoost'),</v>
      </c>
    </row>
    <row r="2401" spans="1:8" x14ac:dyDescent="0.25">
      <c r="A2401" s="9" t="s">
        <v>2607</v>
      </c>
      <c r="B2401" s="9" t="s">
        <v>1100</v>
      </c>
      <c r="C2401">
        <v>12</v>
      </c>
      <c r="D2401">
        <v>90</v>
      </c>
      <c r="E2401">
        <v>2016</v>
      </c>
      <c r="F2401" s="9" t="s">
        <v>2050</v>
      </c>
      <c r="H2401" s="20" t="str">
        <f t="shared" si="37"/>
        <v>(nextval('obj_part_id_seq'), (select id from obj_building_v where zip||'|'||street||'|'||name||'|'||volume = '4950|Moostrasse 2a|Garage Feuerwehr|27.00'), 'P4', 12, 90, 2016,'Mauerwerk verputzt'),</v>
      </c>
    </row>
    <row r="2402" spans="1:8" x14ac:dyDescent="0.25">
      <c r="A2402" s="9" t="s">
        <v>2607</v>
      </c>
      <c r="B2402" s="9" t="s">
        <v>1102</v>
      </c>
      <c r="C2402">
        <v>2</v>
      </c>
      <c r="D2402">
        <v>80</v>
      </c>
      <c r="E2402">
        <v>2016</v>
      </c>
      <c r="F2402" s="9" t="s">
        <v>2610</v>
      </c>
      <c r="H2402" s="20" t="str">
        <f t="shared" si="37"/>
        <v>(nextval('obj_part_id_seq'), (select id from obj_building_v where zip||'|'||street||'|'||name||'|'||volume = '4950|Moostrasse 2a|Garage Feuerwehr|27.00'), 'P5', 2, 80, 2016,'Aussentüre aus Holz, tw. gestrichen, verwittert'),</v>
      </c>
    </row>
    <row r="2403" spans="1:8" x14ac:dyDescent="0.25">
      <c r="A2403" s="9" t="s">
        <v>2607</v>
      </c>
      <c r="B2403" s="9" t="s">
        <v>1104</v>
      </c>
      <c r="C2403">
        <v>0</v>
      </c>
      <c r="D2403" t="s">
        <v>4080</v>
      </c>
      <c r="E2403">
        <v>2016</v>
      </c>
      <c r="F2403" s="9"/>
      <c r="H2403" s="20" t="str">
        <f t="shared" si="37"/>
        <v>(nextval('obj_part_id_seq'), (select id from obj_building_v where zip||'|'||street||'|'||name||'|'||volume = '4950|Moostrasse 2a|Garage Feuerwehr|27.00'), 'P6', 0, null, 2016,null),</v>
      </c>
    </row>
    <row r="2404" spans="1:8" x14ac:dyDescent="0.25">
      <c r="A2404" s="9" t="s">
        <v>2607</v>
      </c>
      <c r="B2404" s="9" t="s">
        <v>1106</v>
      </c>
      <c r="C2404">
        <v>0</v>
      </c>
      <c r="D2404" t="s">
        <v>4080</v>
      </c>
      <c r="E2404">
        <v>2016</v>
      </c>
      <c r="F2404" s="9"/>
      <c r="H2404" s="20" t="str">
        <f t="shared" si="37"/>
        <v>(nextval('obj_part_id_seq'), (select id from obj_building_v where zip||'|'||street||'|'||name||'|'||volume = '4950|Moostrasse 2a|Garage Feuerwehr|27.00'), 'P7', 0, null, 2016,null),</v>
      </c>
    </row>
    <row r="2405" spans="1:8" x14ac:dyDescent="0.25">
      <c r="A2405" s="9" t="s">
        <v>2607</v>
      </c>
      <c r="B2405" s="9" t="s">
        <v>1108</v>
      </c>
      <c r="C2405">
        <v>0</v>
      </c>
      <c r="D2405" t="s">
        <v>4080</v>
      </c>
      <c r="E2405">
        <v>2016</v>
      </c>
      <c r="F2405" s="9"/>
      <c r="H2405" s="20" t="str">
        <f t="shared" si="37"/>
        <v>(nextval('obj_part_id_seq'), (select id from obj_building_v where zip||'|'||street||'|'||name||'|'||volume = '4950|Moostrasse 2a|Garage Feuerwehr|27.00'), 'P8', 0, null, 2016,null),</v>
      </c>
    </row>
    <row r="2406" spans="1:8" x14ac:dyDescent="0.25">
      <c r="A2406" s="9" t="s">
        <v>2607</v>
      </c>
      <c r="B2406" s="9" t="s">
        <v>1110</v>
      </c>
      <c r="C2406">
        <v>0</v>
      </c>
      <c r="D2406" t="s">
        <v>4080</v>
      </c>
      <c r="E2406">
        <v>2016</v>
      </c>
      <c r="F2406" s="9"/>
      <c r="H2406" s="20" t="str">
        <f t="shared" si="37"/>
        <v>(nextval('obj_part_id_seq'), (select id from obj_building_v where zip||'|'||street||'|'||name||'|'||volume = '4950|Moostrasse 2a|Garage Feuerwehr|27.00'), 'P9', 0, null, 2016,null),</v>
      </c>
    </row>
    <row r="2407" spans="1:8" x14ac:dyDescent="0.25">
      <c r="A2407" s="9" t="s">
        <v>2607</v>
      </c>
      <c r="B2407" s="9" t="s">
        <v>1112</v>
      </c>
      <c r="C2407">
        <v>0</v>
      </c>
      <c r="D2407" t="s">
        <v>4080</v>
      </c>
      <c r="E2407">
        <v>2016</v>
      </c>
      <c r="F2407" s="9"/>
      <c r="H2407" s="20" t="str">
        <f t="shared" si="37"/>
        <v>(nextval('obj_part_id_seq'), (select id from obj_building_v where zip||'|'||street||'|'||name||'|'||volume = '4950|Moostrasse 2a|Garage Feuerwehr|27.00'), 'P10', 0, null, 2016,null),</v>
      </c>
    </row>
    <row r="2408" spans="1:8" x14ac:dyDescent="0.25">
      <c r="A2408" s="9" t="s">
        <v>2607</v>
      </c>
      <c r="B2408" s="9" t="s">
        <v>1114</v>
      </c>
      <c r="C2408">
        <v>0</v>
      </c>
      <c r="D2408" t="s">
        <v>4080</v>
      </c>
      <c r="E2408">
        <v>2016</v>
      </c>
      <c r="F2408" s="9"/>
      <c r="H2408" s="20" t="str">
        <f t="shared" si="37"/>
        <v>(nextval('obj_part_id_seq'), (select id from obj_building_v where zip||'|'||street||'|'||name||'|'||volume = '4950|Moostrasse 2a|Garage Feuerwehr|27.00'), 'P11', 0, null, 2016,null),</v>
      </c>
    </row>
    <row r="2409" spans="1:8" x14ac:dyDescent="0.25">
      <c r="A2409" s="9" t="s">
        <v>2607</v>
      </c>
      <c r="B2409" s="9" t="s">
        <v>1114</v>
      </c>
      <c r="C2409">
        <v>27</v>
      </c>
      <c r="D2409">
        <v>85</v>
      </c>
      <c r="E2409">
        <v>2016</v>
      </c>
      <c r="F2409" s="9" t="s">
        <v>2611</v>
      </c>
      <c r="H2409" s="20" t="str">
        <f t="shared" si="37"/>
        <v>(nextval('obj_part_id_seq'), (select id from obj_building_v where zip||'|'||street||'|'||name||'|'||volume = '4950|Moostrasse 2a|Garage Feuerwehr|27.00'), 'P11', 27, 85, 2016,'B: Zementüberzug, W: Mauerwerk roh, D: Hourdisdecke, roh'),</v>
      </c>
    </row>
    <row r="2410" spans="1:8" x14ac:dyDescent="0.25">
      <c r="A2410" s="9" t="s">
        <v>2607</v>
      </c>
      <c r="B2410" s="9" t="s">
        <v>1116</v>
      </c>
      <c r="C2410">
        <v>0</v>
      </c>
      <c r="D2410" t="s">
        <v>4080</v>
      </c>
      <c r="E2410">
        <v>2016</v>
      </c>
      <c r="F2410" s="9"/>
      <c r="H2410" s="20" t="str">
        <f t="shared" si="37"/>
        <v>(nextval('obj_part_id_seq'), (select id from obj_building_v where zip||'|'||street||'|'||name||'|'||volume = '4950|Moostrasse 2a|Garage Feuerwehr|27.00'), 'P12', 0, null, 2016,null),</v>
      </c>
    </row>
    <row r="2411" spans="1:8" x14ac:dyDescent="0.25">
      <c r="A2411" s="9" t="s">
        <v>2612</v>
      </c>
      <c r="B2411" s="9" t="s">
        <v>1127</v>
      </c>
      <c r="C2411">
        <v>26</v>
      </c>
      <c r="D2411">
        <v>90</v>
      </c>
      <c r="E2411">
        <v>2015</v>
      </c>
      <c r="F2411" s="9" t="s">
        <v>2613</v>
      </c>
      <c r="H2411" s="20" t="str">
        <f t="shared" si="37"/>
        <v>(nextval('obj_part_id_seq'), (select id from obj_building_v where zip||'|'||street||'|'||name||'|'||volume = '8477|Hanffeldstrasse 18|Kindergarten|789.00'), 'P48', 26, 90, 2015,'Mauerwerk, Holzwerk Dach in gutem Zustand'),</v>
      </c>
    </row>
    <row r="2412" spans="1:8" x14ac:dyDescent="0.25">
      <c r="A2412" s="9" t="s">
        <v>2612</v>
      </c>
      <c r="B2412" s="9" t="s">
        <v>1129</v>
      </c>
      <c r="C2412">
        <v>0</v>
      </c>
      <c r="D2412" t="s">
        <v>4080</v>
      </c>
      <c r="E2412">
        <v>2015</v>
      </c>
      <c r="F2412" s="9"/>
      <c r="H2412" s="20" t="str">
        <f t="shared" si="37"/>
        <v>(nextval('obj_part_id_seq'), (select id from obj_building_v where zip||'|'||street||'|'||name||'|'||volume = '8477|Hanffeldstrasse 18|Kindergarten|789.00'), 'P49', 0, null, 2015,null),</v>
      </c>
    </row>
    <row r="2413" spans="1:8" x14ac:dyDescent="0.25">
      <c r="A2413" s="9" t="s">
        <v>2612</v>
      </c>
      <c r="B2413" s="9" t="s">
        <v>1097</v>
      </c>
      <c r="C2413">
        <v>20</v>
      </c>
      <c r="D2413">
        <v>70</v>
      </c>
      <c r="E2413">
        <v>2015</v>
      </c>
      <c r="F2413" s="9" t="s">
        <v>2614</v>
      </c>
      <c r="H2413" s="20" t="str">
        <f t="shared" si="37"/>
        <v>(nextval('obj_part_id_seq'), (select id from obj_building_v where zip||'|'||street||'|'||name||'|'||volume = '8477|Hanffeldstrasse 18|Kindergarten|789.00'), 'P2', 20, 70, 2015,'Sparrendach mit Flachziegeleindeckung, Falzziegel tw. defekt'),</v>
      </c>
    </row>
    <row r="2414" spans="1:8" x14ac:dyDescent="0.25">
      <c r="A2414" s="9" t="s">
        <v>2612</v>
      </c>
      <c r="B2414" s="9" t="s">
        <v>1099</v>
      </c>
      <c r="C2414">
        <v>0</v>
      </c>
      <c r="D2414" t="s">
        <v>4080</v>
      </c>
      <c r="E2414">
        <v>2015</v>
      </c>
      <c r="F2414" s="9"/>
      <c r="H2414" s="20" t="str">
        <f t="shared" si="37"/>
        <v>(nextval('obj_part_id_seq'), (select id from obj_building_v where zip||'|'||street||'|'||name||'|'||volume = '8477|Hanffeldstrasse 18|Kindergarten|789.00'), 'P3', 0, null, 2015,null),</v>
      </c>
    </row>
    <row r="2415" spans="1:8" x14ac:dyDescent="0.25">
      <c r="A2415" s="9" t="s">
        <v>2612</v>
      </c>
      <c r="B2415" s="9" t="s">
        <v>1100</v>
      </c>
      <c r="C2415">
        <v>8</v>
      </c>
      <c r="D2415">
        <v>85</v>
      </c>
      <c r="E2415">
        <v>2015</v>
      </c>
      <c r="F2415" s="9" t="s">
        <v>2615</v>
      </c>
      <c r="H2415" s="20" t="str">
        <f t="shared" si="37"/>
        <v>(nextval('obj_part_id_seq'), (select id from obj_building_v where zip||'|'||street||'|'||name||'|'||volume = '8477|Hanffeldstrasse 18|Kindergarten|789.00'), 'P4', 8, 85, 2015,'MW gestrichen, tw. verputzt, Sichtmauerwerk'),</v>
      </c>
    </row>
    <row r="2416" spans="1:8" x14ac:dyDescent="0.25">
      <c r="A2416" s="9" t="s">
        <v>2612</v>
      </c>
      <c r="B2416" s="9" t="s">
        <v>1102</v>
      </c>
      <c r="C2416">
        <v>14</v>
      </c>
      <c r="D2416">
        <v>60</v>
      </c>
      <c r="E2416">
        <v>2015</v>
      </c>
      <c r="F2416" s="9" t="s">
        <v>2616</v>
      </c>
      <c r="H2416" s="20" t="str">
        <f t="shared" si="37"/>
        <v>(nextval('obj_part_id_seq'), (select id from obj_building_v where zip||'|'||street||'|'||name||'|'||volume = '8477|Hanffeldstrasse 18|Kindergarten|789.00'), 'P5', 14, 60, 2015,'Holzfenster, doppelverglast mit Sprossen, Rafflamellenstoren'),</v>
      </c>
    </row>
    <row r="2417" spans="1:8" x14ac:dyDescent="0.25">
      <c r="A2417" s="9" t="s">
        <v>2612</v>
      </c>
      <c r="B2417" s="9" t="s">
        <v>1110</v>
      </c>
      <c r="C2417">
        <v>4</v>
      </c>
      <c r="D2417">
        <v>70</v>
      </c>
      <c r="E2417">
        <v>2015</v>
      </c>
      <c r="F2417" s="9" t="s">
        <v>2617</v>
      </c>
      <c r="H2417" s="20" t="str">
        <f t="shared" si="37"/>
        <v>(nextval('obj_part_id_seq'), (select id from obj_building_v where zip||'|'||street||'|'||name||'|'||volume = '8477|Hanffeldstrasse 18|Kindergarten|789.00'), 'P9', 4, 70, 2015,'Ungenügende Beleuchtung'),</v>
      </c>
    </row>
    <row r="2418" spans="1:8" x14ac:dyDescent="0.25">
      <c r="A2418" s="9" t="s">
        <v>2612</v>
      </c>
      <c r="B2418" s="9" t="s">
        <v>1104</v>
      </c>
      <c r="C2418">
        <v>1</v>
      </c>
      <c r="D2418">
        <v>90</v>
      </c>
      <c r="E2418">
        <v>2015</v>
      </c>
      <c r="F2418" s="9" t="s">
        <v>1235</v>
      </c>
      <c r="H2418" s="20" t="str">
        <f t="shared" si="37"/>
        <v>(nextval('obj_part_id_seq'), (select id from obj_building_v where zip||'|'||street||'|'||name||'|'||volume = '8477|Hanffeldstrasse 18|Kindergarten|789.00'), 'P6', 1, 90, 2015,'Fernwärme'),</v>
      </c>
    </row>
    <row r="2419" spans="1:8" x14ac:dyDescent="0.25">
      <c r="A2419" s="9" t="s">
        <v>2612</v>
      </c>
      <c r="B2419" s="9" t="s">
        <v>1106</v>
      </c>
      <c r="C2419">
        <v>3</v>
      </c>
      <c r="D2419">
        <v>90</v>
      </c>
      <c r="E2419">
        <v>2015</v>
      </c>
      <c r="F2419" s="9" t="s">
        <v>1107</v>
      </c>
      <c r="H2419" s="20" t="str">
        <f t="shared" si="37"/>
        <v>(nextval('obj_part_id_seq'), (select id from obj_building_v where zip||'|'||street||'|'||name||'|'||volume = '8477|Hanffeldstrasse 18|Kindergarten|789.00'), 'P7', 3, 90, 2015,'Radiatoren mit Thermostaten'),</v>
      </c>
    </row>
    <row r="2420" spans="1:8" x14ac:dyDescent="0.25">
      <c r="A2420" s="9" t="s">
        <v>2612</v>
      </c>
      <c r="B2420" s="9" t="s">
        <v>1135</v>
      </c>
      <c r="C2420">
        <v>1</v>
      </c>
      <c r="D2420">
        <v>60</v>
      </c>
      <c r="E2420">
        <v>2015</v>
      </c>
      <c r="F2420" s="9" t="s">
        <v>2618</v>
      </c>
      <c r="H2420" s="20" t="str">
        <f t="shared" si="37"/>
        <v>(nextval('obj_part_id_seq'), (select id from obj_building_v where zip||'|'||street||'|'||name||'|'||volume = '8477|Hanffeldstrasse 18|Kindergarten|789.00'), 'P54', 1, 60, 2015,'Alte Apparate und Armaturen ohne Mischventile'),</v>
      </c>
    </row>
    <row r="2421" spans="1:8" x14ac:dyDescent="0.25">
      <c r="A2421" s="9" t="s">
        <v>2612</v>
      </c>
      <c r="B2421" s="9" t="s">
        <v>1137</v>
      </c>
      <c r="C2421">
        <v>3</v>
      </c>
      <c r="D2421">
        <v>90</v>
      </c>
      <c r="E2421">
        <v>2015</v>
      </c>
      <c r="F2421" s="9" t="s">
        <v>1218</v>
      </c>
      <c r="H2421" s="20" t="str">
        <f t="shared" si="37"/>
        <v>(nextval('obj_part_id_seq'), (select id from obj_building_v where zip||'|'||street||'|'||name||'|'||volume = '8477|Hanffeldstrasse 18|Kindergarten|789.00'), 'P55', 3, 90, 2015,'Keine Mängel bekannt'),</v>
      </c>
    </row>
    <row r="2422" spans="1:8" x14ac:dyDescent="0.25">
      <c r="A2422" s="9" t="s">
        <v>2612</v>
      </c>
      <c r="B2422" s="9" t="s">
        <v>1138</v>
      </c>
      <c r="C2422">
        <v>17</v>
      </c>
      <c r="D2422">
        <v>60</v>
      </c>
      <c r="E2422">
        <v>2015</v>
      </c>
      <c r="F2422" s="9" t="s">
        <v>2619</v>
      </c>
      <c r="H2422" s="20" t="str">
        <f t="shared" si="37"/>
        <v>(nextval('obj_part_id_seq'), (select id from obj_building_v where zip||'|'||street||'|'||name||'|'||volume = '8477|Hanffeldstrasse 18|Kindergarten|789.00'), 'P57', 17, 60, 2015,'Garderoben, Einbaukästen, Simse und Vorhangbretter, Küche sehr veraltet'),</v>
      </c>
    </row>
    <row r="2423" spans="1:8" x14ac:dyDescent="0.25">
      <c r="A2423" s="9" t="s">
        <v>2612</v>
      </c>
      <c r="B2423" s="9" t="s">
        <v>1140</v>
      </c>
      <c r="C2423">
        <v>3</v>
      </c>
      <c r="D2423">
        <v>60</v>
      </c>
      <c r="E2423">
        <v>2015</v>
      </c>
      <c r="F2423" s="9" t="s">
        <v>2620</v>
      </c>
      <c r="H2423" s="20" t="str">
        <f t="shared" si="37"/>
        <v>(nextval('obj_part_id_seq'), (select id from obj_building_v where zip||'|'||street||'|'||name||'|'||volume = '8477|Hanffeldstrasse 18|Kindergarten|789.00'), 'P58', 3, 60, 2015,'B: Linol, Keramik, W: MW verputzt, D: Pavatexplatten'),</v>
      </c>
    </row>
    <row r="2424" spans="1:8" x14ac:dyDescent="0.25">
      <c r="A2424" s="9" t="s">
        <v>2612</v>
      </c>
      <c r="B2424" s="9" t="s">
        <v>1142</v>
      </c>
      <c r="C2424">
        <v>0</v>
      </c>
      <c r="D2424" t="s">
        <v>4080</v>
      </c>
      <c r="E2424">
        <v>2015</v>
      </c>
      <c r="F2424" s="9"/>
      <c r="H2424" s="20" t="str">
        <f t="shared" si="37"/>
        <v>(nextval('obj_part_id_seq'), (select id from obj_building_v where zip||'|'||street||'|'||name||'|'||volume = '8477|Hanffeldstrasse 18|Kindergarten|789.00'), 'P60', 0, null, 2015,null),</v>
      </c>
    </row>
    <row r="2425" spans="1:8" x14ac:dyDescent="0.25">
      <c r="A2425" s="9" t="s">
        <v>2612</v>
      </c>
      <c r="B2425" s="9" t="s">
        <v>1143</v>
      </c>
      <c r="C2425">
        <v>0</v>
      </c>
      <c r="D2425" t="s">
        <v>4080</v>
      </c>
      <c r="E2425">
        <v>2015</v>
      </c>
      <c r="F2425" s="9"/>
      <c r="H2425" s="20" t="str">
        <f t="shared" si="37"/>
        <v>(nextval('obj_part_id_seq'), (select id from obj_building_v where zip||'|'||street||'|'||name||'|'||volume = '8477|Hanffeldstrasse 18|Kindergarten|789.00'), 'P61', 0, null, 2015,null),</v>
      </c>
    </row>
    <row r="2426" spans="1:8" x14ac:dyDescent="0.25">
      <c r="A2426" s="9" t="s">
        <v>2612</v>
      </c>
      <c r="B2426" s="9" t="s">
        <v>1144</v>
      </c>
      <c r="C2426">
        <v>0</v>
      </c>
      <c r="D2426" t="s">
        <v>4080</v>
      </c>
      <c r="E2426">
        <v>2015</v>
      </c>
      <c r="F2426" s="9"/>
      <c r="H2426" s="20" t="str">
        <f t="shared" si="37"/>
        <v>(nextval('obj_part_id_seq'), (select id from obj_building_v where zip||'|'||street||'|'||name||'|'||volume = '8477|Hanffeldstrasse 18|Kindergarten|789.00'), 'P62', 0, null, 2015,null),</v>
      </c>
    </row>
    <row r="2427" spans="1:8" x14ac:dyDescent="0.25">
      <c r="A2427" s="9" t="s">
        <v>2621</v>
      </c>
      <c r="B2427" s="9" t="s">
        <v>1095</v>
      </c>
      <c r="C2427">
        <v>33</v>
      </c>
      <c r="D2427">
        <v>90</v>
      </c>
      <c r="E2427">
        <v>2016</v>
      </c>
      <c r="F2427" s="9" t="s">
        <v>2622</v>
      </c>
      <c r="H2427" s="20" t="str">
        <f t="shared" si="37"/>
        <v>(nextval('obj_part_id_seq'), (select id from obj_building_v where zip||'|'||street||'|'||name||'|'||volume = '9471|Rheinau|Clubhaus FC Buchs|4207.00'), 'P1', 33, 90, 2016,'Holzbau, Mauerwerk, Stahlkonstruktion'),</v>
      </c>
    </row>
    <row r="2428" spans="1:8" x14ac:dyDescent="0.25">
      <c r="A2428" s="9" t="s">
        <v>2621</v>
      </c>
      <c r="B2428" s="9" t="s">
        <v>1097</v>
      </c>
      <c r="C2428">
        <v>0</v>
      </c>
      <c r="D2428" t="s">
        <v>4080</v>
      </c>
      <c r="E2428">
        <v>2016</v>
      </c>
      <c r="F2428" s="9"/>
      <c r="H2428" s="20" t="str">
        <f t="shared" si="37"/>
        <v>(nextval('obj_part_id_seq'), (select id from obj_building_v where zip||'|'||street||'|'||name||'|'||volume = '9471|Rheinau|Clubhaus FC Buchs|4207.00'), 'P2', 0, null, 2016,null),</v>
      </c>
    </row>
    <row r="2429" spans="1:8" x14ac:dyDescent="0.25">
      <c r="A2429" s="9" t="s">
        <v>2621</v>
      </c>
      <c r="B2429" s="9" t="s">
        <v>1099</v>
      </c>
      <c r="C2429">
        <v>8</v>
      </c>
      <c r="D2429">
        <v>90</v>
      </c>
      <c r="E2429">
        <v>2016</v>
      </c>
      <c r="F2429" s="9" t="s">
        <v>2419</v>
      </c>
      <c r="H2429" s="20" t="str">
        <f t="shared" si="37"/>
        <v>(nextval('obj_part_id_seq'), (select id from obj_building_v where zip||'|'||street||'|'||name||'|'||volume = '9471|Rheinau|Clubhaus FC Buchs|4207.00'), 'P3', 8, 90, 2016,'Extensivbegrünung'),</v>
      </c>
    </row>
    <row r="2430" spans="1:8" x14ac:dyDescent="0.25">
      <c r="A2430" s="9" t="s">
        <v>2621</v>
      </c>
      <c r="B2430" s="9" t="s">
        <v>1100</v>
      </c>
      <c r="C2430">
        <v>8</v>
      </c>
      <c r="D2430">
        <v>90</v>
      </c>
      <c r="E2430">
        <v>2016</v>
      </c>
      <c r="F2430" s="9" t="s">
        <v>2623</v>
      </c>
      <c r="H2430" s="20" t="str">
        <f t="shared" si="37"/>
        <v>(nextval('obj_part_id_seq'), (select id from obj_building_v where zip||'|'||street||'|'||name||'|'||volume = '9471|Rheinau|Clubhaus FC Buchs|4207.00'), 'P4', 8, 90, 2016,'Hinterlüftete Fassade'),</v>
      </c>
    </row>
    <row r="2431" spans="1:8" x14ac:dyDescent="0.25">
      <c r="A2431" s="9" t="s">
        <v>2621</v>
      </c>
      <c r="B2431" s="9" t="s">
        <v>1102</v>
      </c>
      <c r="C2431">
        <v>8</v>
      </c>
      <c r="D2431">
        <v>90</v>
      </c>
      <c r="E2431">
        <v>2016</v>
      </c>
      <c r="F2431" s="9" t="s">
        <v>2624</v>
      </c>
      <c r="H2431" s="20" t="str">
        <f t="shared" si="37"/>
        <v>(nextval('obj_part_id_seq'), (select id from obj_building_v where zip||'|'||street||'|'||name||'|'||volume = '9471|Rheinau|Clubhaus FC Buchs|4207.00'), 'P5', 8, 90, 2016,'Isolierverglasung-Kunststofffenster (2008), 2-fach-verglast mit Rafflamellenstoren'),</v>
      </c>
    </row>
    <row r="2432" spans="1:8" x14ac:dyDescent="0.25">
      <c r="A2432" s="9" t="s">
        <v>2621</v>
      </c>
      <c r="B2432" s="9" t="s">
        <v>1104</v>
      </c>
      <c r="C2432">
        <v>1</v>
      </c>
      <c r="D2432">
        <v>90</v>
      </c>
      <c r="E2432">
        <v>2016</v>
      </c>
      <c r="F2432" s="9" t="s">
        <v>2625</v>
      </c>
      <c r="H2432" s="20" t="str">
        <f t="shared" si="37"/>
        <v>(nextval('obj_part_id_seq'), (select id from obj_building_v where zip||'|'||street||'|'||name||'|'||volume = '9471|Rheinau|Clubhaus FC Buchs|4207.00'), 'P6', 1, 90, 2016,'Gasheizung, Boiler'),</v>
      </c>
    </row>
    <row r="2433" spans="1:8" x14ac:dyDescent="0.25">
      <c r="A2433" s="9" t="s">
        <v>2621</v>
      </c>
      <c r="B2433" s="9" t="s">
        <v>1106</v>
      </c>
      <c r="C2433">
        <v>2</v>
      </c>
      <c r="D2433">
        <v>90</v>
      </c>
      <c r="E2433">
        <v>2016</v>
      </c>
      <c r="F2433" s="9" t="s">
        <v>1571</v>
      </c>
      <c r="H2433" s="20" t="str">
        <f t="shared" si="37"/>
        <v>(nextval('obj_part_id_seq'), (select id from obj_building_v where zip||'|'||street||'|'||name||'|'||volume = '9471|Rheinau|Clubhaus FC Buchs|4207.00'), 'P7', 2, 90, 2016,'Bodenheizung'),</v>
      </c>
    </row>
    <row r="2434" spans="1:8" x14ac:dyDescent="0.25">
      <c r="A2434" s="9" t="s">
        <v>2621</v>
      </c>
      <c r="B2434" s="9" t="s">
        <v>1108</v>
      </c>
      <c r="C2434">
        <v>6</v>
      </c>
      <c r="D2434">
        <v>90</v>
      </c>
      <c r="E2434">
        <v>2016</v>
      </c>
      <c r="F2434" s="9" t="s">
        <v>2626</v>
      </c>
      <c r="H2434" s="20" t="str">
        <f t="shared" si="37"/>
        <v>(nextval('obj_part_id_seq'), (select id from obj_building_v where zip||'|'||street||'|'||name||'|'||volume = '9471|Rheinau|Clubhaus FC Buchs|4207.00'), 'P8', 6, 90, 2016,'Duschen, Sanitärapparate neuwertig, Leitungen isoliert, Grundwasserpumpen, Schuhputzanlage'),</v>
      </c>
    </row>
    <row r="2435" spans="1:8" x14ac:dyDescent="0.25">
      <c r="A2435" s="9" t="s">
        <v>2621</v>
      </c>
      <c r="B2435" s="9" t="s">
        <v>1110</v>
      </c>
      <c r="C2435">
        <v>6</v>
      </c>
      <c r="D2435">
        <v>90</v>
      </c>
      <c r="E2435">
        <v>2016</v>
      </c>
      <c r="F2435" s="9" t="s">
        <v>2627</v>
      </c>
      <c r="H2435" s="20" t="str">
        <f t="shared" si="37"/>
        <v>(nextval('obj_part_id_seq'), (select id from obj_building_v where zip||'|'||street||'|'||name||'|'||volume = '9471|Rheinau|Clubhaus FC Buchs|4207.00'), 'P9', 6, 90, 2016,'Einzelne Keramiksicherungen vorhanden, ansonsten Starkstromanlage auf aktuellem Stand, Audioanlagen'),</v>
      </c>
    </row>
    <row r="2436" spans="1:8" x14ac:dyDescent="0.25">
      <c r="A2436" s="9" t="s">
        <v>2621</v>
      </c>
      <c r="B2436" s="9" t="s">
        <v>1112</v>
      </c>
      <c r="C2436">
        <v>2</v>
      </c>
      <c r="D2436">
        <v>90</v>
      </c>
      <c r="E2436">
        <v>2016</v>
      </c>
      <c r="F2436" s="9" t="s">
        <v>2628</v>
      </c>
      <c r="H2436" s="20" t="str">
        <f t="shared" si="37"/>
        <v>(nextval('obj_part_id_seq'), (select id from obj_building_v where zip||'|'||street||'|'||name||'|'||volume = '9471|Rheinau|Clubhaus FC Buchs|4207.00'), 'P10', 2, 90, 2016,'Kühlraum, Boiler, Küche, Wasserpumpen'),</v>
      </c>
    </row>
    <row r="2437" spans="1:8" x14ac:dyDescent="0.25">
      <c r="A2437" s="9" t="s">
        <v>2621</v>
      </c>
      <c r="B2437" s="9" t="s">
        <v>1114</v>
      </c>
      <c r="C2437">
        <v>20</v>
      </c>
      <c r="D2437">
        <v>90</v>
      </c>
      <c r="E2437">
        <v>2016</v>
      </c>
      <c r="F2437" s="9" t="s">
        <v>2629</v>
      </c>
      <c r="H2437" s="20" t="str">
        <f t="shared" ref="H2437:H2500" si="38">"(nextval('obj_part_id_seq'), (select id from obj_building_v where zip||'|'||street||'|'||name||'|'||volume = '"&amp;A2437&amp;"'), '"&amp;B2437&amp;"', "&amp;C2437&amp;", "&amp;D2437&amp;", "&amp;IF(ISBLANK(E2437),"null",E2437)&amp;","&amp;IF(ISBLANK(F2437),"null","'"&amp;F2437&amp;"'")&amp;"),"</f>
        <v>(nextval('obj_part_id_seq'), (select id from obj_building_v where zip||'|'||street||'|'||name||'|'||volume = '9471|Rheinau|Clubhaus FC Buchs|4207.00'), 'P11', 20, 90, 2016,'B: Flüssigkunststoff, Kunststoffplatten\nW: Betonsteine, Keramik, gestrichen\nD: Rohbeton, Heraklitplatten'),</v>
      </c>
    </row>
    <row r="2438" spans="1:8" x14ac:dyDescent="0.25">
      <c r="A2438" s="9" t="s">
        <v>2621</v>
      </c>
      <c r="B2438" s="9" t="s">
        <v>1114</v>
      </c>
      <c r="C2438">
        <v>3</v>
      </c>
      <c r="D2438">
        <v>90</v>
      </c>
      <c r="E2438">
        <v>2016</v>
      </c>
      <c r="F2438" s="9" t="s">
        <v>2630</v>
      </c>
      <c r="H2438" s="20" t="str">
        <f t="shared" si="38"/>
        <v>(nextval('obj_part_id_seq'), (select id from obj_building_v where zip||'|'||street||'|'||name||'|'||volume = '9471|Rheinau|Clubhaus FC Buchs|4207.00'), 'P11', 3, 90, 2016,'Einbauschränke, Briefkasten, Garderoben, Küche, Theke Restaurant'),</v>
      </c>
    </row>
    <row r="2439" spans="1:8" x14ac:dyDescent="0.25">
      <c r="A2439" s="9" t="s">
        <v>2621</v>
      </c>
      <c r="B2439" s="9" t="s">
        <v>1116</v>
      </c>
      <c r="C2439">
        <v>3</v>
      </c>
      <c r="D2439">
        <v>90</v>
      </c>
      <c r="E2439">
        <v>2016</v>
      </c>
      <c r="F2439" s="9" t="s">
        <v>2631</v>
      </c>
      <c r="H2439" s="20" t="str">
        <f t="shared" si="38"/>
        <v>(nextval('obj_part_id_seq'), (select id from obj_building_v where zip||'|'||street||'|'||name||'|'||volume = '9471|Rheinau|Clubhaus FC Buchs|4207.00'), 'P12', 3, 90, 2016,'Lüftungsanlage Garderoben und Küche'),</v>
      </c>
    </row>
    <row r="2440" spans="1:8" x14ac:dyDescent="0.25">
      <c r="A2440" s="9" t="s">
        <v>2632</v>
      </c>
      <c r="B2440" s="9" t="s">
        <v>1095</v>
      </c>
      <c r="C2440">
        <v>35</v>
      </c>
      <c r="D2440">
        <v>90</v>
      </c>
      <c r="E2440">
        <v>2016</v>
      </c>
      <c r="F2440" s="9" t="s">
        <v>2633</v>
      </c>
      <c r="H2440" s="20" t="str">
        <f t="shared" si="38"/>
        <v>(nextval('obj_part_id_seq'), (select id from obj_building_v where zip||'|'||street||'|'||name||'|'||volume = '9471|Buchersplatz|Schiessanlage|6121.00'), 'P1', 35, 90, 2016,'Mauerwerk, KS-Wände, Stahlbeton'),</v>
      </c>
    </row>
    <row r="2441" spans="1:8" x14ac:dyDescent="0.25">
      <c r="A2441" s="9" t="s">
        <v>2632</v>
      </c>
      <c r="B2441" s="9" t="s">
        <v>1097</v>
      </c>
      <c r="C2441">
        <v>6</v>
      </c>
      <c r="D2441">
        <v>90</v>
      </c>
      <c r="E2441">
        <v>2016</v>
      </c>
      <c r="F2441" s="9" t="s">
        <v>2634</v>
      </c>
      <c r="H2441" s="20" t="str">
        <f t="shared" si="38"/>
        <v>(nextval('obj_part_id_seq'), (select id from obj_building_v where zip||'|'||street||'|'||name||'|'||volume = '9471|Buchersplatz|Schiessanlage|6121.00'), 'P2', 6, 90, 2016,'Satteldach mit Eternitschindeln'),</v>
      </c>
    </row>
    <row r="2442" spans="1:8" x14ac:dyDescent="0.25">
      <c r="A2442" s="9" t="s">
        <v>2632</v>
      </c>
      <c r="B2442" s="9" t="s">
        <v>1099</v>
      </c>
      <c r="C2442">
        <v>0</v>
      </c>
      <c r="D2442" t="s">
        <v>4080</v>
      </c>
      <c r="E2442">
        <v>2016</v>
      </c>
      <c r="F2442" s="9"/>
      <c r="H2442" s="20" t="str">
        <f t="shared" si="38"/>
        <v>(nextval('obj_part_id_seq'), (select id from obj_building_v where zip||'|'||street||'|'||name||'|'||volume = '9471|Buchersplatz|Schiessanlage|6121.00'), 'P3', 0, null, 2016,null),</v>
      </c>
    </row>
    <row r="2443" spans="1:8" x14ac:dyDescent="0.25">
      <c r="A2443" s="9" t="s">
        <v>2632</v>
      </c>
      <c r="B2443" s="9" t="s">
        <v>1100</v>
      </c>
      <c r="C2443">
        <v>8</v>
      </c>
      <c r="D2443">
        <v>85</v>
      </c>
      <c r="E2443">
        <v>2016</v>
      </c>
      <c r="F2443" s="9" t="s">
        <v>1716</v>
      </c>
      <c r="H2443" s="20" t="str">
        <f t="shared" si="38"/>
        <v>(nextval('obj_part_id_seq'), (select id from obj_building_v where zip||'|'||street||'|'||name||'|'||volume = '9471|Buchersplatz|Schiessanlage|6121.00'), 'P4', 8, 85, 2016,'Mauerwerk, verputzt'),</v>
      </c>
    </row>
    <row r="2444" spans="1:8" x14ac:dyDescent="0.25">
      <c r="A2444" s="9" t="s">
        <v>2632</v>
      </c>
      <c r="B2444" s="9" t="s">
        <v>1102</v>
      </c>
      <c r="C2444">
        <v>8</v>
      </c>
      <c r="D2444">
        <v>90</v>
      </c>
      <c r="E2444">
        <v>2016</v>
      </c>
      <c r="F2444" s="9" t="s">
        <v>2635</v>
      </c>
      <c r="H2444" s="20" t="str">
        <f t="shared" si="38"/>
        <v>(nextval('obj_part_id_seq'), (select id from obj_building_v where zip||'|'||street||'|'||name||'|'||volume = '9471|Buchersplatz|Schiessanlage|6121.00'), 'P5', 8, 90, 2016,'PVC-Fenster aus dem Jahr 1997, 2-fach-Verglasung, 2-fach Verglasung, Isolierverglasung mit Fensterläden'),</v>
      </c>
    </row>
    <row r="2445" spans="1:8" x14ac:dyDescent="0.25">
      <c r="A2445" s="9" t="s">
        <v>2632</v>
      </c>
      <c r="B2445" s="9" t="s">
        <v>1104</v>
      </c>
      <c r="C2445">
        <v>1</v>
      </c>
      <c r="D2445">
        <v>90</v>
      </c>
      <c r="E2445">
        <v>2016</v>
      </c>
      <c r="F2445" s="9" t="s">
        <v>2422</v>
      </c>
      <c r="H2445" s="20" t="str">
        <f t="shared" si="38"/>
        <v>(nextval('obj_part_id_seq'), (select id from obj_building_v where zip||'|'||street||'|'||name||'|'||volume = '9471|Buchersplatz|Schiessanlage|6121.00'), 'P6', 1, 90, 2016,'Ölheizung, Elektroboiler'),</v>
      </c>
    </row>
    <row r="2446" spans="1:8" x14ac:dyDescent="0.25">
      <c r="A2446" s="9" t="s">
        <v>2632</v>
      </c>
      <c r="B2446" s="9" t="s">
        <v>1106</v>
      </c>
      <c r="C2446">
        <v>2</v>
      </c>
      <c r="D2446">
        <v>90</v>
      </c>
      <c r="E2446">
        <v>2016</v>
      </c>
      <c r="F2446" s="9" t="s">
        <v>2636</v>
      </c>
      <c r="H2446" s="20" t="str">
        <f t="shared" si="38"/>
        <v>(nextval('obj_part_id_seq'), (select id from obj_building_v where zip||'|'||street||'|'||name||'|'||volume = '9471|Buchersplatz|Schiessanlage|6121.00'), 'P7', 2, 90, 2016,'Radiatoren, Konvektor'),</v>
      </c>
    </row>
    <row r="2447" spans="1:8" x14ac:dyDescent="0.25">
      <c r="A2447" s="9" t="s">
        <v>2632</v>
      </c>
      <c r="B2447" s="9" t="s">
        <v>1108</v>
      </c>
      <c r="C2447">
        <v>6</v>
      </c>
      <c r="D2447">
        <v>90</v>
      </c>
      <c r="E2447">
        <v>2016</v>
      </c>
      <c r="F2447" s="9" t="s">
        <v>2637</v>
      </c>
      <c r="H2447" s="20" t="str">
        <f t="shared" si="38"/>
        <v>(nextval('obj_part_id_seq'), (select id from obj_building_v where zip||'|'||street||'|'||name||'|'||volume = '9471|Buchersplatz|Schiessanlage|6121.00'), 'P8', 6, 90, 2016,'Apparate funktionstüchtig, keine Mängel bekannt, Leitungen i.O.'),</v>
      </c>
    </row>
    <row r="2448" spans="1:8" x14ac:dyDescent="0.25">
      <c r="A2448" s="9" t="s">
        <v>2632</v>
      </c>
      <c r="B2448" s="9" t="s">
        <v>1110</v>
      </c>
      <c r="C2448">
        <v>6</v>
      </c>
      <c r="D2448">
        <v>90</v>
      </c>
      <c r="E2448">
        <v>2016</v>
      </c>
      <c r="F2448" s="9" t="s">
        <v>2638</v>
      </c>
      <c r="H2448" s="20" t="str">
        <f t="shared" si="38"/>
        <v>(nextval('obj_part_id_seq'), (select id from obj_building_v where zip||'|'||street||'|'||name||'|'||volume = '9471|Buchersplatz|Schiessanlage|6121.00'), 'P9', 6, 90, 2016,'BMA, Alarmanlage, Trefferanzeige'),</v>
      </c>
    </row>
    <row r="2449" spans="1:8" x14ac:dyDescent="0.25">
      <c r="A2449" s="9" t="s">
        <v>2632</v>
      </c>
      <c r="B2449" s="9" t="s">
        <v>1112</v>
      </c>
      <c r="C2449">
        <v>0</v>
      </c>
      <c r="D2449" t="s">
        <v>4080</v>
      </c>
      <c r="E2449">
        <v>2016</v>
      </c>
      <c r="F2449" s="9"/>
      <c r="H2449" s="20" t="str">
        <f t="shared" si="38"/>
        <v>(nextval('obj_part_id_seq'), (select id from obj_building_v where zip||'|'||street||'|'||name||'|'||volume = '9471|Buchersplatz|Schiessanlage|6121.00'), 'P10', 0, null, 2016,null),</v>
      </c>
    </row>
    <row r="2450" spans="1:8" x14ac:dyDescent="0.25">
      <c r="A2450" s="9" t="s">
        <v>2632</v>
      </c>
      <c r="B2450" s="9" t="s">
        <v>1114</v>
      </c>
      <c r="C2450">
        <v>20</v>
      </c>
      <c r="D2450">
        <v>85</v>
      </c>
      <c r="E2450">
        <v>2016</v>
      </c>
      <c r="F2450" s="9" t="s">
        <v>2639</v>
      </c>
      <c r="H2450" s="20" t="str">
        <f t="shared" si="38"/>
        <v>(nextval('obj_part_id_seq'), (select id from obj_building_v where zip||'|'||street||'|'||name||'|'||volume = '9471|Buchersplatz|Schiessanlage|6121.00'), 'P11', 20, 85, 2016,'B: Keramik, Teppich\nW: Verputz, Holz, Akustik, Keramik\nD: Holz, heruntergehängte Akustikdecke'),</v>
      </c>
    </row>
    <row r="2451" spans="1:8" x14ac:dyDescent="0.25">
      <c r="A2451" s="9" t="s">
        <v>2632</v>
      </c>
      <c r="B2451" s="9" t="s">
        <v>1114</v>
      </c>
      <c r="C2451">
        <v>8</v>
      </c>
      <c r="D2451">
        <v>90</v>
      </c>
      <c r="E2451">
        <v>2016</v>
      </c>
      <c r="F2451" s="9" t="s">
        <v>2640</v>
      </c>
      <c r="H2451" s="20" t="str">
        <f t="shared" si="38"/>
        <v>(nextval('obj_part_id_seq'), (select id from obj_building_v where zip||'|'||street||'|'||name||'|'||volume = '9471|Buchersplatz|Schiessanlage|6121.00'), 'P11', 8, 90, 2016,'Innere Verglasung, Küche'),</v>
      </c>
    </row>
    <row r="2452" spans="1:8" x14ac:dyDescent="0.25">
      <c r="A2452" s="9" t="s">
        <v>2632</v>
      </c>
      <c r="B2452" s="9" t="s">
        <v>1116</v>
      </c>
      <c r="C2452">
        <v>0</v>
      </c>
      <c r="D2452" t="s">
        <v>4080</v>
      </c>
      <c r="E2452">
        <v>2016</v>
      </c>
      <c r="F2452" s="9"/>
      <c r="H2452" s="20" t="str">
        <f t="shared" si="38"/>
        <v>(nextval('obj_part_id_seq'), (select id from obj_building_v where zip||'|'||street||'|'||name||'|'||volume = '9471|Buchersplatz|Schiessanlage|6121.00'), 'P12', 0, null, 2016,null),</v>
      </c>
    </row>
    <row r="2453" spans="1:8" x14ac:dyDescent="0.25">
      <c r="A2453" s="9" t="s">
        <v>2641</v>
      </c>
      <c r="B2453" s="9" t="s">
        <v>1095</v>
      </c>
      <c r="C2453">
        <v>35</v>
      </c>
      <c r="D2453">
        <v>90</v>
      </c>
      <c r="E2453">
        <v>2016</v>
      </c>
      <c r="F2453" s="9" t="s">
        <v>2642</v>
      </c>
      <c r="H2453" s="20" t="str">
        <f t="shared" si="38"/>
        <v>(nextval('obj_part_id_seq'), (select id from obj_building_v where zip||'|'||street||'|'||name||'|'||volume = '9471|Buchserau|Freibad Rheinau|3308.00'), 'P1', 35, 90, 2016,'Stahlbeton, Kalksandstein, Mauerwerk, Schichtbrettträger'),</v>
      </c>
    </row>
    <row r="2454" spans="1:8" x14ac:dyDescent="0.25">
      <c r="A2454" s="9" t="s">
        <v>2641</v>
      </c>
      <c r="B2454" s="9" t="s">
        <v>1097</v>
      </c>
      <c r="C2454">
        <v>0</v>
      </c>
      <c r="D2454" t="s">
        <v>4080</v>
      </c>
      <c r="E2454">
        <v>2016</v>
      </c>
      <c r="F2454" s="9"/>
      <c r="H2454" s="20" t="str">
        <f t="shared" si="38"/>
        <v>(nextval('obj_part_id_seq'), (select id from obj_building_v where zip||'|'||street||'|'||name||'|'||volume = '9471|Buchserau|Freibad Rheinau|3308.00'), 'P2', 0, null, 2016,null),</v>
      </c>
    </row>
    <row r="2455" spans="1:8" x14ac:dyDescent="0.25">
      <c r="A2455" s="9" t="s">
        <v>2641</v>
      </c>
      <c r="B2455" s="9" t="s">
        <v>1099</v>
      </c>
      <c r="C2455">
        <v>4</v>
      </c>
      <c r="D2455">
        <v>90</v>
      </c>
      <c r="E2455">
        <v>2016</v>
      </c>
      <c r="F2455" s="9" t="s">
        <v>2643</v>
      </c>
      <c r="H2455" s="20" t="str">
        <f t="shared" si="38"/>
        <v>(nextval('obj_part_id_seq'), (select id from obj_building_v where zip||'|'||street||'|'||name||'|'||volume = '9471|Buchserau|Freibad Rheinau|3308.00'), 'P3', 4, 90, 2016,'Kiesklebedach auf Holzunterkonstruktion'),</v>
      </c>
    </row>
    <row r="2456" spans="1:8" x14ac:dyDescent="0.25">
      <c r="A2456" s="9" t="s">
        <v>2641</v>
      </c>
      <c r="B2456" s="9" t="s">
        <v>1100</v>
      </c>
      <c r="C2456">
        <v>8</v>
      </c>
      <c r="D2456">
        <v>90</v>
      </c>
      <c r="E2456">
        <v>2016</v>
      </c>
      <c r="F2456" s="9" t="s">
        <v>2644</v>
      </c>
      <c r="H2456" s="20" t="str">
        <f t="shared" si="38"/>
        <v>(nextval('obj_part_id_seq'), (select id from obj_building_v where zip||'|'||street||'|'||name||'|'||volume = '9471|Buchserau|Freibad Rheinau|3308.00'), 'P4', 8, 90, 2016,'Mauerwerk, Stahlbeton, gestrichen'),</v>
      </c>
    </row>
    <row r="2457" spans="1:8" x14ac:dyDescent="0.25">
      <c r="A2457" s="9" t="s">
        <v>2641</v>
      </c>
      <c r="B2457" s="9" t="s">
        <v>1102</v>
      </c>
      <c r="C2457">
        <v>8</v>
      </c>
      <c r="D2457">
        <v>90</v>
      </c>
      <c r="E2457">
        <v>2016</v>
      </c>
      <c r="F2457" s="9" t="s">
        <v>2645</v>
      </c>
      <c r="H2457" s="20" t="str">
        <f t="shared" si="38"/>
        <v>(nextval('obj_part_id_seq'), (select id from obj_building_v where zip||'|'||street||'|'||name||'|'||volume = '9471|Buchserau|Freibad Rheinau|3308.00'), 'P5', 8, 90, 2016,'Metallfenster im UG, Holzmetallfenster, Metallrollläden'),</v>
      </c>
    </row>
    <row r="2458" spans="1:8" x14ac:dyDescent="0.25">
      <c r="A2458" s="9" t="s">
        <v>2641</v>
      </c>
      <c r="B2458" s="9" t="s">
        <v>1104</v>
      </c>
      <c r="C2458">
        <v>1</v>
      </c>
      <c r="D2458">
        <v>90</v>
      </c>
      <c r="E2458">
        <v>2016</v>
      </c>
      <c r="F2458" s="9" t="s">
        <v>2646</v>
      </c>
      <c r="H2458" s="20" t="str">
        <f t="shared" si="38"/>
        <v>(nextval('obj_part_id_seq'), (select id from obj_building_v where zip||'|'||street||'|'||name||'|'||volume = '9471|Buchserau|Freibad Rheinau|3308.00'), 'P6', 1, 90, 2016,'Sonnenkollektoren für die Becken, Elektrisch für Duschen, Elektroboiler'),</v>
      </c>
    </row>
    <row r="2459" spans="1:8" x14ac:dyDescent="0.25">
      <c r="A2459" s="9" t="s">
        <v>2641</v>
      </c>
      <c r="B2459" s="9" t="s">
        <v>1106</v>
      </c>
      <c r="C2459">
        <v>2</v>
      </c>
      <c r="D2459">
        <v>90</v>
      </c>
      <c r="E2459">
        <v>2016</v>
      </c>
      <c r="F2459" s="9"/>
      <c r="H2459" s="20" t="str">
        <f t="shared" si="38"/>
        <v>(nextval('obj_part_id_seq'), (select id from obj_building_v where zip||'|'||street||'|'||name||'|'||volume = '9471|Buchserau|Freibad Rheinau|3308.00'), 'P7', 2, 90, 2016,null),</v>
      </c>
    </row>
    <row r="2460" spans="1:8" x14ac:dyDescent="0.25">
      <c r="A2460" s="9" t="s">
        <v>2641</v>
      </c>
      <c r="B2460" s="9" t="s">
        <v>1108</v>
      </c>
      <c r="C2460">
        <v>6</v>
      </c>
      <c r="D2460">
        <v>85</v>
      </c>
      <c r="E2460">
        <v>2016</v>
      </c>
      <c r="F2460" s="9" t="s">
        <v>2647</v>
      </c>
      <c r="H2460" s="20" t="str">
        <f t="shared" si="38"/>
        <v>(nextval('obj_part_id_seq'), (select id from obj_building_v where zip||'|'||street||'|'||name||'|'||volume = '9471|Buchserau|Freibad Rheinau|3308.00'), 'P8', 6, 85, 2016,'Duschen, Fusswaschanlage, bei Lavabos tw. keine Mischventile vorhanden, ansonsten sind keine Mängel bekannt'),</v>
      </c>
    </row>
    <row r="2461" spans="1:8" x14ac:dyDescent="0.25">
      <c r="A2461" s="9" t="s">
        <v>2641</v>
      </c>
      <c r="B2461" s="9" t="s">
        <v>1110</v>
      </c>
      <c r="C2461">
        <v>6</v>
      </c>
      <c r="D2461">
        <v>90</v>
      </c>
      <c r="E2461">
        <v>2016</v>
      </c>
      <c r="F2461" s="9" t="s">
        <v>2648</v>
      </c>
      <c r="H2461" s="20" t="str">
        <f t="shared" si="38"/>
        <v>(nextval('obj_part_id_seq'), (select id from obj_building_v where zip||'|'||street||'|'||name||'|'||volume = '9471|Buchserau|Freibad Rheinau|3308.00'), 'P9', 6, 90, 2016,'Alarmanlage, Audioanlage, Steuerungen'),</v>
      </c>
    </row>
    <row r="2462" spans="1:8" x14ac:dyDescent="0.25">
      <c r="A2462" s="9" t="s">
        <v>2641</v>
      </c>
      <c r="B2462" s="9" t="s">
        <v>1112</v>
      </c>
      <c r="C2462">
        <v>1</v>
      </c>
      <c r="D2462">
        <v>90</v>
      </c>
      <c r="E2462">
        <v>2016</v>
      </c>
      <c r="F2462" s="9" t="s">
        <v>2649</v>
      </c>
      <c r="H2462" s="20" t="str">
        <f t="shared" si="38"/>
        <v>(nextval('obj_part_id_seq'), (select id from obj_building_v where zip||'|'||street||'|'||name||'|'||volume = '9471|Buchserau|Freibad Rheinau|3308.00'), 'P10', 1, 90, 2016,'Kälteanlage'),</v>
      </c>
    </row>
    <row r="2463" spans="1:8" x14ac:dyDescent="0.25">
      <c r="A2463" s="9" t="s">
        <v>2641</v>
      </c>
      <c r="B2463" s="9" t="s">
        <v>1114</v>
      </c>
      <c r="C2463">
        <v>26</v>
      </c>
      <c r="D2463">
        <v>90</v>
      </c>
      <c r="E2463">
        <v>2016</v>
      </c>
      <c r="F2463" s="9" t="s">
        <v>2650</v>
      </c>
      <c r="H2463" s="20" t="str">
        <f t="shared" si="38"/>
        <v>(nextval('obj_part_id_seq'), (select id from obj_building_v where zip||'|'||street||'|'||name||'|'||volume = '9471|Buchserau|Freibad Rheinau|3308.00'), 'P11', 26, 90, 2016,'B: Keramik, Beton, gestrichen\nW: Verputz, Kalksandstein, gestrichen\nD: Holz, Verputz, Heraklit'),</v>
      </c>
    </row>
    <row r="2464" spans="1:8" x14ac:dyDescent="0.25">
      <c r="A2464" s="9" t="s">
        <v>2641</v>
      </c>
      <c r="B2464" s="9" t="s">
        <v>1114</v>
      </c>
      <c r="C2464">
        <v>3</v>
      </c>
      <c r="D2464">
        <v>90</v>
      </c>
      <c r="E2464">
        <v>2016</v>
      </c>
      <c r="F2464" s="9" t="s">
        <v>2651</v>
      </c>
      <c r="H2464" s="20" t="str">
        <f t="shared" si="38"/>
        <v>(nextval('obj_part_id_seq'), (select id from obj_building_v where zip||'|'||street||'|'||name||'|'||volume = '9471|Buchserau|Freibad Rheinau|3308.00'), 'P11', 3, 90, 2016,'Innere Verglasung, Trennwände Kunstharzplatten mit Metallrahmen, Gastronomieküche, Garderoben, Kälteraum'),</v>
      </c>
    </row>
    <row r="2465" spans="1:8" x14ac:dyDescent="0.25">
      <c r="A2465" s="9" t="s">
        <v>2641</v>
      </c>
      <c r="B2465" s="9" t="s">
        <v>1116</v>
      </c>
      <c r="C2465">
        <v>0</v>
      </c>
      <c r="D2465" t="s">
        <v>4080</v>
      </c>
      <c r="E2465">
        <v>2016</v>
      </c>
      <c r="F2465" s="9"/>
      <c r="H2465" s="20" t="str">
        <f t="shared" si="38"/>
        <v>(nextval('obj_part_id_seq'), (select id from obj_building_v where zip||'|'||street||'|'||name||'|'||volume = '9471|Buchserau|Freibad Rheinau|3308.00'), 'P12', 0, null, 2016,null),</v>
      </c>
    </row>
    <row r="2466" spans="1:8" x14ac:dyDescent="0.25">
      <c r="A2466" s="9" t="s">
        <v>2652</v>
      </c>
      <c r="B2466" s="9" t="s">
        <v>1127</v>
      </c>
      <c r="C2466">
        <v>37</v>
      </c>
      <c r="D2466">
        <v>90</v>
      </c>
      <c r="E2466">
        <v>2016</v>
      </c>
      <c r="F2466" s="9" t="s">
        <v>2653</v>
      </c>
      <c r="H2466" s="20" t="str">
        <f t="shared" si="38"/>
        <v>(nextval('obj_part_id_seq'), (select id from obj_building_v where zip||'|'||street||'|'||name||'|'||volume = '9471|Brunnenweg 1|Bezirksgefängnis Wohnhaus|1097.00'), 'P48', 37, 90, 2016,'Mauerwerk, Hourdisdecken'),</v>
      </c>
    </row>
    <row r="2467" spans="1:8" x14ac:dyDescent="0.25">
      <c r="A2467" s="9" t="s">
        <v>2652</v>
      </c>
      <c r="B2467" s="9" t="s">
        <v>1129</v>
      </c>
      <c r="C2467">
        <v>0</v>
      </c>
      <c r="D2467" t="s">
        <v>4080</v>
      </c>
      <c r="E2467">
        <v>2016</v>
      </c>
      <c r="F2467" s="9"/>
      <c r="H2467" s="20" t="str">
        <f t="shared" si="38"/>
        <v>(nextval('obj_part_id_seq'), (select id from obj_building_v where zip||'|'||street||'|'||name||'|'||volume = '9471|Brunnenweg 1|Bezirksgefängnis Wohnhaus|1097.00'), 'P49', 0, null, 2016,null),</v>
      </c>
    </row>
    <row r="2468" spans="1:8" x14ac:dyDescent="0.25">
      <c r="A2468" s="9" t="s">
        <v>2652</v>
      </c>
      <c r="B2468" s="9" t="s">
        <v>1097</v>
      </c>
      <c r="C2468">
        <v>8</v>
      </c>
      <c r="D2468">
        <v>90</v>
      </c>
      <c r="E2468">
        <v>2016</v>
      </c>
      <c r="F2468" s="9" t="s">
        <v>2654</v>
      </c>
      <c r="H2468" s="20" t="str">
        <f t="shared" si="38"/>
        <v>(nextval('obj_part_id_seq'), (select id from obj_building_v where zip||'|'||street||'|'||name||'|'||volume = '9471|Brunnenweg 1|Bezirksgefängnis Wohnhaus|1097.00'), 'P2', 8, 90, 2016,'Mansardendach mit Lukarnen mit Kupfer-Blechdach, Dachrinnen und Ablaufrohre ohne sichtbare Mängel'),</v>
      </c>
    </row>
    <row r="2469" spans="1:8" x14ac:dyDescent="0.25">
      <c r="A2469" s="9" t="s">
        <v>2652</v>
      </c>
      <c r="B2469" s="9" t="s">
        <v>1099</v>
      </c>
      <c r="C2469">
        <v>0</v>
      </c>
      <c r="D2469" t="s">
        <v>4080</v>
      </c>
      <c r="E2469">
        <v>2016</v>
      </c>
      <c r="F2469" s="9"/>
      <c r="H2469" s="20" t="str">
        <f t="shared" si="38"/>
        <v>(nextval('obj_part_id_seq'), (select id from obj_building_v where zip||'|'||street||'|'||name||'|'||volume = '9471|Brunnenweg 1|Bezirksgefängnis Wohnhaus|1097.00'), 'P3', 0, null, 2016,null),</v>
      </c>
    </row>
    <row r="2470" spans="1:8" x14ac:dyDescent="0.25">
      <c r="A2470" s="9" t="s">
        <v>2652</v>
      </c>
      <c r="B2470" s="9" t="s">
        <v>1100</v>
      </c>
      <c r="C2470">
        <v>7</v>
      </c>
      <c r="D2470">
        <v>90</v>
      </c>
      <c r="E2470">
        <v>2016</v>
      </c>
      <c r="F2470" s="9" t="s">
        <v>2655</v>
      </c>
      <c r="H2470" s="20" t="str">
        <f t="shared" si="38"/>
        <v>(nextval('obj_part_id_seq'), (select id from obj_building_v where zip||'|'||street||'|'||name||'|'||volume = '9471|Brunnenweg 1|Bezirksgefängnis Wohnhaus|1097.00'), 'P4', 7, 90, 2016,'Mauerwerk, verputzt, Sandsteingewände, Sockel, Fries'),</v>
      </c>
    </row>
    <row r="2471" spans="1:8" x14ac:dyDescent="0.25">
      <c r="A2471" s="9" t="s">
        <v>2652</v>
      </c>
      <c r="B2471" s="9" t="s">
        <v>1102</v>
      </c>
      <c r="C2471">
        <v>11</v>
      </c>
      <c r="D2471">
        <v>80</v>
      </c>
      <c r="E2471">
        <v>2016</v>
      </c>
      <c r="F2471" s="9" t="s">
        <v>2656</v>
      </c>
      <c r="H2471" s="20" t="str">
        <f t="shared" si="38"/>
        <v>(nextval('obj_part_id_seq'), (select id from obj_building_v where zip||'|'||street||'|'||name||'|'||volume = '9471|Brunnenweg 1|Bezirksgefängnis Wohnhaus|1097.00'), 'P5', 11, 80, 2016,'Doppelverglaste Holzfenster mit zwischenliegenden Sprossen, Holzläden und Rollläden, tw. vergittert, Fensterbänke aus Holz sind morsch. Holztüre beim Schuppen etwas verwittert.'),</v>
      </c>
    </row>
    <row r="2472" spans="1:8" x14ac:dyDescent="0.25">
      <c r="A2472" s="9" t="s">
        <v>2652</v>
      </c>
      <c r="B2472" s="9" t="s">
        <v>1110</v>
      </c>
      <c r="C2472">
        <v>4</v>
      </c>
      <c r="D2472">
        <v>85</v>
      </c>
      <c r="E2472">
        <v>2016</v>
      </c>
      <c r="F2472" s="9" t="s">
        <v>2657</v>
      </c>
      <c r="H2472" s="20" t="str">
        <f t="shared" si="38"/>
        <v>(nextval('obj_part_id_seq'), (select id from obj_building_v where zip||'|'||street||'|'||name||'|'||volume = '9471|Brunnenweg 1|Bezirksgefängnis Wohnhaus|1097.00'), 'P9', 4, 85, 2016,'Elektrotableau, ev. mit asbesthaltiger Grundplatte, tw. neue Sicherungen vorhanden'),</v>
      </c>
    </row>
    <row r="2473" spans="1:8" x14ac:dyDescent="0.25">
      <c r="A2473" s="9" t="s">
        <v>2652</v>
      </c>
      <c r="B2473" s="9" t="s">
        <v>1104</v>
      </c>
      <c r="C2473">
        <v>1</v>
      </c>
      <c r="D2473">
        <v>90</v>
      </c>
      <c r="E2473">
        <v>2016</v>
      </c>
      <c r="F2473" s="9" t="s">
        <v>1235</v>
      </c>
      <c r="H2473" s="20" t="str">
        <f t="shared" si="38"/>
        <v>(nextval('obj_part_id_seq'), (select id from obj_building_v where zip||'|'||street||'|'||name||'|'||volume = '9471|Brunnenweg 1|Bezirksgefängnis Wohnhaus|1097.00'), 'P6', 1, 90, 2016,'Fernwärme'),</v>
      </c>
    </row>
    <row r="2474" spans="1:8" x14ac:dyDescent="0.25">
      <c r="A2474" s="9" t="s">
        <v>2652</v>
      </c>
      <c r="B2474" s="9" t="s">
        <v>1106</v>
      </c>
      <c r="C2474">
        <v>3</v>
      </c>
      <c r="D2474">
        <v>90</v>
      </c>
      <c r="E2474">
        <v>2016</v>
      </c>
      <c r="F2474" s="9" t="s">
        <v>1107</v>
      </c>
      <c r="H2474" s="20" t="str">
        <f t="shared" si="38"/>
        <v>(nextval('obj_part_id_seq'), (select id from obj_building_v where zip||'|'||street||'|'||name||'|'||volume = '9471|Brunnenweg 1|Bezirksgefängnis Wohnhaus|1097.00'), 'P7', 3, 90, 2016,'Radiatoren mit Thermostaten'),</v>
      </c>
    </row>
    <row r="2475" spans="1:8" x14ac:dyDescent="0.25">
      <c r="A2475" s="9" t="s">
        <v>2652</v>
      </c>
      <c r="B2475" s="9" t="s">
        <v>1135</v>
      </c>
      <c r="C2475">
        <v>3</v>
      </c>
      <c r="D2475">
        <v>85</v>
      </c>
      <c r="E2475">
        <v>2016</v>
      </c>
      <c r="F2475" s="9" t="s">
        <v>2426</v>
      </c>
      <c r="H2475" s="20" t="str">
        <f t="shared" si="38"/>
        <v>(nextval('obj_part_id_seq'), (select id from obj_building_v where zip||'|'||street||'|'||name||'|'||volume = '9471|Brunnenweg 1|Bezirksgefängnis Wohnhaus|1097.00'), 'P54', 3, 85, 2016,'Tw. keine Mischventile vorhanden, ansonsten sind keine Mängel bekannt'),</v>
      </c>
    </row>
    <row r="2476" spans="1:8" x14ac:dyDescent="0.25">
      <c r="A2476" s="9" t="s">
        <v>2652</v>
      </c>
      <c r="B2476" s="9" t="s">
        <v>1137</v>
      </c>
      <c r="C2476">
        <v>4</v>
      </c>
      <c r="D2476">
        <v>85</v>
      </c>
      <c r="E2476">
        <v>2016</v>
      </c>
      <c r="F2476" s="9" t="s">
        <v>2658</v>
      </c>
      <c r="H2476" s="20" t="str">
        <f t="shared" si="38"/>
        <v>(nextval('obj_part_id_seq'), (select id from obj_building_v where zip||'|'||street||'|'||name||'|'||volume = '9471|Brunnenweg 1|Bezirksgefängnis Wohnhaus|1097.00'), 'P55', 4, 85, 2016,'Die Leitungen sind nicht isoliert'),</v>
      </c>
    </row>
    <row r="2477" spans="1:8" x14ac:dyDescent="0.25">
      <c r="A2477" s="9" t="s">
        <v>2652</v>
      </c>
      <c r="B2477" s="9" t="s">
        <v>1155</v>
      </c>
      <c r="C2477">
        <v>0</v>
      </c>
      <c r="D2477" t="s">
        <v>4080</v>
      </c>
      <c r="E2477">
        <v>2016</v>
      </c>
      <c r="F2477" s="9"/>
      <c r="H2477" s="20" t="str">
        <f t="shared" si="38"/>
        <v>(nextval('obj_part_id_seq'), (select id from obj_building_v where zip||'|'||street||'|'||name||'|'||volume = '9471|Brunnenweg 1|Bezirksgefängnis Wohnhaus|1097.00'), 'P56', 0, null, 2016,null),</v>
      </c>
    </row>
    <row r="2478" spans="1:8" x14ac:dyDescent="0.25">
      <c r="A2478" s="9" t="s">
        <v>2652</v>
      </c>
      <c r="B2478" s="9" t="s">
        <v>1138</v>
      </c>
      <c r="C2478">
        <v>9</v>
      </c>
      <c r="D2478">
        <v>80</v>
      </c>
      <c r="E2478">
        <v>2016</v>
      </c>
      <c r="F2478" s="9" t="s">
        <v>2659</v>
      </c>
      <c r="H2478" s="20" t="str">
        <f t="shared" si="38"/>
        <v>(nextval('obj_part_id_seq'), (select id from obj_building_v where zip||'|'||street||'|'||name||'|'||volume = '9471|Brunnenweg 1|Bezirksgefängnis Wohnhaus|1097.00'), 'P57', 9, 80, 2016,'Innentrennwände, Holzverleidungen, Geländer aus Holz, Einbauschränke, Innentüren aus Holz, tw. verstärkt oder gepanzert (Gefängniszellen)'),</v>
      </c>
    </row>
    <row r="2479" spans="1:8" x14ac:dyDescent="0.25">
      <c r="A2479" s="9" t="s">
        <v>2652</v>
      </c>
      <c r="B2479" s="9" t="s">
        <v>1140</v>
      </c>
      <c r="C2479">
        <v>8</v>
      </c>
      <c r="D2479">
        <v>80</v>
      </c>
      <c r="E2479">
        <v>2016</v>
      </c>
      <c r="F2479" s="9" t="s">
        <v>2660</v>
      </c>
      <c r="H2479" s="20" t="str">
        <f t="shared" si="38"/>
        <v>(nextval('obj_part_id_seq'), (select id from obj_building_v where zip||'|'||street||'|'||name||'|'||volume = '9471|Brunnenweg 1|Bezirksgefängnis Wohnhaus|1097.00'), 'P58', 8, 80, 2016,'B: Teppich, Holz, PVC, Parkett, Klinkersteine, Keramik, Holzbretter im Schuppen W: Holz, Verputz, Keramik, D: Verputzt, Holz, Gipskartonplatten'),</v>
      </c>
    </row>
    <row r="2480" spans="1:8" x14ac:dyDescent="0.25">
      <c r="A2480" s="9" t="s">
        <v>2652</v>
      </c>
      <c r="B2480" s="9" t="s">
        <v>1157</v>
      </c>
      <c r="C2480">
        <v>4</v>
      </c>
      <c r="D2480">
        <v>80</v>
      </c>
      <c r="E2480">
        <v>2016</v>
      </c>
      <c r="F2480" s="9" t="s">
        <v>2661</v>
      </c>
      <c r="H2480" s="20" t="str">
        <f t="shared" si="38"/>
        <v>(nextval('obj_part_id_seq'), (select id from obj_building_v where zip||'|'||street||'|'||name||'|'||volume = '9471|Brunnenweg 1|Bezirksgefängnis Wohnhaus|1097.00'), 'P59', 4, 80, 2016,'Küchenzeile mit Backofen, Waschmaschine, kleinere Einbauküche im DG'),</v>
      </c>
    </row>
    <row r="2481" spans="1:8" x14ac:dyDescent="0.25">
      <c r="A2481" s="9" t="s">
        <v>2652</v>
      </c>
      <c r="B2481" s="9" t="s">
        <v>1142</v>
      </c>
      <c r="C2481">
        <v>0</v>
      </c>
      <c r="D2481" t="s">
        <v>4080</v>
      </c>
      <c r="E2481">
        <v>2016</v>
      </c>
      <c r="F2481" s="9"/>
      <c r="H2481" s="20" t="str">
        <f t="shared" si="38"/>
        <v>(nextval('obj_part_id_seq'), (select id from obj_building_v where zip||'|'||street||'|'||name||'|'||volume = '9471|Brunnenweg 1|Bezirksgefängnis Wohnhaus|1097.00'), 'P60', 0, null, 2016,null),</v>
      </c>
    </row>
    <row r="2482" spans="1:8" x14ac:dyDescent="0.25">
      <c r="A2482" s="9" t="s">
        <v>2652</v>
      </c>
      <c r="B2482" s="9" t="s">
        <v>1143</v>
      </c>
      <c r="C2482">
        <v>1</v>
      </c>
      <c r="D2482">
        <v>80</v>
      </c>
      <c r="E2482">
        <v>2016</v>
      </c>
      <c r="F2482" s="9" t="s">
        <v>2662</v>
      </c>
      <c r="H2482" s="20" t="str">
        <f t="shared" si="38"/>
        <v>(nextval('obj_part_id_seq'), (select id from obj_building_v where zip||'|'||street||'|'||name||'|'||volume = '9471|Brunnenweg 1|Bezirksgefängnis Wohnhaus|1097.00'), 'P61', 1, 80, 2016,'Entlüftung im Bad UG'),</v>
      </c>
    </row>
    <row r="2483" spans="1:8" x14ac:dyDescent="0.25">
      <c r="A2483" s="9" t="s">
        <v>2652</v>
      </c>
      <c r="B2483" s="9" t="s">
        <v>1144</v>
      </c>
      <c r="C2483">
        <v>0</v>
      </c>
      <c r="D2483" t="s">
        <v>4080</v>
      </c>
      <c r="E2483">
        <v>2016</v>
      </c>
      <c r="F2483" s="9"/>
      <c r="H2483" s="20" t="str">
        <f t="shared" si="38"/>
        <v>(nextval('obj_part_id_seq'), (select id from obj_building_v where zip||'|'||street||'|'||name||'|'||volume = '9471|Brunnenweg 1|Bezirksgefängnis Wohnhaus|1097.00'), 'P62', 0, null, 2016,null),</v>
      </c>
    </row>
    <row r="2484" spans="1:8" x14ac:dyDescent="0.25">
      <c r="A2484" s="9" t="s">
        <v>2663</v>
      </c>
      <c r="B2484" s="9" t="s">
        <v>1095</v>
      </c>
      <c r="C2484">
        <v>35</v>
      </c>
      <c r="D2484">
        <v>90</v>
      </c>
      <c r="E2484">
        <v>2017</v>
      </c>
      <c r="F2484" s="9" t="s">
        <v>2664</v>
      </c>
      <c r="H2484" s="20" t="str">
        <f t="shared" si="38"/>
        <v>(nextval('obj_part_id_seq'), (select id from obj_building_v where zip||'|'||street||'|'||name||'|'||volume = '8104|Haslernstrasse 20|Villa|1753.00'), 'P1', 35, 90, 2017,'Stahlbeton, Stahl- und Holzbau. Wassereintritt in Kellerraum, vermutlich über Terrasse'),</v>
      </c>
    </row>
    <row r="2485" spans="1:8" x14ac:dyDescent="0.25">
      <c r="A2485" s="9" t="s">
        <v>2663</v>
      </c>
      <c r="B2485" s="9" t="s">
        <v>1097</v>
      </c>
      <c r="C2485">
        <v>8</v>
      </c>
      <c r="D2485">
        <v>85</v>
      </c>
      <c r="E2485">
        <v>2017</v>
      </c>
      <c r="F2485" s="9" t="s">
        <v>2665</v>
      </c>
      <c r="H2485" s="20" t="str">
        <f t="shared" si="38"/>
        <v>(nextval('obj_part_id_seq'), (select id from obj_building_v where zip||'|'||street||'|'||name||'|'||volume = '8104|Haslernstrasse 20|Villa|1753.00'), 'P2', 8, 85, 2017,'Eternitschindeldach. Keine Mängel sichtbar, gem. Hr. Senese keine Altlasten vorhanden.'),</v>
      </c>
    </row>
    <row r="2486" spans="1:8" x14ac:dyDescent="0.25">
      <c r="A2486" s="9" t="s">
        <v>2663</v>
      </c>
      <c r="B2486" s="9" t="s">
        <v>1099</v>
      </c>
      <c r="C2486">
        <v>2</v>
      </c>
      <c r="D2486">
        <v>90</v>
      </c>
      <c r="E2486">
        <v>2017</v>
      </c>
      <c r="F2486" s="9" t="s">
        <v>2666</v>
      </c>
      <c r="H2486" s="20" t="str">
        <f t="shared" si="38"/>
        <v>(nextval('obj_part_id_seq'), (select id from obj_building_v where zip||'|'||street||'|'||name||'|'||volume = '8104|Haslernstrasse 20|Villa|1753.00'), 'P3', 2, 90, 2017,'Nacktdach über Sitzplatz mit Aussenchminée. Keine Mängel sichtbar.'),</v>
      </c>
    </row>
    <row r="2487" spans="1:8" x14ac:dyDescent="0.25">
      <c r="A2487" s="9" t="s">
        <v>2663</v>
      </c>
      <c r="B2487" s="9" t="s">
        <v>1100</v>
      </c>
      <c r="C2487">
        <v>5</v>
      </c>
      <c r="D2487">
        <v>80</v>
      </c>
      <c r="E2487">
        <v>2017</v>
      </c>
      <c r="F2487" s="9" t="s">
        <v>2667</v>
      </c>
      <c r="H2487" s="20" t="str">
        <f t="shared" si="38"/>
        <v>(nextval('obj_part_id_seq'), (select id from obj_building_v where zip||'|'||street||'|'||name||'|'||volume = '8104|Haslernstrasse 20|Villa|1753.00'), 'P4', 5, 80, 2017,'Verputzte Flächen tw. verschmutzt, Holzflächen und Sichtbetonmauern tw. verwittert.'),</v>
      </c>
    </row>
    <row r="2488" spans="1:8" x14ac:dyDescent="0.25">
      <c r="A2488" s="9" t="s">
        <v>2663</v>
      </c>
      <c r="B2488" s="9" t="s">
        <v>1102</v>
      </c>
      <c r="C2488">
        <v>12</v>
      </c>
      <c r="D2488">
        <v>80</v>
      </c>
      <c r="E2488">
        <v>2017</v>
      </c>
      <c r="F2488" s="9" t="s">
        <v>2668</v>
      </c>
      <c r="H2488" s="20" t="str">
        <f t="shared" si="38"/>
        <v>(nextval('obj_part_id_seq'), (select id from obj_building_v where zip||'|'||street||'|'||name||'|'||volume = '8104|Haslernstrasse 20|Villa|1753.00'), 'P5', 12, 80, 2017,'Metallfenster und -hebeschiebetüren tw. schwergängig, Aussentüren tw. undicht'),</v>
      </c>
    </row>
    <row r="2489" spans="1:8" x14ac:dyDescent="0.25">
      <c r="A2489" s="9" t="s">
        <v>2663</v>
      </c>
      <c r="B2489" s="9" t="s">
        <v>1104</v>
      </c>
      <c r="C2489">
        <v>2</v>
      </c>
      <c r="D2489">
        <v>60</v>
      </c>
      <c r="E2489">
        <v>2017</v>
      </c>
      <c r="F2489" s="9" t="s">
        <v>2669</v>
      </c>
      <c r="H2489" s="20" t="str">
        <f t="shared" si="38"/>
        <v>(nextval('obj_part_id_seq'), (select id from obj_building_v where zip||'|'||street||'|'||name||'|'||volume = '8104|Haslernstrasse 20|Villa|1753.00'), 'P6', 2, 60, 2017,'Ältere Oelheizung, Die neuen Grenzwerte der LRV werden vermutlich nicht mehr eingehalten.'),</v>
      </c>
    </row>
    <row r="2490" spans="1:8" x14ac:dyDescent="0.25">
      <c r="A2490" s="9" t="s">
        <v>2663</v>
      </c>
      <c r="B2490" s="9" t="s">
        <v>1106</v>
      </c>
      <c r="C2490">
        <v>2</v>
      </c>
      <c r="D2490">
        <v>90</v>
      </c>
      <c r="E2490">
        <v>2017</v>
      </c>
      <c r="F2490" s="9" t="s">
        <v>2670</v>
      </c>
      <c r="H2490" s="20" t="str">
        <f t="shared" si="38"/>
        <v>(nextval('obj_part_id_seq'), (select id from obj_building_v where zip||'|'||street||'|'||name||'|'||volume = '8104|Haslernstrasse 20|Villa|1753.00'), 'P7', 2, 90, 2017,'Radiatoren und Konvektoren. In den neueren Bädern Elektro-Bodenheizung'),</v>
      </c>
    </row>
    <row r="2491" spans="1:8" x14ac:dyDescent="0.25">
      <c r="A2491" s="9" t="s">
        <v>2663</v>
      </c>
      <c r="B2491" s="9" t="s">
        <v>1108</v>
      </c>
      <c r="C2491">
        <v>6</v>
      </c>
      <c r="D2491">
        <v>90</v>
      </c>
      <c r="E2491">
        <v>2017</v>
      </c>
      <c r="F2491" s="9" t="s">
        <v>2671</v>
      </c>
      <c r="H2491" s="20" t="str">
        <f t="shared" si="38"/>
        <v>(nextval('obj_part_id_seq'), (select id from obj_building_v where zip||'|'||street||'|'||name||'|'||volume = '8104|Haslernstrasse 20|Villa|1753.00'), 'P8', 6, 90, 2017,'Apparate in den Bädern mehrheitlich neuwertig. Leitungsdruck ausreichend, Wasser kann ungehindert ablaufen.'),</v>
      </c>
    </row>
    <row r="2492" spans="1:8" x14ac:dyDescent="0.25">
      <c r="A2492" s="9" t="s">
        <v>2663</v>
      </c>
      <c r="B2492" s="9" t="s">
        <v>1110</v>
      </c>
      <c r="C2492">
        <v>4</v>
      </c>
      <c r="D2492">
        <v>80</v>
      </c>
      <c r="E2492">
        <v>2017</v>
      </c>
      <c r="F2492" s="9" t="s">
        <v>2672</v>
      </c>
      <c r="H2492" s="20" t="str">
        <f t="shared" si="38"/>
        <v>(nextval('obj_part_id_seq'), (select id from obj_building_v where zip||'|'||street||'|'||name||'|'||volume = '8104|Haslernstrasse 20|Villa|1753.00'), 'P9', 4, 80, 2017,'Elektroinstallationen müssen ersetzt werden, alte Sicherungen auf vermutlich asbesthaltigen Grundplatten'),</v>
      </c>
    </row>
    <row r="2493" spans="1:8" x14ac:dyDescent="0.25">
      <c r="A2493" s="9" t="s">
        <v>2663</v>
      </c>
      <c r="B2493" s="9" t="s">
        <v>1112</v>
      </c>
      <c r="C2493">
        <v>0</v>
      </c>
      <c r="D2493">
        <v>80</v>
      </c>
      <c r="E2493">
        <v>2017</v>
      </c>
      <c r="F2493" s="9"/>
      <c r="H2493" s="20" t="str">
        <f t="shared" si="38"/>
        <v>(nextval('obj_part_id_seq'), (select id from obj_building_v where zip||'|'||street||'|'||name||'|'||volume = '8104|Haslernstrasse 20|Villa|1753.00'), 'P10', 0, 80, 2017,null),</v>
      </c>
    </row>
    <row r="2494" spans="1:8" x14ac:dyDescent="0.25">
      <c r="A2494" s="9" t="s">
        <v>2663</v>
      </c>
      <c r="B2494" s="9" t="s">
        <v>1114</v>
      </c>
      <c r="C2494">
        <v>22</v>
      </c>
      <c r="D2494">
        <v>85</v>
      </c>
      <c r="E2494">
        <v>2017</v>
      </c>
      <c r="F2494" s="9" t="s">
        <v>2673</v>
      </c>
      <c r="H2494" s="20" t="str">
        <f t="shared" si="38"/>
        <v>(nextval('obj_part_id_seq'), (select id from obj_building_v where zip||'|'||street||'|'||name||'|'||volume = '8104|Haslernstrasse 20|Villa|1753.00'), 'P11', 22, 85, 2017,'Böden mit Naturstein, Teppich und Keramik, Hartbeton in Garage. Wände verputzt oder mit Holz verkeidet, im Büro Sichtbeton. Decken verputzt oder mit Holztäfer verkleidet.'),</v>
      </c>
    </row>
    <row r="2495" spans="1:8" x14ac:dyDescent="0.25">
      <c r="A2495" s="9" t="s">
        <v>2663</v>
      </c>
      <c r="B2495" s="9" t="s">
        <v>1114</v>
      </c>
      <c r="C2495">
        <v>0</v>
      </c>
      <c r="D2495" t="s">
        <v>4080</v>
      </c>
      <c r="E2495">
        <v>2017</v>
      </c>
      <c r="F2495" s="9"/>
      <c r="H2495" s="20" t="str">
        <f t="shared" si="38"/>
        <v>(nextval('obj_part_id_seq'), (select id from obj_building_v where zip||'|'||street||'|'||name||'|'||volume = '8104|Haslernstrasse 20|Villa|1753.00'), 'P11', 0, null, 2017,null),</v>
      </c>
    </row>
    <row r="2496" spans="1:8" x14ac:dyDescent="0.25">
      <c r="A2496" s="9" t="s">
        <v>2663</v>
      </c>
      <c r="B2496" s="9" t="s">
        <v>1116</v>
      </c>
      <c r="C2496">
        <v>2</v>
      </c>
      <c r="D2496">
        <v>80</v>
      </c>
      <c r="E2496">
        <v>2017</v>
      </c>
      <c r="F2496" s="9" t="s">
        <v>2674</v>
      </c>
      <c r="H2496" s="20" t="str">
        <f t="shared" si="38"/>
        <v>(nextval('obj_part_id_seq'), (select id from obj_building_v where zip||'|'||street||'|'||name||'|'||volume = '8104|Haslernstrasse 20|Villa|1753.00'), 'P12', 2, 80, 2017,'Cheminée aussen und innen'),</v>
      </c>
    </row>
    <row r="2497" spans="1:8" x14ac:dyDescent="0.25">
      <c r="A2497" s="9" t="s">
        <v>2675</v>
      </c>
      <c r="B2497" s="9" t="s">
        <v>1127</v>
      </c>
      <c r="C2497">
        <v>41</v>
      </c>
      <c r="D2497">
        <v>90</v>
      </c>
      <c r="E2497">
        <v>2017</v>
      </c>
      <c r="F2497" s="9" t="s">
        <v>2676</v>
      </c>
      <c r="H2497" s="20" t="str">
        <f t="shared" si="38"/>
        <v>(nextval('obj_part_id_seq'), (select id from obj_building_v where zip||'|'||street||'|'||name||'|'||volume = '8335|Hermetsbüelweg 16|Hermetsbüel Primar|7330.00'), 'P48', 41, 90, 2017,'Stahlbetonbau mit Mauerwerk, feine Risse im Mauerwerk*'),</v>
      </c>
    </row>
    <row r="2498" spans="1:8" x14ac:dyDescent="0.25">
      <c r="A2498" s="9" t="s">
        <v>2675</v>
      </c>
      <c r="B2498" s="9" t="s">
        <v>1129</v>
      </c>
      <c r="C2498">
        <v>0</v>
      </c>
      <c r="D2498" t="s">
        <v>4080</v>
      </c>
      <c r="E2498">
        <v>2017</v>
      </c>
      <c r="F2498" s="9"/>
      <c r="H2498" s="20" t="str">
        <f t="shared" si="38"/>
        <v>(nextval('obj_part_id_seq'), (select id from obj_building_v where zip||'|'||street||'|'||name||'|'||volume = '8335|Hermetsbüelweg 16|Hermetsbüel Primar|7330.00'), 'P49', 0, null, 2017,null),</v>
      </c>
    </row>
    <row r="2499" spans="1:8" x14ac:dyDescent="0.25">
      <c r="A2499" s="9" t="s">
        <v>2675</v>
      </c>
      <c r="B2499" s="9" t="s">
        <v>1097</v>
      </c>
      <c r="C2499">
        <v>8</v>
      </c>
      <c r="D2499">
        <v>80</v>
      </c>
      <c r="E2499">
        <v>2017</v>
      </c>
      <c r="F2499" s="9" t="s">
        <v>2677</v>
      </c>
      <c r="H2499" s="20" t="str">
        <f t="shared" si="38"/>
        <v>(nextval('obj_part_id_seq'), (select id from obj_building_v where zip||'|'||street||'|'||name||'|'||volume = '8335|Hermetsbüelweg 16|Hermetsbüel Primar|7330.00'), 'P2', 8, 80, 2017,'Ziegeldach, Spuren von Wassereintritt bei Dachuntersicht**'),</v>
      </c>
    </row>
    <row r="2500" spans="1:8" x14ac:dyDescent="0.25">
      <c r="A2500" s="9" t="s">
        <v>2675</v>
      </c>
      <c r="B2500" s="9" t="s">
        <v>1099</v>
      </c>
      <c r="C2500">
        <v>0</v>
      </c>
      <c r="D2500">
        <v>90</v>
      </c>
      <c r="E2500">
        <v>2017</v>
      </c>
      <c r="F2500" s="9"/>
      <c r="H2500" s="20" t="str">
        <f t="shared" si="38"/>
        <v>(nextval('obj_part_id_seq'), (select id from obj_building_v where zip||'|'||street||'|'||name||'|'||volume = '8335|Hermetsbüelweg 16|Hermetsbüel Primar|7330.00'), 'P3', 0, 90, 2017,null),</v>
      </c>
    </row>
    <row r="2501" spans="1:8" x14ac:dyDescent="0.25">
      <c r="A2501" s="9" t="s">
        <v>2675</v>
      </c>
      <c r="B2501" s="9" t="s">
        <v>1100</v>
      </c>
      <c r="C2501">
        <v>7</v>
      </c>
      <c r="D2501">
        <v>85</v>
      </c>
      <c r="E2501">
        <v>2017</v>
      </c>
      <c r="F2501" s="9" t="s">
        <v>2678</v>
      </c>
      <c r="H2501" s="20" t="str">
        <f t="shared" ref="H2501:H2564" si="39">"(nextval('obj_part_id_seq'), (select id from obj_building_v where zip||'|'||street||'|'||name||'|'||volume = '"&amp;A2501&amp;"'), '"&amp;B2501&amp;"', "&amp;C2501&amp;", "&amp;D2501&amp;", "&amp;IF(ISBLANK(E2501),"null",E2501)&amp;","&amp;IF(ISBLANK(F2501),"null","'"&amp;F2501&amp;"'")&amp;"),"</f>
        <v>(nextval('obj_part_id_seq'), (select id from obj_building_v where zip||'|'||street||'|'||name||'|'||volume = '8335|Hermetsbüelweg 16|Hermetsbüel Primar|7330.00'), 'P4', 7, 85, 2017,'Eternitschindelfassade'),</v>
      </c>
    </row>
    <row r="2502" spans="1:8" x14ac:dyDescent="0.25">
      <c r="A2502" s="9" t="s">
        <v>2675</v>
      </c>
      <c r="B2502" s="9" t="s">
        <v>1102</v>
      </c>
      <c r="C2502">
        <v>10</v>
      </c>
      <c r="D2502">
        <v>80</v>
      </c>
      <c r="E2502">
        <v>2017</v>
      </c>
      <c r="F2502" s="9" t="s">
        <v>2679</v>
      </c>
      <c r="H2502" s="20" t="str">
        <f t="shared" si="39"/>
        <v>(nextval('obj_part_id_seq'), (select id from obj_building_v where zip||'|'||street||'|'||name||'|'||volume = '8335|Hermetsbüelweg 16|Hermetsbüel Primar|7330.00'), 'P5', 10, 80, 2017,'Holzfenster, Metall-Fenster, Metalltür, Rafflamellenstoren, tw. ohne IV-Verglasung, tw. 3-fach-Verglasung'),</v>
      </c>
    </row>
    <row r="2503" spans="1:8" x14ac:dyDescent="0.25">
      <c r="A2503" s="9" t="s">
        <v>2675</v>
      </c>
      <c r="B2503" s="9" t="s">
        <v>1164</v>
      </c>
      <c r="C2503">
        <v>6</v>
      </c>
      <c r="D2503">
        <v>90</v>
      </c>
      <c r="E2503">
        <v>2017</v>
      </c>
      <c r="F2503" s="9" t="s">
        <v>2680</v>
      </c>
      <c r="H2503" s="20" t="str">
        <f t="shared" si="39"/>
        <v>(nextval('obj_part_id_seq'), (select id from obj_building_v where zip||'|'||street||'|'||name||'|'||volume = '8335|Hermetsbüelweg 16|Hermetsbüel Primar|7330.00'), 'P50', 6, 90, 2017,'Keine Mängel bekannt.'),</v>
      </c>
    </row>
    <row r="2504" spans="1:8" x14ac:dyDescent="0.25">
      <c r="A2504" s="9" t="s">
        <v>2675</v>
      </c>
      <c r="B2504" s="9" t="s">
        <v>1166</v>
      </c>
      <c r="C2504">
        <v>1</v>
      </c>
      <c r="D2504">
        <v>90</v>
      </c>
      <c r="E2504">
        <v>2017</v>
      </c>
      <c r="F2504" s="9" t="s">
        <v>2681</v>
      </c>
      <c r="H2504" s="20" t="str">
        <f t="shared" si="39"/>
        <v>(nextval('obj_part_id_seq'), (select id from obj_building_v where zip||'|'||street||'|'||name||'|'||volume = '8335|Hermetsbüelweg 16|Hermetsbüel Primar|7330.00'), 'P51', 1, 90, 2017,'FI-Schutzschalter vorhanden'),</v>
      </c>
    </row>
    <row r="2505" spans="1:8" x14ac:dyDescent="0.25">
      <c r="A2505" s="9" t="s">
        <v>2675</v>
      </c>
      <c r="B2505" s="9" t="s">
        <v>1104</v>
      </c>
      <c r="C2505">
        <v>1</v>
      </c>
      <c r="D2505">
        <v>90</v>
      </c>
      <c r="E2505">
        <v>2017</v>
      </c>
      <c r="F2505" s="9" t="s">
        <v>1235</v>
      </c>
      <c r="H2505" s="20" t="str">
        <f t="shared" si="39"/>
        <v>(nextval('obj_part_id_seq'), (select id from obj_building_v where zip||'|'||street||'|'||name||'|'||volume = '8335|Hermetsbüelweg 16|Hermetsbüel Primar|7330.00'), 'P6', 1, 90, 2017,'Fernwärme'),</v>
      </c>
    </row>
    <row r="2506" spans="1:8" x14ac:dyDescent="0.25">
      <c r="A2506" s="9" t="s">
        <v>2675</v>
      </c>
      <c r="B2506" s="9" t="s">
        <v>1106</v>
      </c>
      <c r="C2506">
        <v>3</v>
      </c>
      <c r="D2506">
        <v>90</v>
      </c>
      <c r="E2506">
        <v>2017</v>
      </c>
      <c r="F2506" s="9" t="s">
        <v>1669</v>
      </c>
      <c r="H2506" s="20" t="str">
        <f t="shared" si="39"/>
        <v>(nextval('obj_part_id_seq'), (select id from obj_building_v where zip||'|'||street||'|'||name||'|'||volume = '8335|Hermetsbüelweg 16|Hermetsbüel Primar|7330.00'), 'P7', 3, 90, 2017,'Radiatoren mit Thermostat'),</v>
      </c>
    </row>
    <row r="2507" spans="1:8" x14ac:dyDescent="0.25">
      <c r="A2507" s="9" t="s">
        <v>2675</v>
      </c>
      <c r="B2507" s="9" t="s">
        <v>1108</v>
      </c>
      <c r="C2507">
        <v>4</v>
      </c>
      <c r="D2507">
        <v>90</v>
      </c>
      <c r="E2507">
        <v>2017</v>
      </c>
      <c r="F2507" s="9" t="s">
        <v>2682</v>
      </c>
      <c r="H2507" s="20" t="str">
        <f t="shared" si="39"/>
        <v>(nextval('obj_part_id_seq'), (select id from obj_building_v where zip||'|'||street||'|'||name||'|'||volume = '8335|Hermetsbüelweg 16|Hermetsbüel Primar|7330.00'), 'P8', 4, 90, 2017,'Genügender Druck vorhanden, Wasser kann ungehindert ablaufen, zeitgemässe san. Apparate, Boiler, Enthärtungsanlage vorh.'),</v>
      </c>
    </row>
    <row r="2508" spans="1:8" x14ac:dyDescent="0.25">
      <c r="A2508" s="9" t="s">
        <v>2675</v>
      </c>
      <c r="B2508" s="9" t="s">
        <v>1138</v>
      </c>
      <c r="C2508">
        <v>11</v>
      </c>
      <c r="D2508">
        <v>90</v>
      </c>
      <c r="E2508">
        <v>2017</v>
      </c>
      <c r="F2508" s="9" t="s">
        <v>2683</v>
      </c>
      <c r="H2508" s="20" t="str">
        <f t="shared" si="39"/>
        <v>(nextval('obj_part_id_seq'), (select id from obj_building_v where zip||'|'||street||'|'||name||'|'||volume = '8335|Hermetsbüelweg 16|Hermetsbüel Primar|7330.00'), 'P57', 11, 90, 2017,'Einbaukästen, Innere-Verglasung, Windfang'),</v>
      </c>
    </row>
    <row r="2509" spans="1:8" x14ac:dyDescent="0.25">
      <c r="A2509" s="9" t="s">
        <v>2675</v>
      </c>
      <c r="B2509" s="9" t="s">
        <v>1140</v>
      </c>
      <c r="C2509">
        <v>8</v>
      </c>
      <c r="D2509">
        <v>85</v>
      </c>
      <c r="E2509">
        <v>2017</v>
      </c>
      <c r="F2509" s="9" t="s">
        <v>2684</v>
      </c>
      <c r="H2509" s="20" t="str">
        <f t="shared" si="39"/>
        <v>(nextval('obj_part_id_seq'), (select id from obj_building_v where zip||'|'||street||'|'||name||'|'||volume = '8335|Hermetsbüelweg 16|Hermetsbüel Primar|7330.00'), 'P58', 8, 85, 2017,'D: Putz, Holz, Spritzputzdecken (Verdacht auf Asbest!), Gips, Beton (Keller)\nW: Putz, Zementblock (Keller), Beton (Keller)\nB: Natursteinplatten (Risse vorh. *), Parkett, Klinker, Beton (Keller)'),</v>
      </c>
    </row>
    <row r="2510" spans="1:8" x14ac:dyDescent="0.25">
      <c r="A2510" s="9" t="s">
        <v>2675</v>
      </c>
      <c r="B2510" s="9" t="s">
        <v>1142</v>
      </c>
      <c r="C2510">
        <v>0</v>
      </c>
      <c r="D2510" t="s">
        <v>4080</v>
      </c>
      <c r="E2510">
        <v>2017</v>
      </c>
      <c r="F2510" s="9"/>
      <c r="H2510" s="20" t="str">
        <f t="shared" si="39"/>
        <v>(nextval('obj_part_id_seq'), (select id from obj_building_v where zip||'|'||street||'|'||name||'|'||volume = '8335|Hermetsbüelweg 16|Hermetsbüel Primar|7330.00'), 'P60', 0, null, 2017,null),</v>
      </c>
    </row>
    <row r="2511" spans="1:8" x14ac:dyDescent="0.25">
      <c r="A2511" s="9" t="s">
        <v>2675</v>
      </c>
      <c r="B2511" s="9" t="s">
        <v>1143</v>
      </c>
      <c r="C2511">
        <v>0</v>
      </c>
      <c r="D2511" t="s">
        <v>4080</v>
      </c>
      <c r="E2511">
        <v>2017</v>
      </c>
      <c r="F2511" s="9"/>
      <c r="H2511" s="20" t="str">
        <f t="shared" si="39"/>
        <v>(nextval('obj_part_id_seq'), (select id from obj_building_v where zip||'|'||street||'|'||name||'|'||volume = '8335|Hermetsbüelweg 16|Hermetsbüel Primar|7330.00'), 'P61', 0, null, 2017,null),</v>
      </c>
    </row>
    <row r="2512" spans="1:8" x14ac:dyDescent="0.25">
      <c r="A2512" s="9" t="s">
        <v>2675</v>
      </c>
      <c r="B2512" s="9" t="s">
        <v>1144</v>
      </c>
      <c r="C2512">
        <v>0</v>
      </c>
      <c r="D2512" t="s">
        <v>4080</v>
      </c>
      <c r="E2512">
        <v>2017</v>
      </c>
      <c r="F2512" s="9"/>
      <c r="H2512" s="20" t="str">
        <f t="shared" si="39"/>
        <v>(nextval('obj_part_id_seq'), (select id from obj_building_v where zip||'|'||street||'|'||name||'|'||volume = '8335|Hermetsbüelweg 16|Hermetsbüel Primar|7330.00'), 'P62', 0, null, 2017,null),</v>
      </c>
    </row>
    <row r="2513" spans="1:8" x14ac:dyDescent="0.25">
      <c r="A2513" s="9" t="s">
        <v>2685</v>
      </c>
      <c r="B2513" s="9" t="s">
        <v>1127</v>
      </c>
      <c r="C2513">
        <v>40</v>
      </c>
      <c r="D2513">
        <v>85</v>
      </c>
      <c r="E2513">
        <v>2015</v>
      </c>
      <c r="F2513" s="9" t="s">
        <v>2686</v>
      </c>
      <c r="H2513" s="20" t="str">
        <f t="shared" si="39"/>
        <v>(nextval('obj_part_id_seq'), (select id from obj_building_v where zip||'|'||street||'|'||name||'|'||volume = '8476|Bahnhofstrasse 8|Schulhausanlage|13710.00'), 'P48', 40, 85, 2015,'Stahlbeton, Mauerwerk, Gerätehaus: Stahlbeton'),</v>
      </c>
    </row>
    <row r="2514" spans="1:8" x14ac:dyDescent="0.25">
      <c r="A2514" s="9" t="s">
        <v>2685</v>
      </c>
      <c r="B2514" s="9" t="s">
        <v>1129</v>
      </c>
      <c r="C2514">
        <v>0</v>
      </c>
      <c r="D2514" t="s">
        <v>4080</v>
      </c>
      <c r="E2514">
        <v>2015</v>
      </c>
      <c r="F2514" s="9"/>
      <c r="H2514" s="20" t="str">
        <f t="shared" si="39"/>
        <v>(nextval('obj_part_id_seq'), (select id from obj_building_v where zip||'|'||street||'|'||name||'|'||volume = '8476|Bahnhofstrasse 8|Schulhausanlage|13710.00'), 'P49', 0, null, 2015,null),</v>
      </c>
    </row>
    <row r="2515" spans="1:8" x14ac:dyDescent="0.25">
      <c r="A2515" s="9" t="s">
        <v>2685</v>
      </c>
      <c r="B2515" s="9" t="s">
        <v>1097</v>
      </c>
      <c r="C2515">
        <v>8</v>
      </c>
      <c r="D2515">
        <v>85</v>
      </c>
      <c r="E2515">
        <v>2015</v>
      </c>
      <c r="F2515" s="9" t="s">
        <v>2687</v>
      </c>
      <c r="H2515" s="20" t="str">
        <f t="shared" si="39"/>
        <v>(nextval('obj_part_id_seq'), (select id from obj_building_v where zip||'|'||street||'|'||name||'|'||volume = '8476|Bahnhofstrasse 8|Schulhausanlage|13710.00'), 'P2', 8, 85, 2015,'Sparrendach mit Falzziegel und Glasdächer, Untersichten aus Holz, Unterdach mit Holzschindeln alt, Dachraum alt: Wasserfleck ist sichtbar am Boden, gemäss Hauswart Wassereintritt da Feuchteschaden über Akustikdecken im Schulhaus, wird gem. HW repariert'),</v>
      </c>
    </row>
    <row r="2516" spans="1:8" x14ac:dyDescent="0.25">
      <c r="A2516" s="9" t="s">
        <v>2685</v>
      </c>
      <c r="B2516" s="9" t="s">
        <v>1099</v>
      </c>
      <c r="C2516">
        <v>0</v>
      </c>
      <c r="D2516" t="s">
        <v>4080</v>
      </c>
      <c r="E2516">
        <v>2015</v>
      </c>
      <c r="F2516" s="9"/>
      <c r="H2516" s="20" t="str">
        <f t="shared" si="39"/>
        <v>(nextval('obj_part_id_seq'), (select id from obj_building_v where zip||'|'||street||'|'||name||'|'||volume = '8476|Bahnhofstrasse 8|Schulhausanlage|13710.00'), 'P3', 0, null, 2015,null),</v>
      </c>
    </row>
    <row r="2517" spans="1:8" x14ac:dyDescent="0.25">
      <c r="A2517" s="9" t="s">
        <v>2685</v>
      </c>
      <c r="B2517" s="9" t="s">
        <v>1100</v>
      </c>
      <c r="C2517">
        <v>7</v>
      </c>
      <c r="D2517">
        <v>80</v>
      </c>
      <c r="E2517">
        <v>2015</v>
      </c>
      <c r="F2517" s="9" t="s">
        <v>2688</v>
      </c>
      <c r="H2517" s="20" t="str">
        <f t="shared" si="39"/>
        <v>(nextval('obj_part_id_seq'), (select id from obj_building_v where zip||'|'||street||'|'||name||'|'||volume = '8476|Bahnhofstrasse 8|Schulhausanlage|13710.00'), 'P4', 7, 80, 2015,'Eternit/Holz (Stulpschalung), Betonsockel, Naturstein, Gerätehaus: Eternit und Sichtbeton'),</v>
      </c>
    </row>
    <row r="2518" spans="1:8" x14ac:dyDescent="0.25">
      <c r="A2518" s="9" t="s">
        <v>2685</v>
      </c>
      <c r="B2518" s="9" t="s">
        <v>1102</v>
      </c>
      <c r="C2518">
        <v>10</v>
      </c>
      <c r="D2518">
        <v>50</v>
      </c>
      <c r="E2518">
        <v>2015</v>
      </c>
      <c r="F2518" s="9" t="s">
        <v>2689</v>
      </c>
      <c r="H2518" s="20" t="str">
        <f t="shared" si="39"/>
        <v>(nextval('obj_part_id_seq'), (select id from obj_building_v where zip||'|'||street||'|'||name||'|'||volume = '8476|Bahnhofstrasse 8|Schulhausanlage|13710.00'), 'P5', 10, 50, 2015,'Holz-/Metallfenster (''02) und Holzfenster (alt) sind schlecht isoliert, innere Verdunkelungen alt und defekt, Rafflamellenstoren, Metalltür in der Bibliothek, Gerätehaus: Kunsttoffenster, Tor beschädigt'),</v>
      </c>
    </row>
    <row r="2519" spans="1:8" x14ac:dyDescent="0.25">
      <c r="A2519" s="9" t="s">
        <v>2685</v>
      </c>
      <c r="B2519" s="9" t="s">
        <v>1164</v>
      </c>
      <c r="C2519">
        <v>6</v>
      </c>
      <c r="D2519">
        <v>70</v>
      </c>
      <c r="E2519">
        <v>2015</v>
      </c>
      <c r="F2519" s="9" t="s">
        <v>2690</v>
      </c>
      <c r="H2519" s="20" t="str">
        <f t="shared" si="39"/>
        <v>(nextval('obj_part_id_seq'), (select id from obj_building_v where zip||'|'||street||'|'||name||'|'||volume = '8476|Bahnhofstrasse 8|Schulhausanlage|13710.00'), 'P50', 6, 70, 2015,'Beleuchtung (''02, tw. ''05)'),</v>
      </c>
    </row>
    <row r="2520" spans="1:8" x14ac:dyDescent="0.25">
      <c r="A2520" s="9" t="s">
        <v>2685</v>
      </c>
      <c r="B2520" s="9" t="s">
        <v>1166</v>
      </c>
      <c r="C2520">
        <v>1</v>
      </c>
      <c r="D2520">
        <v>90</v>
      </c>
      <c r="E2520">
        <v>2015</v>
      </c>
      <c r="F2520" s="9" t="s">
        <v>2691</v>
      </c>
      <c r="H2520" s="20" t="str">
        <f t="shared" si="39"/>
        <v>(nextval('obj_part_id_seq'), (select id from obj_building_v where zip||'|'||street||'|'||name||'|'||volume = '8476|Bahnhofstrasse 8|Schulhausanlage|13710.00'), 'P51', 1, 90, 2015,'EDV Leitungen erneuert, Gong, Sonnerie'),</v>
      </c>
    </row>
    <row r="2521" spans="1:8" x14ac:dyDescent="0.25">
      <c r="A2521" s="9" t="s">
        <v>2685</v>
      </c>
      <c r="B2521" s="9" t="s">
        <v>1104</v>
      </c>
      <c r="C2521">
        <v>1</v>
      </c>
      <c r="D2521">
        <v>90</v>
      </c>
      <c r="E2521">
        <v>2015</v>
      </c>
      <c r="F2521" s="9" t="s">
        <v>1235</v>
      </c>
      <c r="H2521" s="20" t="str">
        <f t="shared" si="39"/>
        <v>(nextval('obj_part_id_seq'), (select id from obj_building_v where zip||'|'||street||'|'||name||'|'||volume = '8476|Bahnhofstrasse 8|Schulhausanlage|13710.00'), 'P6', 1, 90, 2015,'Fernwärme'),</v>
      </c>
    </row>
    <row r="2522" spans="1:8" x14ac:dyDescent="0.25">
      <c r="A2522" s="9" t="s">
        <v>2685</v>
      </c>
      <c r="B2522" s="9" t="s">
        <v>1106</v>
      </c>
      <c r="C2522">
        <v>3</v>
      </c>
      <c r="D2522">
        <v>60</v>
      </c>
      <c r="E2522">
        <v>2015</v>
      </c>
      <c r="F2522" s="9" t="s">
        <v>2692</v>
      </c>
      <c r="H2522" s="20" t="str">
        <f t="shared" si="39"/>
        <v>(nextval('obj_part_id_seq'), (select id from obj_building_v where zip||'|'||street||'|'||name||'|'||volume = '8476|Bahnhofstrasse 8|Schulhausanlage|13710.00'), 'P7', 3, 60, 2015,'Radiatoren mit Thermostaten, Steuerung und Pumpen müssen ersetzt werden'),</v>
      </c>
    </row>
    <row r="2523" spans="1:8" x14ac:dyDescent="0.25">
      <c r="A2523" s="9" t="s">
        <v>2685</v>
      </c>
      <c r="B2523" s="9" t="s">
        <v>1108</v>
      </c>
      <c r="C2523">
        <v>4</v>
      </c>
      <c r="D2523">
        <v>65</v>
      </c>
      <c r="E2523">
        <v>2015</v>
      </c>
      <c r="F2523" s="9" t="s">
        <v>2693</v>
      </c>
      <c r="H2523" s="20" t="str">
        <f t="shared" si="39"/>
        <v>(nextval('obj_part_id_seq'), (select id from obj_building_v where zip||'|'||street||'|'||name||'|'||volume = '8476|Bahnhofstrasse 8|Schulhausanlage|13710.00'), 'P8', 4, 65, 2015,'Die Sanitäranlagen im Schulhaus (''69) sind veraltet, die vier Aussenanschlüsse i.O.'),</v>
      </c>
    </row>
    <row r="2524" spans="1:8" x14ac:dyDescent="0.25">
      <c r="A2524" s="9" t="s">
        <v>2685</v>
      </c>
      <c r="B2524" s="9" t="s">
        <v>1138</v>
      </c>
      <c r="C2524">
        <v>11</v>
      </c>
      <c r="D2524">
        <v>70</v>
      </c>
      <c r="E2524">
        <v>2015</v>
      </c>
      <c r="F2524" s="9" t="s">
        <v>2694</v>
      </c>
      <c r="H2524" s="20" t="str">
        <f t="shared" si="39"/>
        <v>(nextval('obj_part_id_seq'), (select id from obj_building_v where zip||'|'||street||'|'||name||'|'||volume = '8476|Bahnhofstrasse 8|Schulhausanlage|13710.00'), 'P57', 11, 70, 2015,'Arbeitsflächen aus Holz, Wandschränke, Gerätehaus: Gestelle, WC-Trennwände: Türen klemmen tw.'),</v>
      </c>
    </row>
    <row r="2525" spans="1:8" x14ac:dyDescent="0.25">
      <c r="A2525" s="9" t="s">
        <v>2685</v>
      </c>
      <c r="B2525" s="9" t="s">
        <v>1140</v>
      </c>
      <c r="C2525">
        <v>8</v>
      </c>
      <c r="D2525">
        <v>75</v>
      </c>
      <c r="E2525">
        <v>2015</v>
      </c>
      <c r="F2525" s="9" t="s">
        <v>2695</v>
      </c>
      <c r="H2525" s="20" t="str">
        <f t="shared" si="39"/>
        <v>(nextval('obj_part_id_seq'), (select id from obj_building_v where zip||'|'||street||'|'||name||'|'||volume = '8476|Bahnhofstrasse 8|Schulhausanlage|13710.00'), 'P58', 8, 75, 2015,'B: Linol, Parkett, Keramik, Kunststeintreppen, Teppich W: Verputz D: Beton roh, Holz, Akustikdecken, Gerätehaus: B: Beton roh, W: Eternit, Sichtbeton D: Holz'),</v>
      </c>
    </row>
    <row r="2526" spans="1:8" x14ac:dyDescent="0.25">
      <c r="A2526" s="9" t="s">
        <v>2685</v>
      </c>
      <c r="B2526" s="9" t="s">
        <v>1142</v>
      </c>
      <c r="C2526">
        <v>0</v>
      </c>
      <c r="D2526" t="s">
        <v>4080</v>
      </c>
      <c r="E2526">
        <v>2015</v>
      </c>
      <c r="F2526" s="9"/>
      <c r="H2526" s="20" t="str">
        <f t="shared" si="39"/>
        <v>(nextval('obj_part_id_seq'), (select id from obj_building_v where zip||'|'||street||'|'||name||'|'||volume = '8476|Bahnhofstrasse 8|Schulhausanlage|13710.00'), 'P60', 0, null, 2015,null),</v>
      </c>
    </row>
    <row r="2527" spans="1:8" x14ac:dyDescent="0.25">
      <c r="A2527" s="9" t="s">
        <v>2685</v>
      </c>
      <c r="B2527" s="9" t="s">
        <v>1143</v>
      </c>
      <c r="C2527">
        <v>1</v>
      </c>
      <c r="D2527">
        <v>80</v>
      </c>
      <c r="E2527">
        <v>2015</v>
      </c>
      <c r="F2527" s="9" t="s">
        <v>2696</v>
      </c>
      <c r="H2527" s="20" t="str">
        <f t="shared" si="39"/>
        <v>(nextval('obj_part_id_seq'), (select id from obj_building_v where zip||'|'||street||'|'||name||'|'||volume = '8476|Bahnhofstrasse 8|Schulhausanlage|13710.00'), 'P61', 1, 80, 2015,'Teeküchen in der Bibliothek und im Lehrerzimmer, Lüftungsanlage im Singsaal ausser Betrieb'),</v>
      </c>
    </row>
    <row r="2528" spans="1:8" x14ac:dyDescent="0.25">
      <c r="A2528" s="9" t="s">
        <v>2685</v>
      </c>
      <c r="B2528" s="9" t="s">
        <v>1144</v>
      </c>
      <c r="C2528">
        <v>0</v>
      </c>
      <c r="D2528" t="s">
        <v>4080</v>
      </c>
      <c r="E2528">
        <v>2015</v>
      </c>
      <c r="F2528" s="9"/>
      <c r="H2528" s="20" t="str">
        <f t="shared" si="39"/>
        <v>(nextval('obj_part_id_seq'), (select id from obj_building_v where zip||'|'||street||'|'||name||'|'||volume = '8476|Bahnhofstrasse 8|Schulhausanlage|13710.00'), 'P62', 0, null, 2015,null),</v>
      </c>
    </row>
    <row r="2529" spans="1:8" x14ac:dyDescent="0.25">
      <c r="A2529" s="9" t="s">
        <v>2697</v>
      </c>
      <c r="B2529" s="9" t="s">
        <v>1127</v>
      </c>
      <c r="C2529">
        <v>37</v>
      </c>
      <c r="D2529">
        <v>90</v>
      </c>
      <c r="E2529">
        <v>2016</v>
      </c>
      <c r="F2529" s="9" t="s">
        <v>2069</v>
      </c>
      <c r="H2529" s="20" t="str">
        <f t="shared" si="39"/>
        <v>(nextval('obj_part_id_seq'), (select id from obj_building_v where zip||'|'||street||'|'||name||'|'||volume = '8006|Sonneggstrasse 42 + 44|MFH Sonnegg 42 + 44|5424.00'), 'P48', 37, 90, 2016,'Mauerwerk, Stahlbeton'),</v>
      </c>
    </row>
    <row r="2530" spans="1:8" x14ac:dyDescent="0.25">
      <c r="A2530" s="9" t="s">
        <v>2697</v>
      </c>
      <c r="B2530" s="9" t="s">
        <v>1129</v>
      </c>
      <c r="C2530">
        <v>0</v>
      </c>
      <c r="D2530" t="s">
        <v>4080</v>
      </c>
      <c r="E2530">
        <v>2016</v>
      </c>
      <c r="F2530" s="9"/>
      <c r="H2530" s="20" t="str">
        <f t="shared" si="39"/>
        <v>(nextval('obj_part_id_seq'), (select id from obj_building_v where zip||'|'||street||'|'||name||'|'||volume = '8006|Sonneggstrasse 42 + 44|MFH Sonnegg 42 + 44|5424.00'), 'P49', 0, null, 2016,null),</v>
      </c>
    </row>
    <row r="2531" spans="1:8" x14ac:dyDescent="0.25">
      <c r="A2531" s="9" t="s">
        <v>2697</v>
      </c>
      <c r="B2531" s="9" t="s">
        <v>1097</v>
      </c>
      <c r="C2531">
        <v>8</v>
      </c>
      <c r="D2531">
        <v>85</v>
      </c>
      <c r="E2531">
        <v>2016</v>
      </c>
      <c r="F2531" s="9" t="s">
        <v>2698</v>
      </c>
      <c r="H2531" s="20" t="str">
        <f t="shared" si="39"/>
        <v>(nextval('obj_part_id_seq'), (select id from obj_building_v where zip||'|'||street||'|'||name||'|'||volume = '8006|Sonneggstrasse 42 + 44|MFH Sonnegg 42 + 44|5424.00'), 'P2', 8, 85, 2016,'Ziegeldach, Unterdach aus Schindeln, einzelne Spuren von Wassereintritten ersichtlich'),</v>
      </c>
    </row>
    <row r="2532" spans="1:8" x14ac:dyDescent="0.25">
      <c r="A2532" s="9" t="s">
        <v>2697</v>
      </c>
      <c r="B2532" s="9" t="s">
        <v>1099</v>
      </c>
      <c r="C2532">
        <v>0</v>
      </c>
      <c r="D2532" t="s">
        <v>4080</v>
      </c>
      <c r="E2532">
        <v>2016</v>
      </c>
      <c r="F2532" s="9"/>
      <c r="H2532" s="20" t="str">
        <f t="shared" si="39"/>
        <v>(nextval('obj_part_id_seq'), (select id from obj_building_v where zip||'|'||street||'|'||name||'|'||volume = '8006|Sonneggstrasse 42 + 44|MFH Sonnegg 42 + 44|5424.00'), 'P3', 0, null, 2016,null),</v>
      </c>
    </row>
    <row r="2533" spans="1:8" x14ac:dyDescent="0.25">
      <c r="A2533" s="9" t="s">
        <v>2697</v>
      </c>
      <c r="B2533" s="9" t="s">
        <v>1100</v>
      </c>
      <c r="C2533">
        <v>7</v>
      </c>
      <c r="D2533">
        <v>80</v>
      </c>
      <c r="E2533">
        <v>2016</v>
      </c>
      <c r="F2533" s="9" t="s">
        <v>2699</v>
      </c>
      <c r="H2533" s="20" t="str">
        <f t="shared" si="39"/>
        <v>(nextval('obj_part_id_seq'), (select id from obj_building_v where zip||'|'||street||'|'||name||'|'||volume = '8006|Sonneggstrasse 42 + 44|MFH Sonnegg 42 + 44|5424.00'), 'P4', 7, 80, 2016,'Mauerwerk verputzt, gestrichen, Balkone mit neuen Geländer aus Glas'),</v>
      </c>
    </row>
    <row r="2534" spans="1:8" x14ac:dyDescent="0.25">
      <c r="A2534" s="9" t="s">
        <v>2697</v>
      </c>
      <c r="B2534" s="9" t="s">
        <v>1102</v>
      </c>
      <c r="C2534">
        <v>11</v>
      </c>
      <c r="D2534">
        <v>80</v>
      </c>
      <c r="E2534">
        <v>2016</v>
      </c>
      <c r="F2534" s="9" t="s">
        <v>2700</v>
      </c>
      <c r="H2534" s="20" t="str">
        <f t="shared" si="39"/>
        <v>(nextval('obj_part_id_seq'), (select id from obj_building_v where zip||'|'||street||'|'||name||'|'||volume = '8006|Sonneggstrasse 42 + 44|MFH Sonnegg 42 + 44|5424.00'), 'P5', 11, 80, 2016,'tw. neuere IV-Holzfenster mit Rollläden, Garagentore aus Holz/Metall, Eingangstüre mit Glasfüllungen'),</v>
      </c>
    </row>
    <row r="2535" spans="1:8" x14ac:dyDescent="0.25">
      <c r="A2535" s="9" t="s">
        <v>2697</v>
      </c>
      <c r="B2535" s="9" t="s">
        <v>1110</v>
      </c>
      <c r="C2535">
        <v>4</v>
      </c>
      <c r="D2535">
        <v>80</v>
      </c>
      <c r="E2535">
        <v>2016</v>
      </c>
      <c r="F2535" s="9" t="s">
        <v>2701</v>
      </c>
      <c r="H2535" s="20" t="str">
        <f t="shared" si="39"/>
        <v>(nextval('obj_part_id_seq'), (select id from obj_building_v where zip||'|'||street||'|'||name||'|'||volume = '8006|Sonneggstrasse 42 + 44|MFH Sonnegg 42 + 44|5424.00'), 'P9', 4, 80, 2016,'Beleuchtung Treppenhaus, Sonnerie, TV-/Telefonanschlüsse, tw. alte Keramiksicherungen'),</v>
      </c>
    </row>
    <row r="2536" spans="1:8" x14ac:dyDescent="0.25">
      <c r="A2536" s="9" t="s">
        <v>2697</v>
      </c>
      <c r="B2536" s="9" t="s">
        <v>1104</v>
      </c>
      <c r="C2536">
        <v>0</v>
      </c>
      <c r="D2536">
        <v>90</v>
      </c>
      <c r="E2536">
        <v>2016</v>
      </c>
      <c r="F2536" s="9" t="s">
        <v>1235</v>
      </c>
      <c r="H2536" s="20" t="str">
        <f t="shared" si="39"/>
        <v>(nextval('obj_part_id_seq'), (select id from obj_building_v where zip||'|'||street||'|'||name||'|'||volume = '8006|Sonneggstrasse 42 + 44|MFH Sonnegg 42 + 44|5424.00'), 'P6', 0, 90, 2016,'Fernwärme'),</v>
      </c>
    </row>
    <row r="2537" spans="1:8" x14ac:dyDescent="0.25">
      <c r="A2537" s="9" t="s">
        <v>2697</v>
      </c>
      <c r="B2537" s="9" t="s">
        <v>1106</v>
      </c>
      <c r="C2537">
        <v>3</v>
      </c>
      <c r="D2537">
        <v>90</v>
      </c>
      <c r="E2537">
        <v>2016</v>
      </c>
      <c r="F2537" s="9" t="s">
        <v>2702</v>
      </c>
      <c r="H2537" s="20" t="str">
        <f t="shared" si="39"/>
        <v>(nextval('obj_part_id_seq'), (select id from obj_building_v where zip||'|'||street||'|'||name||'|'||volume = '8006|Sonneggstrasse 42 + 44|MFH Sonnegg 42 + 44|5424.00'), 'P7', 3, 90, 2016,'Fussbodenheizung'),</v>
      </c>
    </row>
    <row r="2538" spans="1:8" x14ac:dyDescent="0.25">
      <c r="A2538" s="9" t="s">
        <v>2697</v>
      </c>
      <c r="B2538" s="9" t="s">
        <v>1135</v>
      </c>
      <c r="C2538">
        <v>3</v>
      </c>
      <c r="D2538">
        <v>80</v>
      </c>
      <c r="E2538">
        <v>2016</v>
      </c>
      <c r="F2538" s="9" t="s">
        <v>2703</v>
      </c>
      <c r="H2538" s="20" t="str">
        <f t="shared" si="39"/>
        <v>(nextval('obj_part_id_seq'), (select id from obj_building_v where zip||'|'||street||'|'||name||'|'||volume = '8006|Sonneggstrasse 42 + 44|MFH Sonnegg 42 + 44|5424.00'), 'P54', 3, 80, 2016,'Apparate unterschiedliche Zustände, funktionstüchtig'),</v>
      </c>
    </row>
    <row r="2539" spans="1:8" x14ac:dyDescent="0.25">
      <c r="A2539" s="9" t="s">
        <v>2697</v>
      </c>
      <c r="B2539" s="9" t="s">
        <v>1137</v>
      </c>
      <c r="C2539">
        <v>4</v>
      </c>
      <c r="D2539">
        <v>80</v>
      </c>
      <c r="E2539">
        <v>2016</v>
      </c>
      <c r="F2539" s="9" t="s">
        <v>2704</v>
      </c>
      <c r="H2539" s="20" t="str">
        <f t="shared" si="39"/>
        <v>(nextval('obj_part_id_seq'), (select id from obj_building_v where zip||'|'||street||'|'||name||'|'||volume = '8006|Sonneggstrasse 42 + 44|MFH Sonnegg 42 + 44|5424.00'), 'P55', 4, 80, 2016,'tw. veraltet aber insgesamt intakt, genügender Druck vorhanden, Wasser läuft ungehindert ab'),</v>
      </c>
    </row>
    <row r="2540" spans="1:8" x14ac:dyDescent="0.25">
      <c r="A2540" s="9" t="s">
        <v>2697</v>
      </c>
      <c r="B2540" s="9" t="s">
        <v>1155</v>
      </c>
      <c r="C2540">
        <v>2</v>
      </c>
      <c r="D2540">
        <v>70</v>
      </c>
      <c r="E2540">
        <v>2016</v>
      </c>
      <c r="F2540" s="9" t="s">
        <v>2705</v>
      </c>
      <c r="H2540" s="20" t="str">
        <f t="shared" si="39"/>
        <v>(nextval('obj_part_id_seq'), (select id from obj_building_v where zip||'|'||street||'|'||name||'|'||volume = '8006|Sonneggstrasse 42 + 44|MFH Sonnegg 42 + 44|5424.00'), 'P56', 2, 70, 2016,'Aufzug veraltet, fehlende Innentür'),</v>
      </c>
    </row>
    <row r="2541" spans="1:8" x14ac:dyDescent="0.25">
      <c r="A2541" s="9" t="s">
        <v>2697</v>
      </c>
      <c r="B2541" s="9" t="s">
        <v>1138</v>
      </c>
      <c r="C2541">
        <v>9</v>
      </c>
      <c r="D2541">
        <v>85</v>
      </c>
      <c r="E2541">
        <v>2016</v>
      </c>
      <c r="F2541" s="9" t="s">
        <v>2706</v>
      </c>
      <c r="H2541" s="20" t="str">
        <f t="shared" si="39"/>
        <v>(nextval('obj_part_id_seq'), (select id from obj_building_v where zip||'|'||street||'|'||name||'|'||volume = '8006|Sonneggstrasse 42 + 44|MFH Sonnegg 42 + 44|5424.00'), 'P57', 9, 85, 2016,'Fenstersimse, Fensterbretter, Einbauten, UG: Boden aus Beton roh, Kunststeintreppen im Treppenhaus, Wohnung: B: Keramikplatten'),</v>
      </c>
    </row>
    <row r="2542" spans="1:8" x14ac:dyDescent="0.25">
      <c r="A2542" s="9" t="s">
        <v>2697</v>
      </c>
      <c r="B2542" s="9" t="s">
        <v>1140</v>
      </c>
      <c r="C2542">
        <v>8</v>
      </c>
      <c r="D2542">
        <v>80</v>
      </c>
      <c r="E2542">
        <v>2016</v>
      </c>
      <c r="F2542" s="9" t="s">
        <v>2707</v>
      </c>
      <c r="H2542" s="20" t="str">
        <f t="shared" si="39"/>
        <v>(nextval('obj_part_id_seq'), (select id from obj_building_v where zip||'|'||street||'|'||name||'|'||volume = '8006|Sonneggstrasse 42 + 44|MFH Sonnegg 42 + 44|5424.00'), 'P58', 8, 80, 2016,'W+D: Verputz'),</v>
      </c>
    </row>
    <row r="2543" spans="1:8" x14ac:dyDescent="0.25">
      <c r="A2543" s="9" t="s">
        <v>2697</v>
      </c>
      <c r="B2543" s="9" t="s">
        <v>1157</v>
      </c>
      <c r="C2543">
        <v>4</v>
      </c>
      <c r="D2543">
        <v>80</v>
      </c>
      <c r="E2543">
        <v>2016</v>
      </c>
      <c r="F2543" s="9" t="s">
        <v>2708</v>
      </c>
      <c r="H2543" s="20" t="str">
        <f t="shared" si="39"/>
        <v>(nextval('obj_part_id_seq'), (select id from obj_building_v where zip||'|'||street||'|'||name||'|'||volume = '8006|Sonneggstrasse 42 + 44|MFH Sonnegg 42 + 44|5424.00'), 'P59', 4, 80, 2016,'unterschiedliche Zustände'),</v>
      </c>
    </row>
    <row r="2544" spans="1:8" x14ac:dyDescent="0.25">
      <c r="A2544" s="9" t="s">
        <v>2697</v>
      </c>
      <c r="B2544" s="9" t="s">
        <v>1142</v>
      </c>
      <c r="C2544">
        <v>0</v>
      </c>
      <c r="D2544" t="s">
        <v>4080</v>
      </c>
      <c r="E2544">
        <v>2016</v>
      </c>
      <c r="F2544" s="9"/>
      <c r="H2544" s="20" t="str">
        <f t="shared" si="39"/>
        <v>(nextval('obj_part_id_seq'), (select id from obj_building_v where zip||'|'||street||'|'||name||'|'||volume = '8006|Sonneggstrasse 42 + 44|MFH Sonnegg 42 + 44|5424.00'), 'P60', 0, null, 2016,null),</v>
      </c>
    </row>
    <row r="2545" spans="1:8" x14ac:dyDescent="0.25">
      <c r="A2545" s="9" t="s">
        <v>2697</v>
      </c>
      <c r="B2545" s="9" t="s">
        <v>1143</v>
      </c>
      <c r="C2545">
        <v>0</v>
      </c>
      <c r="D2545" t="s">
        <v>4080</v>
      </c>
      <c r="E2545">
        <v>2016</v>
      </c>
      <c r="F2545" s="9"/>
      <c r="H2545" s="20" t="str">
        <f t="shared" si="39"/>
        <v>(nextval('obj_part_id_seq'), (select id from obj_building_v where zip||'|'||street||'|'||name||'|'||volume = '8006|Sonneggstrasse 42 + 44|MFH Sonnegg 42 + 44|5424.00'), 'P61', 0, null, 2016,null),</v>
      </c>
    </row>
    <row r="2546" spans="1:8" x14ac:dyDescent="0.25">
      <c r="A2546" s="9" t="s">
        <v>2697</v>
      </c>
      <c r="B2546" s="9" t="s">
        <v>1144</v>
      </c>
      <c r="C2546">
        <v>0</v>
      </c>
      <c r="D2546" t="s">
        <v>4080</v>
      </c>
      <c r="E2546">
        <v>2016</v>
      </c>
      <c r="F2546" s="9"/>
      <c r="H2546" s="20" t="str">
        <f t="shared" si="39"/>
        <v>(nextval('obj_part_id_seq'), (select id from obj_building_v where zip||'|'||street||'|'||name||'|'||volume = '8006|Sonneggstrasse 42 + 44|MFH Sonnegg 42 + 44|5424.00'), 'P62', 0, null, 2016,null),</v>
      </c>
    </row>
    <row r="2547" spans="1:8" x14ac:dyDescent="0.25">
      <c r="A2547" s="9" t="s">
        <v>2709</v>
      </c>
      <c r="B2547" s="9" t="s">
        <v>1127</v>
      </c>
      <c r="C2547">
        <v>34</v>
      </c>
      <c r="D2547">
        <v>90</v>
      </c>
      <c r="E2547">
        <v>2015</v>
      </c>
      <c r="F2547" s="9" t="s">
        <v>2710</v>
      </c>
      <c r="H2547" s="20" t="str">
        <f t="shared" si="39"/>
        <v>(nextval('obj_part_id_seq'), (select id from obj_building_v where zip||'|'||street||'|'||name||'|'||volume = '8476|Bahnhofstrasse 8|Sporthalle|9813.00'), 'P48', 34, 90, 2015,'Stahl, Holz'),</v>
      </c>
    </row>
    <row r="2548" spans="1:8" x14ac:dyDescent="0.25">
      <c r="A2548" s="9" t="s">
        <v>2709</v>
      </c>
      <c r="B2548" s="9" t="s">
        <v>1129</v>
      </c>
      <c r="C2548">
        <v>0</v>
      </c>
      <c r="D2548" t="s">
        <v>4080</v>
      </c>
      <c r="E2548">
        <v>2015</v>
      </c>
      <c r="F2548" s="9"/>
      <c r="H2548" s="20" t="str">
        <f t="shared" si="39"/>
        <v>(nextval('obj_part_id_seq'), (select id from obj_building_v where zip||'|'||street||'|'||name||'|'||volume = '8476|Bahnhofstrasse 8|Sporthalle|9813.00'), 'P49', 0, null, 2015,null),</v>
      </c>
    </row>
    <row r="2549" spans="1:8" x14ac:dyDescent="0.25">
      <c r="A2549" s="9" t="s">
        <v>2709</v>
      </c>
      <c r="B2549" s="9" t="s">
        <v>1097</v>
      </c>
      <c r="C2549">
        <v>11</v>
      </c>
      <c r="D2549">
        <v>90</v>
      </c>
      <c r="E2549">
        <v>2015</v>
      </c>
      <c r="F2549" s="9" t="s">
        <v>2711</v>
      </c>
      <c r="H2549" s="20" t="str">
        <f t="shared" si="39"/>
        <v>(nextval('obj_part_id_seq'), (select id from obj_building_v where zip||'|'||street||'|'||name||'|'||volume = '8476|Bahnhofstrasse 8|Sporthalle|9813.00'), 'P2', 11, 90, 2015,'Steildach mit Falzziegeleindeckung (Dachraum konnte nicht besichtigt werden)'),</v>
      </c>
    </row>
    <row r="2550" spans="1:8" x14ac:dyDescent="0.25">
      <c r="A2550" s="9" t="s">
        <v>2709</v>
      </c>
      <c r="B2550" s="9" t="s">
        <v>1099</v>
      </c>
      <c r="C2550">
        <v>2</v>
      </c>
      <c r="D2550">
        <v>90</v>
      </c>
      <c r="E2550">
        <v>2015</v>
      </c>
      <c r="F2550" s="9" t="s">
        <v>2712</v>
      </c>
      <c r="H2550" s="20" t="str">
        <f t="shared" si="39"/>
        <v>(nextval('obj_part_id_seq'), (select id from obj_building_v where zip||'|'||street||'|'||name||'|'||volume = '8476|Bahnhofstrasse 8|Sporthalle|9813.00'), 'P3', 2, 90, 2015,'Kiesklebedach zwischen Sporthalle und Schulhaus'),</v>
      </c>
    </row>
    <row r="2551" spans="1:8" x14ac:dyDescent="0.25">
      <c r="A2551" s="9" t="s">
        <v>2709</v>
      </c>
      <c r="B2551" s="9" t="s">
        <v>1100</v>
      </c>
      <c r="C2551">
        <v>6</v>
      </c>
      <c r="D2551">
        <v>90</v>
      </c>
      <c r="E2551">
        <v>2015</v>
      </c>
      <c r="F2551" s="9" t="s">
        <v>2713</v>
      </c>
      <c r="H2551" s="20" t="str">
        <f t="shared" si="39"/>
        <v>(nextval('obj_part_id_seq'), (select id from obj_building_v where zip||'|'||street||'|'||name||'|'||volume = '8476|Bahnhofstrasse 8|Sporthalle|9813.00'), 'P4', 6, 90, 2015,'Eternit, Holz, Sockel Stahlbeton'),</v>
      </c>
    </row>
    <row r="2552" spans="1:8" x14ac:dyDescent="0.25">
      <c r="A2552" s="9" t="s">
        <v>2709</v>
      </c>
      <c r="B2552" s="9" t="s">
        <v>1102</v>
      </c>
      <c r="C2552">
        <v>8</v>
      </c>
      <c r="D2552">
        <v>90</v>
      </c>
      <c r="E2552">
        <v>2015</v>
      </c>
      <c r="F2552" s="9" t="s">
        <v>2714</v>
      </c>
      <c r="H2552" s="20" t="str">
        <f t="shared" si="39"/>
        <v>(nextval('obj_part_id_seq'), (select id from obj_building_v where zip||'|'||street||'|'||name||'|'||volume = '8476|Bahnhofstrasse 8|Sporthalle|9813.00'), 'P5', 8, 90, 2015,'Holz-/Metallfenster wurden für CHF 25`000 ersetzt, inkl. 2 Motoren pro Fenster, neue Storen im ''16 für CHF 17`000, grosse Fluchttür in Sporthalle wurde an andere Fassade verschoben, da Wasser eintrat'),</v>
      </c>
    </row>
    <row r="2553" spans="1:8" x14ac:dyDescent="0.25">
      <c r="A2553" s="9" t="s">
        <v>2709</v>
      </c>
      <c r="B2553" s="9" t="s">
        <v>1110</v>
      </c>
      <c r="C2553">
        <v>5</v>
      </c>
      <c r="D2553">
        <v>90</v>
      </c>
      <c r="E2553">
        <v>2015</v>
      </c>
      <c r="F2553" s="9" t="s">
        <v>2715</v>
      </c>
      <c r="H2553" s="20" t="str">
        <f t="shared" si="39"/>
        <v>(nextval('obj_part_id_seq'), (select id from obj_building_v where zip||'|'||street||'|'||name||'|'||volume = '8476|Bahnhofstrasse 8|Sporthalle|9813.00'), 'P9', 5, 90, 2015,'Zeitgemässe und genügende Sicherungen mit FI-Schutzschalter'),</v>
      </c>
    </row>
    <row r="2554" spans="1:8" x14ac:dyDescent="0.25">
      <c r="A2554" s="9" t="s">
        <v>2709</v>
      </c>
      <c r="B2554" s="9" t="s">
        <v>1104</v>
      </c>
      <c r="C2554">
        <v>1</v>
      </c>
      <c r="D2554">
        <v>90</v>
      </c>
      <c r="E2554">
        <v>2015</v>
      </c>
      <c r="F2554" s="9" t="s">
        <v>1235</v>
      </c>
      <c r="H2554" s="20" t="str">
        <f t="shared" si="39"/>
        <v>(nextval('obj_part_id_seq'), (select id from obj_building_v where zip||'|'||street||'|'||name||'|'||volume = '8476|Bahnhofstrasse 8|Sporthalle|9813.00'), 'P6', 1, 90, 2015,'Fernwärme'),</v>
      </c>
    </row>
    <row r="2555" spans="1:8" x14ac:dyDescent="0.25">
      <c r="A2555" s="9" t="s">
        <v>2709</v>
      </c>
      <c r="B2555" s="9" t="s">
        <v>1106</v>
      </c>
      <c r="C2555">
        <v>3</v>
      </c>
      <c r="D2555">
        <v>90</v>
      </c>
      <c r="E2555">
        <v>2015</v>
      </c>
      <c r="F2555" s="9" t="s">
        <v>2716</v>
      </c>
      <c r="H2555" s="20" t="str">
        <f t="shared" si="39"/>
        <v>(nextval('obj_part_id_seq'), (select id from obj_building_v where zip||'|'||street||'|'||name||'|'||volume = '8476|Bahnhofstrasse 8|Sporthalle|9813.00'), 'P7', 3, 90, 2015,'Bodenheizung und Wärmelüftung, Steuerung wurde optimiert'),</v>
      </c>
    </row>
    <row r="2556" spans="1:8" x14ac:dyDescent="0.25">
      <c r="A2556" s="9" t="s">
        <v>2709</v>
      </c>
      <c r="B2556" s="9" t="s">
        <v>1403</v>
      </c>
      <c r="C2556">
        <v>2</v>
      </c>
      <c r="D2556">
        <v>90</v>
      </c>
      <c r="E2556">
        <v>2015</v>
      </c>
      <c r="F2556" s="9" t="s">
        <v>2717</v>
      </c>
      <c r="H2556" s="20" t="str">
        <f t="shared" si="39"/>
        <v>(nextval('obj_part_id_seq'), (select id from obj_building_v where zip||'|'||street||'|'||name||'|'||volume = '8476|Bahnhofstrasse 8|Sporthalle|9813.00'), 'P52', 2, 90, 2015,'Lüftungsanlage Fa. Bösch ohne Mängel'),</v>
      </c>
    </row>
    <row r="2557" spans="1:8" x14ac:dyDescent="0.25">
      <c r="A2557" s="9" t="s">
        <v>2709</v>
      </c>
      <c r="B2557" s="9" t="s">
        <v>1404</v>
      </c>
      <c r="C2557">
        <v>2</v>
      </c>
      <c r="D2557">
        <v>90</v>
      </c>
      <c r="E2557">
        <v>2015</v>
      </c>
      <c r="F2557" s="9" t="s">
        <v>2718</v>
      </c>
      <c r="H2557" s="20" t="str">
        <f t="shared" si="39"/>
        <v>(nextval('obj_part_id_seq'), (select id from obj_building_v where zip||'|'||street||'|'||name||'|'||volume = '8476|Bahnhofstrasse 8|Sporthalle|9813.00'), 'P53', 2, 90, 2015,'Lüftungsanlage funktioniert gem. Angaben HW einwandfrei, Nachtauskühlung'),</v>
      </c>
    </row>
    <row r="2558" spans="1:8" x14ac:dyDescent="0.25">
      <c r="A2558" s="9" t="s">
        <v>2709</v>
      </c>
      <c r="B2558" s="9" t="s">
        <v>1135</v>
      </c>
      <c r="C2558">
        <v>2</v>
      </c>
      <c r="D2558">
        <v>90</v>
      </c>
      <c r="E2558">
        <v>2015</v>
      </c>
      <c r="F2558" s="9" t="s">
        <v>2719</v>
      </c>
      <c r="H2558" s="20" t="str">
        <f t="shared" si="39"/>
        <v>(nextval('obj_part_id_seq'), (select id from obj_building_v where zip||'|'||street||'|'||name||'|'||volume = '8476|Bahnhofstrasse 8|Sporthalle|9813.00'), 'P54', 2, 90, 2015,'Armaturen und Apparate: keine Mängel bekannt'),</v>
      </c>
    </row>
    <row r="2559" spans="1:8" x14ac:dyDescent="0.25">
      <c r="A2559" s="9" t="s">
        <v>2709</v>
      </c>
      <c r="B2559" s="9" t="s">
        <v>1137</v>
      </c>
      <c r="C2559">
        <v>3</v>
      </c>
      <c r="D2559">
        <v>90</v>
      </c>
      <c r="E2559">
        <v>2015</v>
      </c>
      <c r="F2559" s="9" t="s">
        <v>2262</v>
      </c>
      <c r="H2559" s="20" t="str">
        <f t="shared" si="39"/>
        <v>(nextval('obj_part_id_seq'), (select id from obj_building_v where zip||'|'||street||'|'||name||'|'||volume = '8476|Bahnhofstrasse 8|Sporthalle|9813.00'), 'P55', 3, 90, 2015,'Leitungen i.O.'),</v>
      </c>
    </row>
    <row r="2560" spans="1:8" x14ac:dyDescent="0.25">
      <c r="A2560" s="9" t="s">
        <v>2709</v>
      </c>
      <c r="B2560" s="9" t="s">
        <v>1138</v>
      </c>
      <c r="C2560">
        <v>10</v>
      </c>
      <c r="D2560">
        <v>90</v>
      </c>
      <c r="E2560">
        <v>2015</v>
      </c>
      <c r="F2560" s="9" t="s">
        <v>2720</v>
      </c>
      <c r="H2560" s="20" t="str">
        <f t="shared" si="39"/>
        <v>(nextval('obj_part_id_seq'), (select id from obj_building_v where zip||'|'||street||'|'||name||'|'||volume = '8476|Bahnhofstrasse 8|Sporthalle|9813.00'), 'P57', 10, 90, 2015,'Gerätehalterungen, Trennwand Doppelturnhalle, Innentüren einwandfrei'),</v>
      </c>
    </row>
    <row r="2561" spans="1:8" x14ac:dyDescent="0.25">
      <c r="A2561" s="9" t="s">
        <v>2709</v>
      </c>
      <c r="B2561" s="9" t="s">
        <v>1140</v>
      </c>
      <c r="C2561">
        <v>11</v>
      </c>
      <c r="D2561">
        <v>80</v>
      </c>
      <c r="E2561">
        <v>2015</v>
      </c>
      <c r="F2561" s="9" t="s">
        <v>2721</v>
      </c>
      <c r="H2561" s="20" t="str">
        <f t="shared" si="39"/>
        <v>(nextval('obj_part_id_seq'), (select id from obj_building_v where zip||'|'||street||'|'||name||'|'||volume = '8476|Bahnhofstrasse 8|Sporthalle|9813.00'), 'P58', 11, 80, 2015,'B: Parkett, Keramik, Zement, W: Holz (tw. erneuert), Backstein gestrichen, Verputz gestrichen, Keramik; Pinselrenovation wurde im Innenraum gemacht, D: Holz (auch in Du/Gard: ungeeignet!), Beton gestrichen, in TH neuer Boden (höhere Dämpfung)'),</v>
      </c>
    </row>
    <row r="2562" spans="1:8" x14ac:dyDescent="0.25">
      <c r="A2562" s="9" t="s">
        <v>2709</v>
      </c>
      <c r="B2562" s="9" t="s">
        <v>1142</v>
      </c>
      <c r="C2562">
        <v>0</v>
      </c>
      <c r="D2562" t="s">
        <v>4080</v>
      </c>
      <c r="E2562">
        <v>2015</v>
      </c>
      <c r="F2562" s="9"/>
      <c r="H2562" s="20" t="str">
        <f t="shared" si="39"/>
        <v>(nextval('obj_part_id_seq'), (select id from obj_building_v where zip||'|'||street||'|'||name||'|'||volume = '8476|Bahnhofstrasse 8|Sporthalle|9813.00'), 'P60', 0, null, 2015,null),</v>
      </c>
    </row>
    <row r="2563" spans="1:8" x14ac:dyDescent="0.25">
      <c r="A2563" s="9" t="s">
        <v>2709</v>
      </c>
      <c r="B2563" s="9" t="s">
        <v>1143</v>
      </c>
      <c r="C2563">
        <v>0</v>
      </c>
      <c r="D2563" t="s">
        <v>4080</v>
      </c>
      <c r="E2563">
        <v>2015</v>
      </c>
      <c r="F2563" s="9"/>
      <c r="H2563" s="20" t="str">
        <f t="shared" si="39"/>
        <v>(nextval('obj_part_id_seq'), (select id from obj_building_v where zip||'|'||street||'|'||name||'|'||volume = '8476|Bahnhofstrasse 8|Sporthalle|9813.00'), 'P61', 0, null, 2015,null),</v>
      </c>
    </row>
    <row r="2564" spans="1:8" x14ac:dyDescent="0.25">
      <c r="A2564" s="9" t="s">
        <v>2709</v>
      </c>
      <c r="B2564" s="9" t="s">
        <v>1144</v>
      </c>
      <c r="C2564">
        <v>0</v>
      </c>
      <c r="D2564" t="s">
        <v>4080</v>
      </c>
      <c r="E2564">
        <v>2015</v>
      </c>
      <c r="F2564" s="9"/>
      <c r="H2564" s="20" t="str">
        <f t="shared" si="39"/>
        <v>(nextval('obj_part_id_seq'), (select id from obj_building_v where zip||'|'||street||'|'||name||'|'||volume = '8476|Bahnhofstrasse 8|Sporthalle|9813.00'), 'P62', 0, null, 2015,null),</v>
      </c>
    </row>
    <row r="2565" spans="1:8" x14ac:dyDescent="0.25">
      <c r="A2565" s="9" t="s">
        <v>2722</v>
      </c>
      <c r="B2565" s="9" t="s">
        <v>1127</v>
      </c>
      <c r="C2565">
        <v>28</v>
      </c>
      <c r="D2565">
        <v>85</v>
      </c>
      <c r="E2565">
        <v>2016</v>
      </c>
      <c r="F2565" s="9" t="s">
        <v>2723</v>
      </c>
      <c r="H2565" s="20" t="str">
        <f t="shared" ref="H2565:H2628" si="40">"(nextval('obj_part_id_seq'), (select id from obj_building_v where zip||'|'||street||'|'||name||'|'||volume = '"&amp;A2565&amp;"'), '"&amp;B2565&amp;"', "&amp;C2565&amp;", "&amp;D2565&amp;", "&amp;IF(ISBLANK(E2565),"null",E2565)&amp;","&amp;IF(ISBLANK(F2565),"null","'"&amp;F2565&amp;"'")&amp;"),"</f>
        <v>(nextval('obj_part_id_seq'), (select id from obj_building_v where zip||'|'||street||'|'||name||'|'||volume = '9471|St. Gallerstrasse 2|Rathaus|11240.00'), 'P48', 28, 85, 2016,'Stahlbeton und Mauerwerk, einzelne Risse an den Wänden im UG, Stahlstütze im UG'),</v>
      </c>
    </row>
    <row r="2566" spans="1:8" x14ac:dyDescent="0.25">
      <c r="A2566" s="9" t="s">
        <v>2722</v>
      </c>
      <c r="B2566" s="9" t="s">
        <v>1129</v>
      </c>
      <c r="C2566">
        <v>0</v>
      </c>
      <c r="D2566" t="s">
        <v>4080</v>
      </c>
      <c r="E2566">
        <v>2016</v>
      </c>
      <c r="F2566" s="9"/>
      <c r="H2566" s="20" t="str">
        <f t="shared" si="40"/>
        <v>(nextval('obj_part_id_seq'), (select id from obj_building_v where zip||'|'||street||'|'||name||'|'||volume = '9471|St. Gallerstrasse 2|Rathaus|11240.00'), 'P49', 0, null, 2016,null),</v>
      </c>
    </row>
    <row r="2567" spans="1:8" x14ac:dyDescent="0.25">
      <c r="A2567" s="9" t="s">
        <v>2722</v>
      </c>
      <c r="B2567" s="9" t="s">
        <v>1097</v>
      </c>
      <c r="C2567">
        <v>0</v>
      </c>
      <c r="D2567" t="s">
        <v>4080</v>
      </c>
      <c r="E2567">
        <v>2016</v>
      </c>
      <c r="F2567" s="9"/>
      <c r="H2567" s="20" t="str">
        <f t="shared" si="40"/>
        <v>(nextval('obj_part_id_seq'), (select id from obj_building_v where zip||'|'||street||'|'||name||'|'||volume = '9471|St. Gallerstrasse 2|Rathaus|11240.00'), 'P2', 0, null, 2016,null),</v>
      </c>
    </row>
    <row r="2568" spans="1:8" x14ac:dyDescent="0.25">
      <c r="A2568" s="9" t="s">
        <v>2722</v>
      </c>
      <c r="B2568" s="9" t="s">
        <v>1099</v>
      </c>
      <c r="C2568">
        <v>5</v>
      </c>
      <c r="D2568">
        <v>90</v>
      </c>
      <c r="E2568">
        <v>2016</v>
      </c>
      <c r="F2568" s="9" t="s">
        <v>2724</v>
      </c>
      <c r="H2568" s="20" t="str">
        <f t="shared" si="40"/>
        <v>(nextval('obj_part_id_seq'), (select id from obj_building_v where zip||'|'||street||'|'||name||'|'||volume = '9471|St. Gallerstrasse 2|Rathaus|11240.00'), 'P3', 5, 90, 2016,'Bitumen-Kiesklebedach, (vor 2 Jahren saniert) mit Cupolux Oblichtern'),</v>
      </c>
    </row>
    <row r="2569" spans="1:8" x14ac:dyDescent="0.25">
      <c r="A2569" s="9" t="s">
        <v>2722</v>
      </c>
      <c r="B2569" s="9" t="s">
        <v>1100</v>
      </c>
      <c r="C2569">
        <v>11</v>
      </c>
      <c r="D2569">
        <v>85</v>
      </c>
      <c r="E2569">
        <v>2016</v>
      </c>
      <c r="F2569" s="9" t="s">
        <v>2725</v>
      </c>
      <c r="H2569" s="20" t="str">
        <f t="shared" si="40"/>
        <v>(nextval('obj_part_id_seq'), (select id from obj_building_v where zip||'|'||street||'|'||name||'|'||volume = '9471|St. Gallerstrasse 2|Rathaus|11240.00'), 'P4', 11, 85, 2016,'Vorderseite: Waschbeton- und Sichtbetonelemente, Rückseite: verputzt'),</v>
      </c>
    </row>
    <row r="2570" spans="1:8" x14ac:dyDescent="0.25">
      <c r="A2570" s="9" t="s">
        <v>2722</v>
      </c>
      <c r="B2570" s="9" t="s">
        <v>1102</v>
      </c>
      <c r="C2570">
        <v>10</v>
      </c>
      <c r="D2570">
        <v>80</v>
      </c>
      <c r="E2570">
        <v>2016</v>
      </c>
      <c r="F2570" s="9" t="s">
        <v>2726</v>
      </c>
      <c r="H2570" s="20" t="str">
        <f t="shared" si="40"/>
        <v>(nextval('obj_part_id_seq'), (select id from obj_building_v where zip||'|'||street||'|'||name||'|'||volume = '9471|St. Gallerstrasse 2|Rathaus|11240.00'), 'P5', 10, 80, 2016,'Doppelverglaste Holz-/Metallfenster (''94/98'') mit Rafflamellenstoren, Metallfensterfront beim Eingang'),</v>
      </c>
    </row>
    <row r="2571" spans="1:8" x14ac:dyDescent="0.25">
      <c r="A2571" s="9" t="s">
        <v>2722</v>
      </c>
      <c r="B2571" s="9" t="s">
        <v>1164</v>
      </c>
      <c r="C2571">
        <v>10</v>
      </c>
      <c r="D2571">
        <v>85</v>
      </c>
      <c r="E2571">
        <v>2016</v>
      </c>
      <c r="F2571" s="9" t="s">
        <v>2727</v>
      </c>
      <c r="H2571" s="20" t="str">
        <f t="shared" si="40"/>
        <v>(nextval('obj_part_id_seq'), (select id from obj_building_v where zip||'|'||street||'|'||name||'|'||volume = '9471|St. Gallerstrasse 2|Rathaus|11240.00'), 'P50', 10, 85, 2016,'Tw. alte Keramiksicherungen vorhanden, Beleuchtung tw. erneuerungsbedürftig'),</v>
      </c>
    </row>
    <row r="2572" spans="1:8" x14ac:dyDescent="0.25">
      <c r="A2572" s="9" t="s">
        <v>2722</v>
      </c>
      <c r="B2572" s="9" t="s">
        <v>1166</v>
      </c>
      <c r="C2572">
        <v>2</v>
      </c>
      <c r="D2572">
        <v>90</v>
      </c>
      <c r="E2572">
        <v>2016</v>
      </c>
      <c r="F2572" s="9" t="s">
        <v>2728</v>
      </c>
      <c r="H2572" s="20" t="str">
        <f t="shared" si="40"/>
        <v>(nextval('obj_part_id_seq'), (select id from obj_building_v where zip||'|'||street||'|'||name||'|'||volume = '9471|St. Gallerstrasse 2|Rathaus|11240.00'), 'P51', 2, 90, 2016,'Brandmeldeanlage, Schliessanlage (vor 2 Jahren ersetzt), EDV-Server und Netzwerk'),</v>
      </c>
    </row>
    <row r="2573" spans="1:8" x14ac:dyDescent="0.25">
      <c r="A2573" s="9" t="s">
        <v>2722</v>
      </c>
      <c r="B2573" s="9" t="s">
        <v>1104</v>
      </c>
      <c r="C2573">
        <v>1</v>
      </c>
      <c r="D2573">
        <v>90</v>
      </c>
      <c r="E2573">
        <v>2016</v>
      </c>
      <c r="F2573" s="9" t="s">
        <v>2729</v>
      </c>
      <c r="H2573" s="20" t="str">
        <f t="shared" si="40"/>
        <v>(nextval('obj_part_id_seq'), (select id from obj_building_v where zip||'|'||street||'|'||name||'|'||volume = '9471|St. Gallerstrasse 2|Rathaus|11240.00'), 'P6', 1, 90, 2016,'Fernwärme (Anpassung vor 2 Jahren)'),</v>
      </c>
    </row>
    <row r="2574" spans="1:8" x14ac:dyDescent="0.25">
      <c r="A2574" s="9" t="s">
        <v>2722</v>
      </c>
      <c r="B2574" s="9" t="s">
        <v>1106</v>
      </c>
      <c r="C2574">
        <v>4</v>
      </c>
      <c r="D2574">
        <v>90</v>
      </c>
      <c r="E2574">
        <v>2016</v>
      </c>
      <c r="F2574" s="9" t="s">
        <v>2730</v>
      </c>
      <c r="H2574" s="20" t="str">
        <f t="shared" si="40"/>
        <v>(nextval('obj_part_id_seq'), (select id from obj_building_v where zip||'|'||street||'|'||name||'|'||volume = '9471|St. Gallerstrasse 2|Rathaus|11240.00'), 'P7', 4, 90, 2016,'Konvektoren und Radiatoren'),</v>
      </c>
    </row>
    <row r="2575" spans="1:8" x14ac:dyDescent="0.25">
      <c r="A2575" s="9" t="s">
        <v>2722</v>
      </c>
      <c r="B2575" s="9" t="s">
        <v>1403</v>
      </c>
      <c r="C2575">
        <v>2</v>
      </c>
      <c r="D2575">
        <v>90</v>
      </c>
      <c r="E2575">
        <v>2016</v>
      </c>
      <c r="F2575" s="9" t="s">
        <v>2731</v>
      </c>
      <c r="H2575" s="20" t="str">
        <f t="shared" si="40"/>
        <v>(nextval('obj_part_id_seq'), (select id from obj_building_v where zip||'|'||street||'|'||name||'|'||volume = '9471|St. Gallerstrasse 2|Rathaus|11240.00'), 'P52', 2, 90, 2016,'WC - Lüftung, Garagenlüftung'),</v>
      </c>
    </row>
    <row r="2576" spans="1:8" x14ac:dyDescent="0.25">
      <c r="A2576" s="9" t="s">
        <v>2722</v>
      </c>
      <c r="B2576" s="9" t="s">
        <v>1404</v>
      </c>
      <c r="C2576">
        <v>2</v>
      </c>
      <c r="D2576">
        <v>90</v>
      </c>
      <c r="E2576">
        <v>2016</v>
      </c>
      <c r="F2576" s="9" t="s">
        <v>2064</v>
      </c>
      <c r="H2576" s="20" t="str">
        <f t="shared" si="40"/>
        <v>(nextval('obj_part_id_seq'), (select id from obj_building_v where zip||'|'||street||'|'||name||'|'||volume = '9471|St. Gallerstrasse 2|Rathaus|11240.00'), 'P53', 2, 90, 2016,'Lüftungskanäle'),</v>
      </c>
    </row>
    <row r="2577" spans="1:8" x14ac:dyDescent="0.25">
      <c r="A2577" s="9" t="s">
        <v>2722</v>
      </c>
      <c r="B2577" s="9" t="s">
        <v>1108</v>
      </c>
      <c r="C2577">
        <v>4</v>
      </c>
      <c r="D2577">
        <v>70</v>
      </c>
      <c r="E2577">
        <v>2016</v>
      </c>
      <c r="F2577" s="9" t="s">
        <v>2732</v>
      </c>
      <c r="H2577" s="20" t="str">
        <f t="shared" si="40"/>
        <v>(nextval('obj_part_id_seq'), (select id from obj_building_v where zip||'|'||street||'|'||name||'|'||volume = '9471|St. Gallerstrasse 2|Rathaus|11240.00'), 'P8', 4, 70, 2016,'Fallleitungen und Wasserleitungen sind rostig, Pumpenschacht in UG, Apparate z.T. älter, jedoch funktionstüchtig, Feuerlöschposten, WM/WT'),</v>
      </c>
    </row>
    <row r="2578" spans="1:8" x14ac:dyDescent="0.25">
      <c r="A2578" s="9" t="s">
        <v>2722</v>
      </c>
      <c r="B2578" s="9" t="s">
        <v>1155</v>
      </c>
      <c r="C2578">
        <v>2</v>
      </c>
      <c r="D2578">
        <v>90</v>
      </c>
      <c r="E2578">
        <v>2016</v>
      </c>
      <c r="F2578" s="9" t="s">
        <v>2733</v>
      </c>
      <c r="H2578" s="20" t="str">
        <f t="shared" si="40"/>
        <v>(nextval('obj_part_id_seq'), (select id from obj_building_v where zip||'|'||street||'|'||name||'|'||volume = '9471|St. Gallerstrasse 2|Rathaus|11240.00'), 'P56', 2, 90, 2016,'Personen-/Warenaufzug'),</v>
      </c>
    </row>
    <row r="2579" spans="1:8" x14ac:dyDescent="0.25">
      <c r="A2579" s="9" t="s">
        <v>2722</v>
      </c>
      <c r="B2579" s="9" t="s">
        <v>1138</v>
      </c>
      <c r="C2579">
        <v>13</v>
      </c>
      <c r="D2579">
        <v>85</v>
      </c>
      <c r="E2579">
        <v>2016</v>
      </c>
      <c r="F2579" s="9" t="s">
        <v>2734</v>
      </c>
      <c r="H2579" s="20" t="str">
        <f t="shared" si="40"/>
        <v>(nextval('obj_part_id_seq'), (select id from obj_building_v where zip||'|'||street||'|'||name||'|'||volume = '9471|St. Gallerstrasse 2|Rathaus|11240.00'), 'P57', 13, 85, 2016,'Einbauschränke, heruntergehängte Decken, mobile Trennwände aus Kunstleder im Saal, Türen verglast, innere Verglasungen, Schalter, Innentrennwände, Verkleidungen der Konvektoren, Archivsystem (Compactus)'),</v>
      </c>
    </row>
    <row r="2580" spans="1:8" x14ac:dyDescent="0.25">
      <c r="A2580" s="9" t="s">
        <v>2722</v>
      </c>
      <c r="B2580" s="9" t="s">
        <v>1140</v>
      </c>
      <c r="C2580">
        <v>6</v>
      </c>
      <c r="D2580">
        <v>85</v>
      </c>
      <c r="E2580">
        <v>2016</v>
      </c>
      <c r="F2580" s="9" t="s">
        <v>2735</v>
      </c>
      <c r="H2580" s="20" t="str">
        <f t="shared" si="40"/>
        <v>(nextval('obj_part_id_seq'), (select id from obj_building_v where zip||'|'||street||'|'||name||'|'||volume = '9471|St. Gallerstrasse 2|Rathaus|11240.00'), 'P58', 6, 85, 2016,'B: Naturstein, Kunststein, Teppich, PVC, Zementüberzug mit Rissen im UG, W: Verputz, Beton gestrichen, Keramikplatten, D: Verputz, Täfer, Akustikdecken, einzelne Risse am Boden und an den Wänden'),</v>
      </c>
    </row>
    <row r="2581" spans="1:8" x14ac:dyDescent="0.25">
      <c r="A2581" s="9" t="s">
        <v>2722</v>
      </c>
      <c r="B2581" s="9" t="s">
        <v>1142</v>
      </c>
      <c r="C2581">
        <v>0</v>
      </c>
      <c r="D2581" t="s">
        <v>4080</v>
      </c>
      <c r="E2581">
        <v>2016</v>
      </c>
      <c r="F2581" s="9"/>
      <c r="H2581" s="20" t="str">
        <f t="shared" si="40"/>
        <v>(nextval('obj_part_id_seq'), (select id from obj_building_v where zip||'|'||street||'|'||name||'|'||volume = '9471|St. Gallerstrasse 2|Rathaus|11240.00'), 'P60', 0, null, 2016,null),</v>
      </c>
    </row>
    <row r="2582" spans="1:8" x14ac:dyDescent="0.25">
      <c r="A2582" s="9" t="s">
        <v>2722</v>
      </c>
      <c r="B2582" s="9" t="s">
        <v>1143</v>
      </c>
      <c r="C2582">
        <v>0</v>
      </c>
      <c r="D2582" t="s">
        <v>4080</v>
      </c>
      <c r="E2582">
        <v>2016</v>
      </c>
      <c r="F2582" s="9"/>
      <c r="H2582" s="20" t="str">
        <f t="shared" si="40"/>
        <v>(nextval('obj_part_id_seq'), (select id from obj_building_v where zip||'|'||street||'|'||name||'|'||volume = '9471|St. Gallerstrasse 2|Rathaus|11240.00'), 'P61', 0, null, 2016,null),</v>
      </c>
    </row>
    <row r="2583" spans="1:8" x14ac:dyDescent="0.25">
      <c r="A2583" s="9" t="s">
        <v>2722</v>
      </c>
      <c r="B2583" s="9" t="s">
        <v>1144</v>
      </c>
      <c r="C2583">
        <v>0</v>
      </c>
      <c r="D2583" t="s">
        <v>4080</v>
      </c>
      <c r="E2583">
        <v>2016</v>
      </c>
      <c r="F2583" s="9"/>
      <c r="H2583" s="20" t="str">
        <f t="shared" si="40"/>
        <v>(nextval('obj_part_id_seq'), (select id from obj_building_v where zip||'|'||street||'|'||name||'|'||volume = '9471|St. Gallerstrasse 2|Rathaus|11240.00'), 'P62', 0, null, 2016,null),</v>
      </c>
    </row>
    <row r="2584" spans="1:8" x14ac:dyDescent="0.25">
      <c r="A2584" s="9" t="s">
        <v>2736</v>
      </c>
      <c r="B2584" s="9" t="s">
        <v>1127</v>
      </c>
      <c r="C2584">
        <v>63</v>
      </c>
      <c r="D2584">
        <v>85</v>
      </c>
      <c r="E2584">
        <v>2016</v>
      </c>
      <c r="F2584" s="9" t="s">
        <v>2737</v>
      </c>
      <c r="H2584" s="20" t="str">
        <f t="shared" si="40"/>
        <v>(nextval('obj_part_id_seq'), (select id from obj_building_v where zip||'|'||street||'|'||name||'|'||volume = '5620|Obertorplatz|Parkgarage|35355.00'), 'P48', 63, 85, 2016,'Stahlbetonbau, einzelne Spuren von Wassereintritt vorhanden, zumindest tw. bereits behoben'),</v>
      </c>
    </row>
    <row r="2585" spans="1:8" x14ac:dyDescent="0.25">
      <c r="A2585" s="9" t="s">
        <v>2736</v>
      </c>
      <c r="B2585" s="9" t="s">
        <v>1129</v>
      </c>
      <c r="C2585">
        <v>0</v>
      </c>
      <c r="D2585" t="s">
        <v>4080</v>
      </c>
      <c r="E2585">
        <v>2016</v>
      </c>
      <c r="F2585" s="9"/>
      <c r="H2585" s="20" t="str">
        <f t="shared" si="40"/>
        <v>(nextval('obj_part_id_seq'), (select id from obj_building_v where zip||'|'||street||'|'||name||'|'||volume = '5620|Obertorplatz|Parkgarage|35355.00'), 'P49', 0, null, 2016,null),</v>
      </c>
    </row>
    <row r="2586" spans="1:8" x14ac:dyDescent="0.25">
      <c r="A2586" s="9" t="s">
        <v>2736</v>
      </c>
      <c r="B2586" s="9" t="s">
        <v>1099</v>
      </c>
      <c r="C2586">
        <v>20</v>
      </c>
      <c r="D2586">
        <v>90</v>
      </c>
      <c r="E2586">
        <v>2016</v>
      </c>
      <c r="F2586" s="9" t="s">
        <v>2738</v>
      </c>
      <c r="H2586" s="20" t="str">
        <f t="shared" si="40"/>
        <v>(nextval('obj_part_id_seq'), (select id from obj_building_v where zip||'|'||street||'|'||name||'|'||volume = '5620|Obertorplatz|Parkgarage|35355.00'), 'P3', 20, 90, 2016,'Walmdach aus Trapezblech mit Glasoblicht, begehbares Flachdach (Schulhausplatz), asphaltiert, tw. mit Pflastersteinen und Treppenstufen'),</v>
      </c>
    </row>
    <row r="2587" spans="1:8" x14ac:dyDescent="0.25">
      <c r="A2587" s="9" t="s">
        <v>2736</v>
      </c>
      <c r="B2587" s="9" t="s">
        <v>1100</v>
      </c>
      <c r="C2587">
        <v>1</v>
      </c>
      <c r="D2587">
        <v>80</v>
      </c>
      <c r="E2587">
        <v>2016</v>
      </c>
      <c r="F2587" s="9" t="s">
        <v>2739</v>
      </c>
      <c r="H2587" s="20" t="str">
        <f t="shared" si="40"/>
        <v>(nextval('obj_part_id_seq'), (select id from obj_building_v where zip||'|'||street||'|'||name||'|'||volume = '5620|Obertorplatz|Parkgarage|35355.00'), 'P4', 1, 80, 2016,'Metall-/Glasfassade bei Treppenhäusern'),</v>
      </c>
    </row>
    <row r="2588" spans="1:8" x14ac:dyDescent="0.25">
      <c r="A2588" s="9" t="s">
        <v>2736</v>
      </c>
      <c r="B2588" s="9" t="s">
        <v>1102</v>
      </c>
      <c r="C2588">
        <v>1</v>
      </c>
      <c r="D2588">
        <v>90</v>
      </c>
      <c r="E2588">
        <v>2016</v>
      </c>
      <c r="F2588" s="9" t="s">
        <v>2740</v>
      </c>
      <c r="H2588" s="20" t="str">
        <f t="shared" si="40"/>
        <v>(nextval('obj_part_id_seq'), (select id from obj_building_v where zip||'|'||street||'|'||name||'|'||volume = '5620|Obertorplatz|Parkgarage|35355.00'), 'P5', 1, 90, 2016,'Eingangstüren bei Treppenhäuser aus Glas/Metall, keine Schäden bekannt'),</v>
      </c>
    </row>
    <row r="2589" spans="1:8" x14ac:dyDescent="0.25">
      <c r="A2589" s="9" t="s">
        <v>2736</v>
      </c>
      <c r="B2589" s="9" t="s">
        <v>1164</v>
      </c>
      <c r="C2589">
        <v>3</v>
      </c>
      <c r="D2589">
        <v>90</v>
      </c>
      <c r="E2589">
        <v>2016</v>
      </c>
      <c r="F2589" s="9" t="s">
        <v>2741</v>
      </c>
      <c r="H2589" s="20" t="str">
        <f t="shared" si="40"/>
        <v>(nextval('obj_part_id_seq'), (select id from obj_building_v where zip||'|'||street||'|'||name||'|'||volume = '5620|Obertorplatz|Parkgarage|35355.00'), 'P50', 3, 90, 2016,'Die Beleuchtung wurde 2011 erneuert, Ampelanlage, Brunnenbeleuchtung und -steuerung'),</v>
      </c>
    </row>
    <row r="2590" spans="1:8" x14ac:dyDescent="0.25">
      <c r="A2590" s="9" t="s">
        <v>2736</v>
      </c>
      <c r="B2590" s="9" t="s">
        <v>1166</v>
      </c>
      <c r="C2590">
        <v>1</v>
      </c>
      <c r="D2590">
        <v>90</v>
      </c>
      <c r="E2590">
        <v>2016</v>
      </c>
      <c r="F2590" s="9" t="s">
        <v>2742</v>
      </c>
      <c r="H2590" s="20" t="str">
        <f t="shared" si="40"/>
        <v>(nextval('obj_part_id_seq'), (select id from obj_building_v where zip||'|'||street||'|'||name||'|'||volume = '5620|Obertorplatz|Parkgarage|35355.00'), 'P51', 1, 90, 2016,'Brandmeldeanlage, Gaswarnanlage, Schranken und Ampelsteuerung, Brunnensteuerung, Videoüberwachung (wird erneuert)'),</v>
      </c>
    </row>
    <row r="2591" spans="1:8" x14ac:dyDescent="0.25">
      <c r="A2591" s="9" t="s">
        <v>2736</v>
      </c>
      <c r="B2591" s="9" t="s">
        <v>1108</v>
      </c>
      <c r="C2591">
        <v>1</v>
      </c>
      <c r="D2591">
        <v>90</v>
      </c>
      <c r="E2591">
        <v>2016</v>
      </c>
      <c r="F2591" s="9" t="s">
        <v>2743</v>
      </c>
      <c r="H2591" s="20" t="str">
        <f t="shared" si="40"/>
        <v>(nextval('obj_part_id_seq'), (select id from obj_building_v where zip||'|'||street||'|'||name||'|'||volume = '5620|Obertorplatz|Parkgarage|35355.00'), 'P8', 1, 90, 2016,'Sprinkleranlage, Feuerlöschposten, Ablaufrinnen, Brunnen (Pyramide) mit Umwälzpumpe und Filter, Fäkalienpumpen'),</v>
      </c>
    </row>
    <row r="2592" spans="1:8" x14ac:dyDescent="0.25">
      <c r="A2592" s="9" t="s">
        <v>2736</v>
      </c>
      <c r="B2592" s="9" t="s">
        <v>1155</v>
      </c>
      <c r="C2592">
        <v>2</v>
      </c>
      <c r="D2592">
        <v>90</v>
      </c>
      <c r="E2592">
        <v>2016</v>
      </c>
      <c r="F2592" s="9" t="s">
        <v>2744</v>
      </c>
      <c r="H2592" s="20" t="str">
        <f t="shared" si="40"/>
        <v>(nextval('obj_part_id_seq'), (select id from obj_building_v where zip||'|'||street||'|'||name||'|'||volume = '5620|Obertorplatz|Parkgarage|35355.00'), 'P56', 2, 90, 2016,'Hydraulische Personenaufzüge'),</v>
      </c>
    </row>
    <row r="2593" spans="1:8" x14ac:dyDescent="0.25">
      <c r="A2593" s="9" t="s">
        <v>2736</v>
      </c>
      <c r="B2593" s="9" t="s">
        <v>1114</v>
      </c>
      <c r="C2593">
        <v>5</v>
      </c>
      <c r="D2593">
        <v>80</v>
      </c>
      <c r="E2593">
        <v>2016</v>
      </c>
      <c r="F2593" s="9" t="s">
        <v>2745</v>
      </c>
      <c r="H2593" s="20" t="str">
        <f t="shared" si="40"/>
        <v>(nextval('obj_part_id_seq'), (select id from obj_building_v where zip||'|'||street||'|'||name||'|'||volume = '5620|Obertorplatz|Parkgarage|35355.00'), 'P11', 5, 80, 2016,'Granitstufen, Asphalt (guter Zustand), Hartbeton, gestrichen, Metalltreppe unter dem Brunnen ist tw. durchgerostet, Wände und Decken tw. gestrichen'),</v>
      </c>
    </row>
    <row r="2594" spans="1:8" x14ac:dyDescent="0.25">
      <c r="A2594" s="9" t="s">
        <v>2736</v>
      </c>
      <c r="B2594" s="9" t="s">
        <v>1142</v>
      </c>
      <c r="C2594">
        <v>0</v>
      </c>
      <c r="D2594" t="s">
        <v>4080</v>
      </c>
      <c r="E2594">
        <v>2016</v>
      </c>
      <c r="F2594" s="9"/>
      <c r="H2594" s="20" t="str">
        <f t="shared" si="40"/>
        <v>(nextval('obj_part_id_seq'), (select id from obj_building_v where zip||'|'||street||'|'||name||'|'||volume = '5620|Obertorplatz|Parkgarage|35355.00'), 'P60', 0, null, 2016,null),</v>
      </c>
    </row>
    <row r="2595" spans="1:8" x14ac:dyDescent="0.25">
      <c r="A2595" s="9" t="s">
        <v>2736</v>
      </c>
      <c r="B2595" s="9" t="s">
        <v>1143</v>
      </c>
      <c r="C2595">
        <v>3</v>
      </c>
      <c r="D2595">
        <v>85</v>
      </c>
      <c r="E2595">
        <v>2016</v>
      </c>
      <c r="F2595" s="9" t="s">
        <v>2746</v>
      </c>
      <c r="H2595" s="20" t="str">
        <f t="shared" si="40"/>
        <v>(nextval('obj_part_id_seq'), (select id from obj_building_v where zip||'|'||street||'|'||name||'|'||volume = '5620|Obertorplatz|Parkgarage|35355.00'), 'P61', 3, 85, 2016,'Lüftungsanlage (Abluft), Schutzraumlüftung'),</v>
      </c>
    </row>
    <row r="2596" spans="1:8" x14ac:dyDescent="0.25">
      <c r="A2596" s="9" t="s">
        <v>2736</v>
      </c>
      <c r="B2596" s="9" t="s">
        <v>1144</v>
      </c>
      <c r="C2596">
        <v>0</v>
      </c>
      <c r="D2596" t="s">
        <v>4080</v>
      </c>
      <c r="E2596">
        <v>2016</v>
      </c>
      <c r="F2596" s="9"/>
      <c r="H2596" s="20" t="str">
        <f t="shared" si="40"/>
        <v>(nextval('obj_part_id_seq'), (select id from obj_building_v where zip||'|'||street||'|'||name||'|'||volume = '5620|Obertorplatz|Parkgarage|35355.00'), 'P62', 0, null, 2016,null),</v>
      </c>
    </row>
    <row r="2597" spans="1:8" x14ac:dyDescent="0.25">
      <c r="A2597" s="9" t="s">
        <v>2747</v>
      </c>
      <c r="B2597" s="9" t="s">
        <v>1127</v>
      </c>
      <c r="C2597">
        <v>37</v>
      </c>
      <c r="D2597">
        <v>90</v>
      </c>
      <c r="E2597">
        <v>2017</v>
      </c>
      <c r="F2597" s="9" t="s">
        <v>2748</v>
      </c>
      <c r="H2597" s="20" t="str">
        <f t="shared" si="40"/>
        <v>(nextval('obj_part_id_seq'), (select id from obj_building_v where zip||'|'||street||'|'||name||'|'||volume = '8335|Jakob Stutz-Str 60|Mehrzweckhalle|17239.00'), 'P48', 37, 90, 2017,'Stahlbetonbau, Mauerwerk'),</v>
      </c>
    </row>
    <row r="2598" spans="1:8" x14ac:dyDescent="0.25">
      <c r="A2598" s="9" t="s">
        <v>2747</v>
      </c>
      <c r="B2598" s="9" t="s">
        <v>1129</v>
      </c>
      <c r="C2598">
        <v>0</v>
      </c>
      <c r="D2598" t="s">
        <v>4080</v>
      </c>
      <c r="E2598">
        <v>2017</v>
      </c>
      <c r="F2598" s="9"/>
      <c r="H2598" s="20" t="str">
        <f t="shared" si="40"/>
        <v>(nextval('obj_part_id_seq'), (select id from obj_building_v where zip||'|'||street||'|'||name||'|'||volume = '8335|Jakob Stutz-Str 60|Mehrzweckhalle|17239.00'), 'P49', 0, null, 2017,null),</v>
      </c>
    </row>
    <row r="2599" spans="1:8" x14ac:dyDescent="0.25">
      <c r="A2599" s="9" t="s">
        <v>2747</v>
      </c>
      <c r="B2599" s="9" t="s">
        <v>1097</v>
      </c>
      <c r="C2599">
        <v>0</v>
      </c>
      <c r="D2599" t="s">
        <v>4080</v>
      </c>
      <c r="E2599">
        <v>2017</v>
      </c>
      <c r="F2599" s="9"/>
      <c r="H2599" s="20" t="str">
        <f t="shared" si="40"/>
        <v>(nextval('obj_part_id_seq'), (select id from obj_building_v where zip||'|'||street||'|'||name||'|'||volume = '8335|Jakob Stutz-Str 60|Mehrzweckhalle|17239.00'), 'P2', 0, null, 2017,null),</v>
      </c>
    </row>
    <row r="2600" spans="1:8" x14ac:dyDescent="0.25">
      <c r="A2600" s="9" t="s">
        <v>2747</v>
      </c>
      <c r="B2600" s="9" t="s">
        <v>1099</v>
      </c>
      <c r="C2600">
        <v>8</v>
      </c>
      <c r="D2600">
        <v>85</v>
      </c>
      <c r="E2600">
        <v>2017</v>
      </c>
      <c r="F2600" s="9" t="s">
        <v>2749</v>
      </c>
      <c r="H2600" s="20" t="str">
        <f t="shared" si="40"/>
        <v>(nextval('obj_part_id_seq'), (select id from obj_building_v where zip||'|'||street||'|'||name||'|'||volume = '8335|Jakob Stutz-Str 60|Mehrzweckhalle|17239.00'), 'P3', 8, 85, 2017,'Trapezwellblech über Halle (Aufbau unbekannt), Wasserschaden Meteor Wasser - Schmelzwasser füllt Schacht und läuft über.'),</v>
      </c>
    </row>
    <row r="2601" spans="1:8" x14ac:dyDescent="0.25">
      <c r="A2601" s="9" t="s">
        <v>2747</v>
      </c>
      <c r="B2601" s="9" t="s">
        <v>1100</v>
      </c>
      <c r="C2601">
        <v>7</v>
      </c>
      <c r="D2601">
        <v>90</v>
      </c>
      <c r="E2601">
        <v>2017</v>
      </c>
      <c r="F2601" s="9" t="s">
        <v>2750</v>
      </c>
      <c r="H2601" s="20" t="str">
        <f t="shared" si="40"/>
        <v>(nextval('obj_part_id_seq'), (select id from obj_building_v where zip||'|'||street||'|'||name||'|'||volume = '8335|Jakob Stutz-Str 60|Mehrzweckhalle|17239.00'), 'P4', 7, 90, 2017,'Putz'),</v>
      </c>
    </row>
    <row r="2602" spans="1:8" x14ac:dyDescent="0.25">
      <c r="A2602" s="9" t="s">
        <v>2747</v>
      </c>
      <c r="B2602" s="9" t="s">
        <v>1102</v>
      </c>
      <c r="C2602">
        <v>10</v>
      </c>
      <c r="D2602">
        <v>90</v>
      </c>
      <c r="E2602">
        <v>2017</v>
      </c>
      <c r="F2602" s="9" t="s">
        <v>2751</v>
      </c>
      <c r="H2602" s="20" t="str">
        <f t="shared" si="40"/>
        <v>(nextval('obj_part_id_seq'), (select id from obj_building_v where zip||'|'||street||'|'||name||'|'||volume = '8335|Jakob Stutz-Str 60|Mehrzweckhalle|17239.00'), 'P5', 10, 90, 2017,'Holz-Metallfenster mit IV-Verglasung'),</v>
      </c>
    </row>
    <row r="2603" spans="1:8" x14ac:dyDescent="0.25">
      <c r="A2603" s="9" t="s">
        <v>2747</v>
      </c>
      <c r="B2603" s="9" t="s">
        <v>1164</v>
      </c>
      <c r="C2603">
        <v>5</v>
      </c>
      <c r="D2603">
        <v>90</v>
      </c>
      <c r="E2603">
        <v>2017</v>
      </c>
      <c r="F2603" s="9" t="s">
        <v>2752</v>
      </c>
      <c r="H2603" s="20" t="str">
        <f t="shared" si="40"/>
        <v>(nextval('obj_part_id_seq'), (select id from obj_building_v where zip||'|'||street||'|'||name||'|'||volume = '8335|Jakob Stutz-Str 60|Mehrzweckhalle|17239.00'), 'P50', 5, 90, 2017,'Bühnenbeleuchtung, Bühnentechnik, Solaranlage (Eigentümerin EKZ?)'),</v>
      </c>
    </row>
    <row r="2604" spans="1:8" x14ac:dyDescent="0.25">
      <c r="A2604" s="9" t="s">
        <v>2747</v>
      </c>
      <c r="B2604" s="9" t="s">
        <v>1166</v>
      </c>
      <c r="C2604">
        <v>1</v>
      </c>
      <c r="D2604">
        <v>90</v>
      </c>
      <c r="E2604">
        <v>2017</v>
      </c>
      <c r="F2604" s="9"/>
      <c r="H2604" s="20" t="str">
        <f t="shared" si="40"/>
        <v>(nextval('obj_part_id_seq'), (select id from obj_building_v where zip||'|'||street||'|'||name||'|'||volume = '8335|Jakob Stutz-Str 60|Mehrzweckhalle|17239.00'), 'P51', 1, 90, 2017,null),</v>
      </c>
    </row>
    <row r="2605" spans="1:8" x14ac:dyDescent="0.25">
      <c r="A2605" s="9" t="s">
        <v>2747</v>
      </c>
      <c r="B2605" s="9" t="s">
        <v>1104</v>
      </c>
      <c r="C2605">
        <v>1</v>
      </c>
      <c r="D2605">
        <v>90</v>
      </c>
      <c r="E2605">
        <v>2017</v>
      </c>
      <c r="F2605" s="9" t="s">
        <v>2753</v>
      </c>
      <c r="H2605" s="20" t="str">
        <f t="shared" si="40"/>
        <v>(nextval('obj_part_id_seq'), (select id from obj_building_v where zip||'|'||street||'|'||name||'|'||volume = '8335|Jakob Stutz-Str 60|Mehrzweckhalle|17239.00'), 'P6', 1, 90, 2017,'Fernwärme gehört Stadtwerke Winterthur. Holzschnitzelfeuerungsanlage'),</v>
      </c>
    </row>
    <row r="2606" spans="1:8" x14ac:dyDescent="0.25">
      <c r="A2606" s="9" t="s">
        <v>2747</v>
      </c>
      <c r="B2606" s="9" t="s">
        <v>1106</v>
      </c>
      <c r="C2606">
        <v>3</v>
      </c>
      <c r="D2606">
        <v>90</v>
      </c>
      <c r="E2606">
        <v>2017</v>
      </c>
      <c r="F2606" s="9" t="s">
        <v>2754</v>
      </c>
      <c r="H2606" s="20" t="str">
        <f t="shared" si="40"/>
        <v>(nextval('obj_part_id_seq'), (select id from obj_building_v where zip||'|'||street||'|'||name||'|'||volume = '8335|Jakob Stutz-Str 60|Mehrzweckhalle|17239.00'), 'P7', 3, 90, 2017,'Radiatoren mit Thermostaten, Bodenheizung?'),</v>
      </c>
    </row>
    <row r="2607" spans="1:8" x14ac:dyDescent="0.25">
      <c r="A2607" s="9" t="s">
        <v>2747</v>
      </c>
      <c r="B2607" s="9" t="s">
        <v>1108</v>
      </c>
      <c r="C2607">
        <v>4</v>
      </c>
      <c r="D2607">
        <v>90</v>
      </c>
      <c r="E2607">
        <v>2017</v>
      </c>
      <c r="F2607" s="9" t="s">
        <v>2755</v>
      </c>
      <c r="H2607" s="20" t="str">
        <f t="shared" si="40"/>
        <v>(nextval('obj_part_id_seq'), (select id from obj_building_v where zip||'|'||street||'|'||name||'|'||volume = '8335|Jakob Stutz-Str 60|Mehrzweckhalle|17239.00'), 'P8', 4, 90, 2017,'WC-Anlage, Duschen, Feuerlöschposten'),</v>
      </c>
    </row>
    <row r="2608" spans="1:8" x14ac:dyDescent="0.25">
      <c r="A2608" s="9" t="s">
        <v>2747</v>
      </c>
      <c r="B2608" s="9" t="s">
        <v>1138</v>
      </c>
      <c r="C2608">
        <v>11</v>
      </c>
      <c r="D2608">
        <v>90</v>
      </c>
      <c r="E2608">
        <v>2017</v>
      </c>
      <c r="F2608" s="9" t="s">
        <v>2756</v>
      </c>
      <c r="H2608" s="20" t="str">
        <f t="shared" si="40"/>
        <v>(nextval('obj_part_id_seq'), (select id from obj_building_v where zip||'|'||street||'|'||name||'|'||volume = '8335|Jakob Stutz-Str 60|Mehrzweckhalle|17239.00'), 'P57', 11, 90, 2017,'Gewerbliche und Aufbereitungs-/Ausgabeküche, Trennwände (beweglich), Garderobenbänke'),</v>
      </c>
    </row>
    <row r="2609" spans="1:8" x14ac:dyDescent="0.25">
      <c r="A2609" s="9" t="s">
        <v>2747</v>
      </c>
      <c r="B2609" s="9" t="s">
        <v>1140</v>
      </c>
      <c r="C2609">
        <v>8</v>
      </c>
      <c r="D2609">
        <v>90</v>
      </c>
      <c r="E2609">
        <v>2017</v>
      </c>
      <c r="F2609" s="9" t="s">
        <v>2757</v>
      </c>
      <c r="H2609" s="20" t="str">
        <f t="shared" si="40"/>
        <v>(nextval('obj_part_id_seq'), (select id from obj_building_v where zip||'|'||street||'|'||name||'|'||volume = '8335|Jakob Stutz-Str 60|Mehrzweckhalle|17239.00'), 'P58', 8, 90, 2017,'D: Heraklit, Akustikdecke, Beton-gestrichen\nW: Beton-gestrichen, Zementstein, Glasfasern Tapete, Akustik-wände \nB: Parkett, Kunststoff, PU'),</v>
      </c>
    </row>
    <row r="2610" spans="1:8" x14ac:dyDescent="0.25">
      <c r="A2610" s="9" t="s">
        <v>2747</v>
      </c>
      <c r="B2610" s="9" t="s">
        <v>1142</v>
      </c>
      <c r="C2610">
        <v>0</v>
      </c>
      <c r="D2610" t="s">
        <v>4080</v>
      </c>
      <c r="E2610">
        <v>2017</v>
      </c>
      <c r="F2610" s="9"/>
      <c r="H2610" s="20" t="str">
        <f t="shared" si="40"/>
        <v>(nextval('obj_part_id_seq'), (select id from obj_building_v where zip||'|'||street||'|'||name||'|'||volume = '8335|Jakob Stutz-Str 60|Mehrzweckhalle|17239.00'), 'P60', 0, null, 2017,null),</v>
      </c>
    </row>
    <row r="2611" spans="1:8" x14ac:dyDescent="0.25">
      <c r="A2611" s="9" t="s">
        <v>2747</v>
      </c>
      <c r="B2611" s="9" t="s">
        <v>1143</v>
      </c>
      <c r="C2611">
        <v>5</v>
      </c>
      <c r="D2611">
        <v>90</v>
      </c>
      <c r="E2611">
        <v>2017</v>
      </c>
      <c r="F2611" s="9" t="s">
        <v>2758</v>
      </c>
      <c r="H2611" s="20" t="str">
        <f t="shared" si="40"/>
        <v>(nextval('obj_part_id_seq'), (select id from obj_building_v where zip||'|'||street||'|'||name||'|'||volume = '8335|Jakob Stutz-Str 60|Mehrzweckhalle|17239.00'), 'P61', 5, 90, 2017,'Lüftungsanlage Halle und Küche'),</v>
      </c>
    </row>
    <row r="2612" spans="1:8" x14ac:dyDescent="0.25">
      <c r="A2612" s="9" t="s">
        <v>2747</v>
      </c>
      <c r="B2612" s="9" t="s">
        <v>1144</v>
      </c>
      <c r="C2612">
        <v>0</v>
      </c>
      <c r="D2612" t="s">
        <v>4080</v>
      </c>
      <c r="E2612">
        <v>2017</v>
      </c>
      <c r="F2612" s="9"/>
      <c r="H2612" s="20" t="str">
        <f t="shared" si="40"/>
        <v>(nextval('obj_part_id_seq'), (select id from obj_building_v where zip||'|'||street||'|'||name||'|'||volume = '8335|Jakob Stutz-Str 60|Mehrzweckhalle|17239.00'), 'P62', 0, null, 2017,null),</v>
      </c>
    </row>
    <row r="2613" spans="1:8" x14ac:dyDescent="0.25">
      <c r="A2613" s="9" t="s">
        <v>2759</v>
      </c>
      <c r="B2613" s="9" t="s">
        <v>1127</v>
      </c>
      <c r="C2613">
        <v>33</v>
      </c>
      <c r="D2613">
        <v>85</v>
      </c>
      <c r="E2613">
        <v>2017</v>
      </c>
      <c r="F2613" s="9" t="s">
        <v>2760</v>
      </c>
      <c r="H2613" s="20" t="str">
        <f t="shared" si="40"/>
        <v>(nextval('obj_part_id_seq'), (select id from obj_building_v where zip||'|'||street||'|'||name||'|'||volume = '8335|Hermetsbüelweg 8|Hauswartwohnung|1112.00'), 'P48', 33, 85, 2017,'Stahlbeton, Mauerwerk, feuchte Wände im UG unter Treppe'),</v>
      </c>
    </row>
    <row r="2614" spans="1:8" x14ac:dyDescent="0.25">
      <c r="A2614" s="9" t="s">
        <v>2759</v>
      </c>
      <c r="B2614" s="9" t="s">
        <v>1129</v>
      </c>
      <c r="C2614">
        <v>0</v>
      </c>
      <c r="D2614" t="s">
        <v>4080</v>
      </c>
      <c r="E2614">
        <v>2017</v>
      </c>
      <c r="F2614" s="9"/>
      <c r="H2614" s="20" t="str">
        <f t="shared" si="40"/>
        <v>(nextval('obj_part_id_seq'), (select id from obj_building_v where zip||'|'||street||'|'||name||'|'||volume = '8335|Hermetsbüelweg 8|Hauswartwohnung|1112.00'), 'P49', 0, null, 2017,null),</v>
      </c>
    </row>
    <row r="2615" spans="1:8" x14ac:dyDescent="0.25">
      <c r="A2615" s="9" t="s">
        <v>2759</v>
      </c>
      <c r="B2615" s="9" t="s">
        <v>1097</v>
      </c>
      <c r="C2615">
        <v>11</v>
      </c>
      <c r="D2615">
        <v>90</v>
      </c>
      <c r="E2615">
        <v>2017</v>
      </c>
      <c r="F2615" s="9" t="s">
        <v>1370</v>
      </c>
      <c r="H2615" s="20" t="str">
        <f t="shared" si="40"/>
        <v>(nextval('obj_part_id_seq'), (select id from obj_building_v where zip||'|'||street||'|'||name||'|'||volume = '8335|Hermetsbüelweg 8|Hauswartwohnung|1112.00'), 'P2', 11, 90, 2017,'Ziegeldach'),</v>
      </c>
    </row>
    <row r="2616" spans="1:8" x14ac:dyDescent="0.25">
      <c r="A2616" s="9" t="s">
        <v>2759</v>
      </c>
      <c r="B2616" s="9" t="s">
        <v>1099</v>
      </c>
      <c r="C2616">
        <v>2</v>
      </c>
      <c r="D2616">
        <v>85</v>
      </c>
      <c r="E2616">
        <v>2017</v>
      </c>
      <c r="F2616" s="9" t="s">
        <v>2761</v>
      </c>
      <c r="H2616" s="20" t="str">
        <f t="shared" si="40"/>
        <v>(nextval('obj_part_id_seq'), (select id from obj_building_v where zip||'|'||street||'|'||name||'|'||volume = '8335|Hermetsbüelweg 8|Hauswartwohnung|1112.00'), 'P3', 2, 85, 2017,'Notüberläufe konstruktiv mangelhaft, stehendes Wasser bei Vordach, Glasvordach'),</v>
      </c>
    </row>
    <row r="2617" spans="1:8" x14ac:dyDescent="0.25">
      <c r="A2617" s="9" t="s">
        <v>2759</v>
      </c>
      <c r="B2617" s="9" t="s">
        <v>1100</v>
      </c>
      <c r="C2617">
        <v>8</v>
      </c>
      <c r="D2617">
        <v>90</v>
      </c>
      <c r="E2617">
        <v>2017</v>
      </c>
      <c r="F2617" s="9" t="s">
        <v>2762</v>
      </c>
      <c r="H2617" s="20" t="str">
        <f t="shared" si="40"/>
        <v>(nextval('obj_part_id_seq'), (select id from obj_building_v where zip||'|'||street||'|'||name||'|'||volume = '8335|Hermetsbüelweg 8|Hauswartwohnung|1112.00'), 'P4', 8, 90, 2017,'Mauerwerk, verputzt, Eternitplatten, Balkongeländer'),</v>
      </c>
    </row>
    <row r="2618" spans="1:8" x14ac:dyDescent="0.25">
      <c r="A2618" s="9" t="s">
        <v>2759</v>
      </c>
      <c r="B2618" s="9" t="s">
        <v>1102</v>
      </c>
      <c r="C2618">
        <v>13</v>
      </c>
      <c r="D2618">
        <v>90</v>
      </c>
      <c r="E2618">
        <v>2017</v>
      </c>
      <c r="F2618" s="9" t="s">
        <v>2763</v>
      </c>
      <c r="H2618" s="20" t="str">
        <f t="shared" si="40"/>
        <v>(nextval('obj_part_id_seq'), (select id from obj_building_v where zip||'|'||street||'|'||name||'|'||volume = '8335|Hermetsbüelweg 8|Hauswartwohnung|1112.00'), 'P5', 13, 90, 2017,'Holz/Metallfenster mit Isolierverglasung, Metallfenster, Rafflamellenstoren, Franz. Balkone, Garagentor'),</v>
      </c>
    </row>
    <row r="2619" spans="1:8" x14ac:dyDescent="0.25">
      <c r="A2619" s="9" t="s">
        <v>2759</v>
      </c>
      <c r="B2619" s="9" t="s">
        <v>1110</v>
      </c>
      <c r="C2619">
        <v>3</v>
      </c>
      <c r="D2619">
        <v>90</v>
      </c>
      <c r="E2619">
        <v>2017</v>
      </c>
      <c r="F2619" s="9" t="s">
        <v>2764</v>
      </c>
      <c r="H2619" s="20" t="str">
        <f t="shared" si="40"/>
        <v>(nextval('obj_part_id_seq'), (select id from obj_building_v where zip||'|'||street||'|'||name||'|'||volume = '8335|Hermetsbüelweg 8|Hauswartwohnung|1112.00'), 'P9', 3, 90, 2017,'Genügende Absicherung, Gegensprechanlage'),</v>
      </c>
    </row>
    <row r="2620" spans="1:8" x14ac:dyDescent="0.25">
      <c r="A2620" s="9" t="s">
        <v>2759</v>
      </c>
      <c r="B2620" s="9" t="s">
        <v>1104</v>
      </c>
      <c r="C2620">
        <v>1</v>
      </c>
      <c r="D2620">
        <v>90</v>
      </c>
      <c r="E2620">
        <v>2017</v>
      </c>
      <c r="F2620" s="9" t="s">
        <v>2765</v>
      </c>
      <c r="H2620" s="20" t="str">
        <f t="shared" si="40"/>
        <v>(nextval('obj_part_id_seq'), (select id from obj_building_v where zip||'|'||street||'|'||name||'|'||volume = '8335|Hermetsbüelweg 8|Hauswartwohnung|1112.00'), 'P6', 1, 90, 2017,'Fernwärme(?)'),</v>
      </c>
    </row>
    <row r="2621" spans="1:8" x14ac:dyDescent="0.25">
      <c r="A2621" s="9" t="s">
        <v>2759</v>
      </c>
      <c r="B2621" s="9" t="s">
        <v>1106</v>
      </c>
      <c r="C2621">
        <v>3</v>
      </c>
      <c r="D2621">
        <v>90</v>
      </c>
      <c r="E2621">
        <v>2017</v>
      </c>
      <c r="F2621" s="9" t="s">
        <v>1571</v>
      </c>
      <c r="H2621" s="20" t="str">
        <f t="shared" si="40"/>
        <v>(nextval('obj_part_id_seq'), (select id from obj_building_v where zip||'|'||street||'|'||name||'|'||volume = '8335|Hermetsbüelweg 8|Hauswartwohnung|1112.00'), 'P7', 3, 90, 2017,'Bodenheizung'),</v>
      </c>
    </row>
    <row r="2622" spans="1:8" x14ac:dyDescent="0.25">
      <c r="A2622" s="9" t="s">
        <v>2759</v>
      </c>
      <c r="B2622" s="9" t="s">
        <v>1135</v>
      </c>
      <c r="C2622">
        <v>2</v>
      </c>
      <c r="D2622">
        <v>90</v>
      </c>
      <c r="E2622">
        <v>2017</v>
      </c>
      <c r="F2622" s="9" t="s">
        <v>2766</v>
      </c>
      <c r="H2622" s="20" t="str">
        <f t="shared" si="40"/>
        <v>(nextval('obj_part_id_seq'), (select id from obj_building_v where zip||'|'||street||'|'||name||'|'||volume = '8335|Hermetsbüelweg 8|Hauswartwohnung|1112.00'), 'P54', 2, 90, 2017,'Bad, WC: Apparate zeitgemäss, Waschmaschine, Boiler'),</v>
      </c>
    </row>
    <row r="2623" spans="1:8" x14ac:dyDescent="0.25">
      <c r="A2623" s="9" t="s">
        <v>2759</v>
      </c>
      <c r="B2623" s="9" t="s">
        <v>1137</v>
      </c>
      <c r="C2623">
        <v>4</v>
      </c>
      <c r="D2623">
        <v>90</v>
      </c>
      <c r="E2623">
        <v>2017</v>
      </c>
      <c r="F2623" s="9" t="s">
        <v>2767</v>
      </c>
      <c r="H2623" s="20" t="str">
        <f t="shared" si="40"/>
        <v>(nextval('obj_part_id_seq'), (select id from obj_building_v where zip||'|'||street||'|'||name||'|'||volume = '8335|Hermetsbüelweg 8|Hauswartwohnung|1112.00'), 'P55', 4, 90, 2017,'Genügender Druck vorhanden, Wasser kann ungehindert ablaufen'),</v>
      </c>
    </row>
    <row r="2624" spans="1:8" x14ac:dyDescent="0.25">
      <c r="A2624" s="9" t="s">
        <v>2759</v>
      </c>
      <c r="B2624" s="9" t="s">
        <v>1138</v>
      </c>
      <c r="C2624">
        <v>10</v>
      </c>
      <c r="D2624">
        <v>90</v>
      </c>
      <c r="E2624">
        <v>2017</v>
      </c>
      <c r="F2624" s="9" t="s">
        <v>2768</v>
      </c>
      <c r="H2624" s="20" t="str">
        <f t="shared" si="40"/>
        <v>(nextval('obj_part_id_seq'), (select id from obj_building_v where zip||'|'||street||'|'||name||'|'||volume = '8335|Hermetsbüelweg 8|Hauswartwohnung|1112.00'), 'P57', 10, 90, 2017,'Einbauschränke, Küche, Treppengeländer (bekletterbar!)'),</v>
      </c>
    </row>
    <row r="2625" spans="1:8" x14ac:dyDescent="0.25">
      <c r="A2625" s="9" t="s">
        <v>2759</v>
      </c>
      <c r="B2625" s="9" t="s">
        <v>1140</v>
      </c>
      <c r="C2625">
        <v>6</v>
      </c>
      <c r="D2625">
        <v>85</v>
      </c>
      <c r="E2625">
        <v>2017</v>
      </c>
      <c r="F2625" s="9" t="s">
        <v>2769</v>
      </c>
      <c r="H2625" s="20" t="str">
        <f t="shared" si="40"/>
        <v>(nextval('obj_part_id_seq'), (select id from obj_building_v where zip||'|'||street||'|'||name||'|'||volume = '8335|Hermetsbüelweg 8|Hauswartwohnung|1112.00'), 'P58', 6, 85, 2017,'D: Putz, Holz\nW: Putz mit Rissen bei fehlendem Trennschnitt, Keramikplatten\nB: Parkett, Keramik, Kunststein'),</v>
      </c>
    </row>
    <row r="2626" spans="1:8" x14ac:dyDescent="0.25">
      <c r="A2626" s="9" t="s">
        <v>2759</v>
      </c>
      <c r="B2626" s="9" t="s">
        <v>1157</v>
      </c>
      <c r="C2626">
        <v>4</v>
      </c>
      <c r="D2626">
        <v>90</v>
      </c>
      <c r="E2626">
        <v>2017</v>
      </c>
      <c r="F2626" s="9" t="s">
        <v>2770</v>
      </c>
      <c r="H2626" s="20" t="str">
        <f t="shared" si="40"/>
        <v>(nextval('obj_part_id_seq'), (select id from obj_building_v where zip||'|'||street||'|'||name||'|'||volume = '8335|Hermetsbüelweg 8|Hauswartwohnung|1112.00'), 'P59', 4, 90, 2017,'Küche original mit Natursteinabdeckung und Glaskeramikkochfelder, funktionstüchig'),</v>
      </c>
    </row>
    <row r="2627" spans="1:8" x14ac:dyDescent="0.25">
      <c r="A2627" s="9" t="s">
        <v>2759</v>
      </c>
      <c r="B2627" s="9" t="s">
        <v>1142</v>
      </c>
      <c r="C2627">
        <v>0</v>
      </c>
      <c r="D2627" t="s">
        <v>4080</v>
      </c>
      <c r="E2627">
        <v>2017</v>
      </c>
      <c r="F2627" s="9"/>
      <c r="H2627" s="20" t="str">
        <f t="shared" si="40"/>
        <v>(nextval('obj_part_id_seq'), (select id from obj_building_v where zip||'|'||street||'|'||name||'|'||volume = '8335|Hermetsbüelweg 8|Hauswartwohnung|1112.00'), 'P60', 0, null, 2017,null),</v>
      </c>
    </row>
    <row r="2628" spans="1:8" x14ac:dyDescent="0.25">
      <c r="A2628" s="9" t="s">
        <v>2759</v>
      </c>
      <c r="B2628" s="9" t="s">
        <v>1143</v>
      </c>
      <c r="C2628">
        <v>0</v>
      </c>
      <c r="D2628" t="s">
        <v>4080</v>
      </c>
      <c r="E2628">
        <v>2017</v>
      </c>
      <c r="F2628" s="9"/>
      <c r="H2628" s="20" t="str">
        <f t="shared" si="40"/>
        <v>(nextval('obj_part_id_seq'), (select id from obj_building_v where zip||'|'||street||'|'||name||'|'||volume = '8335|Hermetsbüelweg 8|Hauswartwohnung|1112.00'), 'P61', 0, null, 2017,null),</v>
      </c>
    </row>
    <row r="2629" spans="1:8" x14ac:dyDescent="0.25">
      <c r="A2629" s="9" t="s">
        <v>2759</v>
      </c>
      <c r="B2629" s="9" t="s">
        <v>1144</v>
      </c>
      <c r="C2629">
        <v>0</v>
      </c>
      <c r="D2629" t="s">
        <v>4080</v>
      </c>
      <c r="E2629">
        <v>2017</v>
      </c>
      <c r="F2629" s="9"/>
      <c r="H2629" s="20" t="str">
        <f t="shared" ref="H2629:H2692" si="41">"(nextval('obj_part_id_seq'), (select id from obj_building_v where zip||'|'||street||'|'||name||'|'||volume = '"&amp;A2629&amp;"'), '"&amp;B2629&amp;"', "&amp;C2629&amp;", "&amp;D2629&amp;", "&amp;IF(ISBLANK(E2629),"null",E2629)&amp;","&amp;IF(ISBLANK(F2629),"null","'"&amp;F2629&amp;"'")&amp;"),"</f>
        <v>(nextval('obj_part_id_seq'), (select id from obj_building_v where zip||'|'||street||'|'||name||'|'||volume = '8335|Hermetsbüelweg 8|Hauswartwohnung|1112.00'), 'P62', 0, null, 2017,null),</v>
      </c>
    </row>
    <row r="2630" spans="1:8" x14ac:dyDescent="0.25">
      <c r="A2630" s="9" t="s">
        <v>2771</v>
      </c>
      <c r="B2630" s="9" t="s">
        <v>1127</v>
      </c>
      <c r="C2630">
        <v>41</v>
      </c>
      <c r="D2630">
        <v>90</v>
      </c>
      <c r="E2630">
        <v>2017</v>
      </c>
      <c r="F2630" s="9" t="s">
        <v>2772</v>
      </c>
      <c r="H2630" s="20" t="str">
        <f t="shared" si="41"/>
        <v>(nextval('obj_part_id_seq'), (select id from obj_building_v where zip||'|'||street||'|'||name||'|'||volume = '8335|Hermetsbüelweg 24|Turnhalle Hermetsbüel|7977.00'), 'P48', 41, 90, 2017,'Stahlbeton, feine Risse in Kellerdecke, tw. mit Rostspuren, Mauerwerk in gutem Zustand'),</v>
      </c>
    </row>
    <row r="2631" spans="1:8" x14ac:dyDescent="0.25">
      <c r="A2631" s="9" t="s">
        <v>2771</v>
      </c>
      <c r="B2631" s="9" t="s">
        <v>1129</v>
      </c>
      <c r="C2631">
        <v>0</v>
      </c>
      <c r="D2631" t="s">
        <v>4080</v>
      </c>
      <c r="E2631">
        <v>2017</v>
      </c>
      <c r="F2631" s="9"/>
      <c r="H2631" s="20" t="str">
        <f t="shared" si="41"/>
        <v>(nextval('obj_part_id_seq'), (select id from obj_building_v where zip||'|'||street||'|'||name||'|'||volume = '8335|Hermetsbüelweg 24|Turnhalle Hermetsbüel|7977.00'), 'P49', 0, null, 2017,null),</v>
      </c>
    </row>
    <row r="2632" spans="1:8" x14ac:dyDescent="0.25">
      <c r="A2632" s="9" t="s">
        <v>2771</v>
      </c>
      <c r="B2632" s="9" t="s">
        <v>1097</v>
      </c>
      <c r="C2632">
        <v>8</v>
      </c>
      <c r="D2632">
        <v>85</v>
      </c>
      <c r="E2632">
        <v>2017</v>
      </c>
      <c r="F2632" s="9" t="s">
        <v>2773</v>
      </c>
      <c r="H2632" s="20" t="str">
        <f t="shared" si="41"/>
        <v>(nextval('obj_part_id_seq'), (select id from obj_building_v where zip||'|'||street||'|'||name||'|'||volume = '8335|Hermetsbüelweg 24|Turnhalle Hermetsbüel|7977.00'), 'P2', 8, 85, 2017,'Dacheindeckung aus Pfannenziegeln, Stirn- und Traufbretter sowie Untersichten stellenweise verwittert'),</v>
      </c>
    </row>
    <row r="2633" spans="1:8" x14ac:dyDescent="0.25">
      <c r="A2633" s="9" t="s">
        <v>2771</v>
      </c>
      <c r="B2633" s="9" t="s">
        <v>1099</v>
      </c>
      <c r="C2633">
        <v>0</v>
      </c>
      <c r="D2633" t="s">
        <v>4080</v>
      </c>
      <c r="E2633">
        <v>2017</v>
      </c>
      <c r="F2633" s="9"/>
      <c r="H2633" s="20" t="str">
        <f t="shared" si="41"/>
        <v>(nextval('obj_part_id_seq'), (select id from obj_building_v where zip||'|'||street||'|'||name||'|'||volume = '8335|Hermetsbüelweg 24|Turnhalle Hermetsbüel|7977.00'), 'P3', 0, null, 2017,null),</v>
      </c>
    </row>
    <row r="2634" spans="1:8" x14ac:dyDescent="0.25">
      <c r="A2634" s="9" t="s">
        <v>2771</v>
      </c>
      <c r="B2634" s="9" t="s">
        <v>1100</v>
      </c>
      <c r="C2634">
        <v>7</v>
      </c>
      <c r="D2634">
        <v>90</v>
      </c>
      <c r="E2634">
        <v>2017</v>
      </c>
      <c r="F2634" s="9" t="s">
        <v>2774</v>
      </c>
      <c r="H2634" s="20" t="str">
        <f t="shared" si="41"/>
        <v>(nextval('obj_part_id_seq'), (select id from obj_building_v where zip||'|'||street||'|'||name||'|'||volume = '8335|Hermetsbüelweg 24|Turnhalle Hermetsbüel|7977.00'), 'P4', 7, 90, 2017,'Holz, hinterlüftet, Mauerwerk, verputzt, ausser Holzflächen (etwas verwittert) ohne Mängel'),</v>
      </c>
    </row>
    <row r="2635" spans="1:8" x14ac:dyDescent="0.25">
      <c r="A2635" s="9" t="s">
        <v>2771</v>
      </c>
      <c r="B2635" s="9" t="s">
        <v>1102</v>
      </c>
      <c r="C2635">
        <v>10</v>
      </c>
      <c r="D2635">
        <v>80</v>
      </c>
      <c r="E2635">
        <v>2017</v>
      </c>
      <c r="F2635" s="9" t="s">
        <v>2775</v>
      </c>
      <c r="H2635" s="20" t="str">
        <f t="shared" si="41"/>
        <v>(nextval('obj_part_id_seq'), (select id from obj_building_v where zip||'|'||street||'|'||name||'|'||volume = '8335|Hermetsbüelweg 24|Turnhalle Hermetsbüel|7977.00'), 'P5', 10, 80, 2017,'Holzfenster mit Dreifachverglasung (original), Dichtungen schadhaft, Metall-Fenster mit Dreifachverglasung, Rafflamellenstoren, Eingangstüre und Fluchttüre Saal aus Metall'),</v>
      </c>
    </row>
    <row r="2636" spans="1:8" x14ac:dyDescent="0.25">
      <c r="A2636" s="9" t="s">
        <v>2771</v>
      </c>
      <c r="B2636" s="9" t="s">
        <v>1164</v>
      </c>
      <c r="C2636">
        <v>6</v>
      </c>
      <c r="D2636">
        <v>85</v>
      </c>
      <c r="E2636">
        <v>2017</v>
      </c>
      <c r="F2636" s="9" t="s">
        <v>2776</v>
      </c>
      <c r="H2636" s="20" t="str">
        <f t="shared" si="41"/>
        <v>(nextval('obj_part_id_seq'), (select id from obj_building_v where zip||'|'||street||'|'||name||'|'||volume = '8335|Hermetsbüelweg 24|Turnhalle Hermetsbüel|7977.00'), 'P50', 6, 85, 2017,'LED-Leuchten in Turnhalle, übrige Installationen (Schalter, Leuchten) älter aber funktionstüchtig, Bühnentechnik wird gerade erneuert'),</v>
      </c>
    </row>
    <row r="2637" spans="1:8" x14ac:dyDescent="0.25">
      <c r="A2637" s="9" t="s">
        <v>2771</v>
      </c>
      <c r="B2637" s="9" t="s">
        <v>1166</v>
      </c>
      <c r="C2637">
        <v>1</v>
      </c>
      <c r="D2637">
        <v>90</v>
      </c>
      <c r="E2637">
        <v>2017</v>
      </c>
      <c r="F2637" s="9" t="s">
        <v>2777</v>
      </c>
      <c r="H2637" s="20" t="str">
        <f t="shared" si="41"/>
        <v>(nextval('obj_part_id_seq'), (select id from obj_building_v where zip||'|'||street||'|'||name||'|'||volume = '8335|Hermetsbüelweg 24|Turnhalle Hermetsbüel|7977.00'), 'P51', 1, 90, 2017,'Audioanlage Turnhalle, Audioanlage Bühne'),</v>
      </c>
    </row>
    <row r="2638" spans="1:8" x14ac:dyDescent="0.25">
      <c r="A2638" s="9" t="s">
        <v>2771</v>
      </c>
      <c r="B2638" s="9" t="s">
        <v>1104</v>
      </c>
      <c r="C2638">
        <v>1</v>
      </c>
      <c r="D2638">
        <v>90</v>
      </c>
      <c r="E2638">
        <v>2017</v>
      </c>
      <c r="F2638" s="9" t="s">
        <v>2778</v>
      </c>
      <c r="H2638" s="20" t="str">
        <f t="shared" si="41"/>
        <v>(nextval('obj_part_id_seq'), (select id from obj_building_v where zip||'|'||street||'|'||name||'|'||volume = '8335|Hermetsbüelweg 24|Turnhalle Hermetsbüel|7977.00'), 'P6', 1, 90, 2017,'Fernwärme, alter Öltank (außer Betrieb)'),</v>
      </c>
    </row>
    <row r="2639" spans="1:8" x14ac:dyDescent="0.25">
      <c r="A2639" s="9" t="s">
        <v>2771</v>
      </c>
      <c r="B2639" s="9" t="s">
        <v>1106</v>
      </c>
      <c r="C2639">
        <v>3</v>
      </c>
      <c r="D2639">
        <v>90</v>
      </c>
      <c r="E2639">
        <v>2017</v>
      </c>
      <c r="F2639" s="9" t="s">
        <v>2779</v>
      </c>
      <c r="H2639" s="20" t="str">
        <f t="shared" si="41"/>
        <v>(nextval('obj_part_id_seq'), (select id from obj_building_v where zip||'|'||street||'|'||name||'|'||volume = '8335|Hermetsbüelweg 24|Turnhalle Hermetsbüel|7977.00'), 'P7', 3, 90, 2017,'Bodenheizung und Lufterwärmung über Lüftung'),</v>
      </c>
    </row>
    <row r="2640" spans="1:8" x14ac:dyDescent="0.25">
      <c r="A2640" s="9" t="s">
        <v>2771</v>
      </c>
      <c r="B2640" s="9" t="s">
        <v>1108</v>
      </c>
      <c r="C2640">
        <v>4</v>
      </c>
      <c r="D2640">
        <v>80</v>
      </c>
      <c r="E2640">
        <v>2017</v>
      </c>
      <c r="F2640" s="9" t="s">
        <v>2780</v>
      </c>
      <c r="H2640" s="20" t="str">
        <f t="shared" si="41"/>
        <v>(nextval('obj_part_id_seq'), (select id from obj_building_v where zip||'|'||street||'|'||name||'|'||volume = '8335|Hermetsbüelweg 24|Turnhalle Hermetsbüel|7977.00'), 'P8', 4, 80, 2017,'Duscharmaturen, WC-Apparate und Fusswaschanlage funktionstüchtig, Wasserschaden (Sanitärinst. hat die Ursache nicht gefunden), Feuerlöschposten'),</v>
      </c>
    </row>
    <row r="2641" spans="1:8" x14ac:dyDescent="0.25">
      <c r="A2641" s="9" t="s">
        <v>2771</v>
      </c>
      <c r="B2641" s="9" t="s">
        <v>1138</v>
      </c>
      <c r="C2641">
        <v>8</v>
      </c>
      <c r="D2641">
        <v>90</v>
      </c>
      <c r="E2641">
        <v>2017</v>
      </c>
      <c r="F2641" s="9" t="s">
        <v>2781</v>
      </c>
      <c r="H2641" s="20" t="str">
        <f t="shared" si="41"/>
        <v>(nextval('obj_part_id_seq'), (select id from obj_building_v where zip||'|'||street||'|'||name||'|'||volume = '8335|Hermetsbüelweg 24|Turnhalle Hermetsbüel|7977.00'), 'P57', 8, 90, 2017,'Bühne, Einbauschränke, Inntüren aus Holz, WC-Trennwände, Sprossenwände Turnhalle'),</v>
      </c>
    </row>
    <row r="2642" spans="1:8" x14ac:dyDescent="0.25">
      <c r="A2642" s="9" t="s">
        <v>2771</v>
      </c>
      <c r="B2642" s="9" t="s">
        <v>1140</v>
      </c>
      <c r="C2642">
        <v>8</v>
      </c>
      <c r="D2642">
        <v>85</v>
      </c>
      <c r="E2642">
        <v>2017</v>
      </c>
      <c r="F2642" s="9" t="s">
        <v>2782</v>
      </c>
      <c r="H2642" s="20" t="str">
        <f t="shared" si="41"/>
        <v>(nextval('obj_part_id_seq'), (select id from obj_building_v where zip||'|'||street||'|'||name||'|'||volume = '8335|Hermetsbüelweg 24|Turnhalle Hermetsbüel|7977.00'), 'P58', 8, 85, 2017,'D: Holz, Zement\nW: Putz, Holz\nB: Klinker, Parkett, Kunststoff, Keramik, Hartbeton (feiner Riss bei Bodenablauf)'),</v>
      </c>
    </row>
    <row r="2643" spans="1:8" x14ac:dyDescent="0.25">
      <c r="A2643" s="9" t="s">
        <v>2771</v>
      </c>
      <c r="B2643" s="9" t="s">
        <v>1142</v>
      </c>
      <c r="C2643">
        <v>0</v>
      </c>
      <c r="D2643" t="s">
        <v>4080</v>
      </c>
      <c r="E2643">
        <v>2017</v>
      </c>
      <c r="F2643" s="9"/>
      <c r="H2643" s="20" t="str">
        <f t="shared" si="41"/>
        <v>(nextval('obj_part_id_seq'), (select id from obj_building_v where zip||'|'||street||'|'||name||'|'||volume = '8335|Hermetsbüelweg 24|Turnhalle Hermetsbüel|7977.00'), 'P60', 0, null, 2017,null),</v>
      </c>
    </row>
    <row r="2644" spans="1:8" x14ac:dyDescent="0.25">
      <c r="A2644" s="9" t="s">
        <v>2771</v>
      </c>
      <c r="B2644" s="9" t="s">
        <v>1143</v>
      </c>
      <c r="C2644">
        <v>3</v>
      </c>
      <c r="D2644">
        <v>70</v>
      </c>
      <c r="E2644">
        <v>2017</v>
      </c>
      <c r="F2644" s="9" t="s">
        <v>2783</v>
      </c>
      <c r="H2644" s="20" t="str">
        <f t="shared" si="41"/>
        <v>(nextval('obj_part_id_seq'), (select id from obj_building_v where zip||'|'||street||'|'||name||'|'||volume = '8335|Hermetsbüelweg 24|Turnhalle Hermetsbüel|7977.00'), 'P61', 3, 70, 2017,'Lüftungsanlage aus Bauzeit (Ersatzteile nur noch begrenzt erhältlich), Haartrockner Garderobe'),</v>
      </c>
    </row>
    <row r="2645" spans="1:8" x14ac:dyDescent="0.25">
      <c r="A2645" s="9" t="s">
        <v>2771</v>
      </c>
      <c r="B2645" s="9" t="s">
        <v>1144</v>
      </c>
      <c r="C2645">
        <v>0</v>
      </c>
      <c r="D2645" t="s">
        <v>4080</v>
      </c>
      <c r="E2645">
        <v>2017</v>
      </c>
      <c r="F2645" s="9"/>
      <c r="H2645" s="20" t="str">
        <f t="shared" si="41"/>
        <v>(nextval('obj_part_id_seq'), (select id from obj_building_v where zip||'|'||street||'|'||name||'|'||volume = '8335|Hermetsbüelweg 24|Turnhalle Hermetsbüel|7977.00'), 'P62', 0, null, 2017,null),</v>
      </c>
    </row>
    <row r="2646" spans="1:8" x14ac:dyDescent="0.25">
      <c r="A2646" s="9" t="s">
        <v>2784</v>
      </c>
      <c r="B2646" s="9" t="s">
        <v>1127</v>
      </c>
      <c r="C2646">
        <v>41</v>
      </c>
      <c r="D2646">
        <v>90</v>
      </c>
      <c r="E2646">
        <v>2017</v>
      </c>
      <c r="F2646" s="9" t="s">
        <v>2785</v>
      </c>
      <c r="H2646" s="20" t="str">
        <f t="shared" si="41"/>
        <v>(nextval('obj_part_id_seq'), (select id from obj_building_v where zip||'|'||street||'|'||name||'|'||volume = '8335|Hermetsbüelweg 9|Dorfschule|5912.00'), 'P48', 41, 90, 2017,'Stahlbeton (Rostflecken in Ecke in UG, ev. von Armierungseisen), Zweischalen-Mauerwerk'),</v>
      </c>
    </row>
    <row r="2647" spans="1:8" x14ac:dyDescent="0.25">
      <c r="A2647" s="9" t="s">
        <v>2784</v>
      </c>
      <c r="B2647" s="9" t="s">
        <v>1129</v>
      </c>
      <c r="C2647">
        <v>0</v>
      </c>
      <c r="D2647" t="s">
        <v>4080</v>
      </c>
      <c r="E2647">
        <v>2017</v>
      </c>
      <c r="F2647" s="9"/>
      <c r="H2647" s="20" t="str">
        <f t="shared" si="41"/>
        <v>(nextval('obj_part_id_seq'), (select id from obj_building_v where zip||'|'||street||'|'||name||'|'||volume = '8335|Hermetsbüelweg 9|Dorfschule|5912.00'), 'P49', 0, null, 2017,null),</v>
      </c>
    </row>
    <row r="2648" spans="1:8" x14ac:dyDescent="0.25">
      <c r="A2648" s="9" t="s">
        <v>2784</v>
      </c>
      <c r="B2648" s="9" t="s">
        <v>1097</v>
      </c>
      <c r="C2648">
        <v>8</v>
      </c>
      <c r="D2648">
        <v>90</v>
      </c>
      <c r="E2648">
        <v>2017</v>
      </c>
      <c r="F2648" s="9" t="s">
        <v>2786</v>
      </c>
      <c r="H2648" s="20" t="str">
        <f t="shared" si="41"/>
        <v>(nextval('obj_part_id_seq'), (select id from obj_building_v where zip||'|'||street||'|'||name||'|'||volume = '8335|Hermetsbüelweg 9|Dorfschule|5912.00'), 'P2', 8, 90, 2017,'Wellblechdach'),</v>
      </c>
    </row>
    <row r="2649" spans="1:8" x14ac:dyDescent="0.25">
      <c r="A2649" s="9" t="s">
        <v>2784</v>
      </c>
      <c r="B2649" s="9" t="s">
        <v>1099</v>
      </c>
      <c r="C2649">
        <v>0</v>
      </c>
      <c r="D2649" t="s">
        <v>4080</v>
      </c>
      <c r="E2649">
        <v>2017</v>
      </c>
      <c r="F2649" s="9"/>
      <c r="H2649" s="20" t="str">
        <f t="shared" si="41"/>
        <v>(nextval('obj_part_id_seq'), (select id from obj_building_v where zip||'|'||street||'|'||name||'|'||volume = '8335|Hermetsbüelweg 9|Dorfschule|5912.00'), 'P3', 0, null, 2017,null),</v>
      </c>
    </row>
    <row r="2650" spans="1:8" x14ac:dyDescent="0.25">
      <c r="A2650" s="9" t="s">
        <v>2784</v>
      </c>
      <c r="B2650" s="9" t="s">
        <v>1100</v>
      </c>
      <c r="C2650">
        <v>7</v>
      </c>
      <c r="D2650">
        <v>80</v>
      </c>
      <c r="E2650">
        <v>2017</v>
      </c>
      <c r="F2650" s="9" t="s">
        <v>2787</v>
      </c>
      <c r="H2650" s="20" t="str">
        <f t="shared" si="41"/>
        <v>(nextval('obj_part_id_seq'), (select id from obj_building_v where zip||'|'||street||'|'||name||'|'||volume = '8335|Hermetsbüelweg 9|Dorfschule|5912.00'), 'P4', 7, 80, 2017,'Hinterlüftete Holzfassade mit Metallfensterbänken und -leibungen, Mauerwerk verputzt (mit tw. grösseren Rissen und verschmutztem Putz), Sichtbeton'),</v>
      </c>
    </row>
    <row r="2651" spans="1:8" x14ac:dyDescent="0.25">
      <c r="A2651" s="9" t="s">
        <v>2784</v>
      </c>
      <c r="B2651" s="9" t="s">
        <v>1102</v>
      </c>
      <c r="C2651">
        <v>10</v>
      </c>
      <c r="D2651">
        <v>90</v>
      </c>
      <c r="E2651">
        <v>2017</v>
      </c>
      <c r="F2651" s="9" t="s">
        <v>2788</v>
      </c>
      <c r="H2651" s="20" t="str">
        <f t="shared" si="41"/>
        <v>(nextval('obj_part_id_seq'), (select id from obj_building_v where zip||'|'||street||'|'||name||'|'||volume = '8335|Hermetsbüelweg 9|Dorfschule|5912.00'), 'P5', 10, 90, 2017,'Holz/Metal mit IV-Verglasung (2002), Rafflamellenstoren, Aussentüre aus Metall'),</v>
      </c>
    </row>
    <row r="2652" spans="1:8" x14ac:dyDescent="0.25">
      <c r="A2652" s="9" t="s">
        <v>2784</v>
      </c>
      <c r="B2652" s="9" t="s">
        <v>1164</v>
      </c>
      <c r="C2652">
        <v>6</v>
      </c>
      <c r="D2652">
        <v>90</v>
      </c>
      <c r="E2652">
        <v>2017</v>
      </c>
      <c r="F2652" s="9" t="s">
        <v>2789</v>
      </c>
      <c r="H2652" s="20" t="str">
        <f t="shared" si="41"/>
        <v>(nextval('obj_part_id_seq'), (select id from obj_building_v where zip||'|'||street||'|'||name||'|'||volume = '8335|Hermetsbüelweg 9|Dorfschule|5912.00'), 'P50', 6, 90, 2017,'Genügende Absicherung, keine Mängel bekannt'),</v>
      </c>
    </row>
    <row r="2653" spans="1:8" x14ac:dyDescent="0.25">
      <c r="A2653" s="9" t="s">
        <v>2784</v>
      </c>
      <c r="B2653" s="9" t="s">
        <v>1166</v>
      </c>
      <c r="C2653">
        <v>1</v>
      </c>
      <c r="D2653">
        <v>90</v>
      </c>
      <c r="E2653">
        <v>2017</v>
      </c>
      <c r="F2653" s="9" t="s">
        <v>2790</v>
      </c>
      <c r="H2653" s="20" t="str">
        <f t="shared" si="41"/>
        <v>(nextval('obj_part_id_seq'), (select id from obj_building_v where zip||'|'||street||'|'||name||'|'||volume = '8335|Hermetsbüelweg 9|Dorfschule|5912.00'), 'P51', 1, 90, 2017,'Audioanlagen, IT-Netz'),</v>
      </c>
    </row>
    <row r="2654" spans="1:8" x14ac:dyDescent="0.25">
      <c r="A2654" s="9" t="s">
        <v>2784</v>
      </c>
      <c r="B2654" s="9" t="s">
        <v>1104</v>
      </c>
      <c r="C2654">
        <v>1</v>
      </c>
      <c r="D2654">
        <v>90</v>
      </c>
      <c r="E2654">
        <v>2017</v>
      </c>
      <c r="F2654" s="9" t="s">
        <v>1235</v>
      </c>
      <c r="H2654" s="20" t="str">
        <f t="shared" si="41"/>
        <v>(nextval('obj_part_id_seq'), (select id from obj_building_v where zip||'|'||street||'|'||name||'|'||volume = '8335|Hermetsbüelweg 9|Dorfschule|5912.00'), 'P6', 1, 90, 2017,'Fernwärme'),</v>
      </c>
    </row>
    <row r="2655" spans="1:8" x14ac:dyDescent="0.25">
      <c r="A2655" s="9" t="s">
        <v>2784</v>
      </c>
      <c r="B2655" s="9" t="s">
        <v>1106</v>
      </c>
      <c r="C2655">
        <v>3</v>
      </c>
      <c r="D2655">
        <v>90</v>
      </c>
      <c r="E2655">
        <v>2017</v>
      </c>
      <c r="F2655" s="9" t="s">
        <v>1669</v>
      </c>
      <c r="H2655" s="20" t="str">
        <f t="shared" si="41"/>
        <v>(nextval('obj_part_id_seq'), (select id from obj_building_v where zip||'|'||street||'|'||name||'|'||volume = '8335|Hermetsbüelweg 9|Dorfschule|5912.00'), 'P7', 3, 90, 2017,'Radiatoren mit Thermostat'),</v>
      </c>
    </row>
    <row r="2656" spans="1:8" x14ac:dyDescent="0.25">
      <c r="A2656" s="9" t="s">
        <v>2784</v>
      </c>
      <c r="B2656" s="9" t="s">
        <v>1108</v>
      </c>
      <c r="C2656">
        <v>4</v>
      </c>
      <c r="D2656">
        <v>90</v>
      </c>
      <c r="E2656">
        <v>2017</v>
      </c>
      <c r="F2656" s="9" t="s">
        <v>2791</v>
      </c>
      <c r="H2656" s="20" t="str">
        <f t="shared" si="41"/>
        <v>(nextval('obj_part_id_seq'), (select id from obj_building_v where zip||'|'||street||'|'||name||'|'||volume = '8335|Hermetsbüelweg 9|Dorfschule|5912.00'), 'P8', 4, 90, 2017,'Genügender Druck vorhanden, Wasser kann ungehindert abfliessen, Leitungen isoliert, Boiler, Tauchpumpe, Enthärtungsanlage'),</v>
      </c>
    </row>
    <row r="2657" spans="1:8" x14ac:dyDescent="0.25">
      <c r="A2657" s="9" t="s">
        <v>2784</v>
      </c>
      <c r="B2657" s="9" t="s">
        <v>1138</v>
      </c>
      <c r="C2657">
        <v>11</v>
      </c>
      <c r="D2657">
        <v>90</v>
      </c>
      <c r="E2657">
        <v>2017</v>
      </c>
      <c r="F2657" s="9" t="s">
        <v>2792</v>
      </c>
      <c r="H2657" s="20" t="str">
        <f t="shared" si="41"/>
        <v>(nextval('obj_part_id_seq'), (select id from obj_building_v where zip||'|'||street||'|'||name||'|'||volume = '8335|Hermetsbüelweg 9|Dorfschule|5912.00'), 'P57', 11, 90, 2017,'Einbauschränke, Windfang'),</v>
      </c>
    </row>
    <row r="2658" spans="1:8" x14ac:dyDescent="0.25">
      <c r="A2658" s="9" t="s">
        <v>2784</v>
      </c>
      <c r="B2658" s="9" t="s">
        <v>1140</v>
      </c>
      <c r="C2658">
        <v>8</v>
      </c>
      <c r="D2658">
        <v>85</v>
      </c>
      <c r="E2658">
        <v>2017</v>
      </c>
      <c r="F2658" s="9" t="s">
        <v>2793</v>
      </c>
      <c r="H2658" s="20" t="str">
        <f t="shared" si="41"/>
        <v>(nextval('obj_part_id_seq'), (select id from obj_building_v where zip||'|'||street||'|'||name||'|'||volume = '8335|Hermetsbüelweg 9|Dorfschule|5912.00'), 'P58', 8, 85, 2017,'D: Akustik, Putz, Beton\nW: Sichtbeton, Putz (einzelne Risse), Gips\nB: Keramikplatten, PVC (Linoleum?), Zementboden (Keller), Schmutzschleuse'),</v>
      </c>
    </row>
    <row r="2659" spans="1:8" x14ac:dyDescent="0.25">
      <c r="A2659" s="9" t="s">
        <v>2784</v>
      </c>
      <c r="B2659" s="9" t="s">
        <v>1142</v>
      </c>
      <c r="C2659">
        <v>0</v>
      </c>
      <c r="D2659" t="s">
        <v>4080</v>
      </c>
      <c r="E2659">
        <v>2017</v>
      </c>
      <c r="F2659" s="9"/>
      <c r="H2659" s="20" t="str">
        <f t="shared" si="41"/>
        <v>(nextval('obj_part_id_seq'), (select id from obj_building_v where zip||'|'||street||'|'||name||'|'||volume = '8335|Hermetsbüelweg 9|Dorfschule|5912.00'), 'P60', 0, null, 2017,null),</v>
      </c>
    </row>
    <row r="2660" spans="1:8" x14ac:dyDescent="0.25">
      <c r="A2660" s="9" t="s">
        <v>2784</v>
      </c>
      <c r="B2660" s="9" t="s">
        <v>1143</v>
      </c>
      <c r="C2660">
        <v>0</v>
      </c>
      <c r="D2660" t="s">
        <v>4080</v>
      </c>
      <c r="E2660">
        <v>2017</v>
      </c>
      <c r="F2660" s="9"/>
      <c r="H2660" s="20" t="str">
        <f t="shared" si="41"/>
        <v>(nextval('obj_part_id_seq'), (select id from obj_building_v where zip||'|'||street||'|'||name||'|'||volume = '8335|Hermetsbüelweg 9|Dorfschule|5912.00'), 'P61', 0, null, 2017,null),</v>
      </c>
    </row>
    <row r="2661" spans="1:8" x14ac:dyDescent="0.25">
      <c r="A2661" s="9" t="s">
        <v>2784</v>
      </c>
      <c r="B2661" s="9" t="s">
        <v>1144</v>
      </c>
      <c r="C2661">
        <v>0</v>
      </c>
      <c r="D2661" t="s">
        <v>4080</v>
      </c>
      <c r="E2661">
        <v>2017</v>
      </c>
      <c r="F2661" s="9"/>
      <c r="H2661" s="20" t="str">
        <f t="shared" si="41"/>
        <v>(nextval('obj_part_id_seq'), (select id from obj_building_v where zip||'|'||street||'|'||name||'|'||volume = '8335|Hermetsbüelweg 9|Dorfschule|5912.00'), 'P62', 0, null, 2017,null),</v>
      </c>
    </row>
    <row r="2662" spans="1:8" x14ac:dyDescent="0.25">
      <c r="A2662" s="9" t="s">
        <v>2794</v>
      </c>
      <c r="B2662" s="9" t="s">
        <v>1127</v>
      </c>
      <c r="C2662">
        <v>39</v>
      </c>
      <c r="D2662">
        <v>90</v>
      </c>
      <c r="E2662">
        <v>2017</v>
      </c>
      <c r="F2662" s="9" t="s">
        <v>2795</v>
      </c>
      <c r="H2662" s="20" t="str">
        <f t="shared" si="41"/>
        <v>(nextval('obj_part_id_seq'), (select id from obj_building_v where zip||'|'||street||'|'||name||'|'||volume = '8335|Wetzikerstrasse 20|Kiga Oberhittnau, Wohnung/Garage|2321.00'), 'P48', 39, 90, 2017,'Mauerwerk mit Holzbalkendecken, im KG mit Metallstütze und -träger'),</v>
      </c>
    </row>
    <row r="2663" spans="1:8" x14ac:dyDescent="0.25">
      <c r="A2663" s="9" t="s">
        <v>2794</v>
      </c>
      <c r="B2663" s="9" t="s">
        <v>1129</v>
      </c>
      <c r="C2663">
        <v>0</v>
      </c>
      <c r="D2663" t="s">
        <v>4080</v>
      </c>
      <c r="E2663">
        <v>2017</v>
      </c>
      <c r="F2663" s="9"/>
      <c r="H2663" s="20" t="str">
        <f t="shared" si="41"/>
        <v>(nextval('obj_part_id_seq'), (select id from obj_building_v where zip||'|'||street||'|'||name||'|'||volume = '8335|Wetzikerstrasse 20|Kiga Oberhittnau, Wohnung/Garage|2321.00'), 'P49', 0, null, 2017,null),</v>
      </c>
    </row>
    <row r="2664" spans="1:8" x14ac:dyDescent="0.25">
      <c r="A2664" s="9" t="s">
        <v>2794</v>
      </c>
      <c r="B2664" s="9" t="s">
        <v>1097</v>
      </c>
      <c r="C2664">
        <v>8</v>
      </c>
      <c r="D2664">
        <v>80</v>
      </c>
      <c r="E2664">
        <v>2017</v>
      </c>
      <c r="F2664" s="9" t="s">
        <v>2796</v>
      </c>
      <c r="H2664" s="20" t="str">
        <f t="shared" si="41"/>
        <v>(nextval('obj_part_id_seq'), (select id from obj_building_v where zip||'|'||street||'|'||name||'|'||volume = '8335|Wetzikerstrasse 20|Kiga Oberhittnau, Wohnung/Garage|2321.00'), 'P2', 8, 80, 2017,'Ziegeldach, Holzwerk stellenweise mit Spuren von Feuchtigkeit, ansonsten trocken, Spuren von Holzfrass an Sparren und Firstpfette, Unterdach aus Brettern, tw. ausgebaut mit Dachzimmer, beheizt'),</v>
      </c>
    </row>
    <row r="2665" spans="1:8" x14ac:dyDescent="0.25">
      <c r="A2665" s="9" t="s">
        <v>2794</v>
      </c>
      <c r="B2665" s="9" t="s">
        <v>1099</v>
      </c>
      <c r="C2665">
        <v>0</v>
      </c>
      <c r="D2665" t="s">
        <v>4080</v>
      </c>
      <c r="E2665">
        <v>2017</v>
      </c>
      <c r="F2665" s="9"/>
      <c r="H2665" s="20" t="str">
        <f t="shared" si="41"/>
        <v>(nextval('obj_part_id_seq'), (select id from obj_building_v where zip||'|'||street||'|'||name||'|'||volume = '8335|Wetzikerstrasse 20|Kiga Oberhittnau, Wohnung/Garage|2321.00'), 'P3', 0, null, 2017,null),</v>
      </c>
    </row>
    <row r="2666" spans="1:8" x14ac:dyDescent="0.25">
      <c r="A2666" s="9" t="s">
        <v>2794</v>
      </c>
      <c r="B2666" s="9" t="s">
        <v>1100</v>
      </c>
      <c r="C2666">
        <v>7</v>
      </c>
      <c r="D2666">
        <v>90</v>
      </c>
      <c r="E2666">
        <v>2017</v>
      </c>
      <c r="F2666" s="9" t="s">
        <v>2797</v>
      </c>
      <c r="H2666" s="20" t="str">
        <f t="shared" si="41"/>
        <v>(nextval('obj_part_id_seq'), (select id from obj_building_v where zip||'|'||street||'|'||name||'|'||volume = '8335|Wetzikerstrasse 20|Kiga Oberhittnau, Wohnung/Garage|2321.00'), 'P4', 7, 90, 2017,'Mauerwerk, verputzt mit Natur- oder Kunssteingewänden und -Friesen, Balkon mit Geländer aus Schmiedeisen'),</v>
      </c>
    </row>
    <row r="2667" spans="1:8" x14ac:dyDescent="0.25">
      <c r="A2667" s="9" t="s">
        <v>2794</v>
      </c>
      <c r="B2667" s="9" t="s">
        <v>1102</v>
      </c>
      <c r="C2667">
        <v>9</v>
      </c>
      <c r="D2667">
        <v>80</v>
      </c>
      <c r="E2667">
        <v>2017</v>
      </c>
      <c r="F2667" s="9" t="s">
        <v>2798</v>
      </c>
      <c r="H2667" s="20" t="str">
        <f t="shared" si="41"/>
        <v>(nextval('obj_part_id_seq'), (select id from obj_building_v where zip||'|'||street||'|'||name||'|'||volume = '8335|Wetzikerstrasse 20|Kiga Oberhittnau, Wohnung/Garage|2321.00'), 'P5', 9, 80, 2017,'Holzfenster (ca. 30-40 Jahre alt), Kunststofffenster mit Doppelverglasung (7.04), Holzrollläden, Eingangstüre aus Holz, möglicherweise aus Bauzeit'),</v>
      </c>
    </row>
    <row r="2668" spans="1:8" x14ac:dyDescent="0.25">
      <c r="A2668" s="9" t="s">
        <v>2794</v>
      </c>
      <c r="B2668" s="9" t="s">
        <v>1110</v>
      </c>
      <c r="C2668">
        <v>4</v>
      </c>
      <c r="D2668">
        <v>80</v>
      </c>
      <c r="E2668">
        <v>2017</v>
      </c>
      <c r="F2668" s="9" t="s">
        <v>2799</v>
      </c>
      <c r="H2668" s="20" t="str">
        <f t="shared" si="41"/>
        <v>(nextval('obj_part_id_seq'), (select id from obj_building_v where zip||'|'||street||'|'||name||'|'||volume = '8335|Wetzikerstrasse 20|Kiga Oberhittnau, Wohnung/Garage|2321.00'), 'P9', 4, 80, 2017,'Leitungen tw. auf Putz, Gegensprechanlage, ältere Beleuchtung im KG'),</v>
      </c>
    </row>
    <row r="2669" spans="1:8" x14ac:dyDescent="0.25">
      <c r="A2669" s="9" t="s">
        <v>2794</v>
      </c>
      <c r="B2669" s="9" t="s">
        <v>1104</v>
      </c>
      <c r="C2669">
        <v>2</v>
      </c>
      <c r="D2669">
        <v>80</v>
      </c>
      <c r="E2669">
        <v>2017</v>
      </c>
      <c r="F2669" s="9" t="s">
        <v>2800</v>
      </c>
      <c r="H2669" s="20" t="str">
        <f t="shared" si="41"/>
        <v>(nextval('obj_part_id_seq'), (select id from obj_building_v where zip||'|'||street||'|'||name||'|'||volume = '8335|Wetzikerstrasse 20|Kiga Oberhittnau, Wohnung/Garage|2321.00'), 'P6', 2, 80, 2017,'Luftwärmepumpe mit alter Ölheizung, Entfeuchter, Kachelöfen'),</v>
      </c>
    </row>
    <row r="2670" spans="1:8" x14ac:dyDescent="0.25">
      <c r="A2670" s="9" t="s">
        <v>2794</v>
      </c>
      <c r="B2670" s="9" t="s">
        <v>1106</v>
      </c>
      <c r="C2670">
        <v>3</v>
      </c>
      <c r="D2670">
        <v>85</v>
      </c>
      <c r="E2670">
        <v>2017</v>
      </c>
      <c r="F2670" s="9" t="s">
        <v>2801</v>
      </c>
      <c r="H2670" s="20" t="str">
        <f t="shared" si="41"/>
        <v>(nextval('obj_part_id_seq'), (select id from obj_building_v where zip||'|'||street||'|'||name||'|'||volume = '8335|Wetzikerstrasse 20|Kiga Oberhittnau, Wohnung/Garage|2321.00'), 'P7', 3, 85, 2017,'Radiatoren mit Thermostaten (tw. defekt)'),</v>
      </c>
    </row>
    <row r="2671" spans="1:8" x14ac:dyDescent="0.25">
      <c r="A2671" s="9" t="s">
        <v>2794</v>
      </c>
      <c r="B2671" s="9" t="s">
        <v>1135</v>
      </c>
      <c r="C2671">
        <v>3</v>
      </c>
      <c r="D2671">
        <v>90</v>
      </c>
      <c r="E2671">
        <v>2017</v>
      </c>
      <c r="F2671" s="9" t="s">
        <v>2802</v>
      </c>
      <c r="H2671" s="20" t="str">
        <f t="shared" si="41"/>
        <v>(nextval('obj_part_id_seq'), (select id from obj_building_v where zip||'|'||street||'|'||name||'|'||volume = '8335|Wetzikerstrasse 20|Kiga Oberhittnau, Wohnung/Garage|2321.00'), 'P54', 3, 90, 2017,'Bad mit Dusche sep. Armaturen und Apparate funktionstüchtig (tw. ohne Mischbatterien), WM neuwertig'),</v>
      </c>
    </row>
    <row r="2672" spans="1:8" x14ac:dyDescent="0.25">
      <c r="A2672" s="9" t="s">
        <v>2794</v>
      </c>
      <c r="B2672" s="9" t="s">
        <v>1137</v>
      </c>
      <c r="C2672">
        <v>4</v>
      </c>
      <c r="D2672">
        <v>90</v>
      </c>
      <c r="E2672">
        <v>2017</v>
      </c>
      <c r="F2672" s="9" t="s">
        <v>2803</v>
      </c>
      <c r="H2672" s="20" t="str">
        <f t="shared" si="41"/>
        <v>(nextval('obj_part_id_seq'), (select id from obj_building_v where zip||'|'||street||'|'||name||'|'||volume = '8335|Wetzikerstrasse 20|Kiga Oberhittnau, Wohnung/Garage|2321.00'), 'P55', 4, 90, 2017,'Leitungen neuwertig, genügend Druck vorhanden, Wasser kann ungehindert abfliessen'),</v>
      </c>
    </row>
    <row r="2673" spans="1:8" x14ac:dyDescent="0.25">
      <c r="A2673" s="9" t="s">
        <v>2794</v>
      </c>
      <c r="B2673" s="9" t="s">
        <v>1155</v>
      </c>
      <c r="C2673">
        <v>0</v>
      </c>
      <c r="D2673" t="s">
        <v>4080</v>
      </c>
      <c r="E2673">
        <v>2017</v>
      </c>
      <c r="F2673" s="9"/>
      <c r="H2673" s="20" t="str">
        <f t="shared" si="41"/>
        <v>(nextval('obj_part_id_seq'), (select id from obj_building_v where zip||'|'||street||'|'||name||'|'||volume = '8335|Wetzikerstrasse 20|Kiga Oberhittnau, Wohnung/Garage|2321.00'), 'P56', 0, null, 2017,null),</v>
      </c>
    </row>
    <row r="2674" spans="1:8" x14ac:dyDescent="0.25">
      <c r="A2674" s="9" t="s">
        <v>2794</v>
      </c>
      <c r="B2674" s="9" t="s">
        <v>1138</v>
      </c>
      <c r="C2674">
        <v>9</v>
      </c>
      <c r="D2674">
        <v>90</v>
      </c>
      <c r="E2674">
        <v>2017</v>
      </c>
      <c r="F2674" s="9" t="s">
        <v>2804</v>
      </c>
      <c r="H2674" s="20" t="str">
        <f t="shared" si="41"/>
        <v>(nextval('obj_part_id_seq'), (select id from obj_building_v where zip||'|'||street||'|'||name||'|'||volume = '8335|Wetzikerstrasse 20|Kiga Oberhittnau, Wohnung/Garage|2321.00'), 'P57', 9, 90, 2017,'Einbauschränke, Innentüren aus Holz mit Holzrahmen und inneren Verglasungen, Simse und Gewände aus Holz, Geländer aus Metall mit Holzhandläufen, Garderobenbänke und -haken, neuere Metalltreppe mit Verglasung und Geländer'),</v>
      </c>
    </row>
    <row r="2675" spans="1:8" x14ac:dyDescent="0.25">
      <c r="A2675" s="9" t="s">
        <v>2794</v>
      </c>
      <c r="B2675" s="9" t="s">
        <v>1140</v>
      </c>
      <c r="C2675">
        <v>8</v>
      </c>
      <c r="D2675">
        <v>85</v>
      </c>
      <c r="E2675">
        <v>2017</v>
      </c>
      <c r="F2675" s="9" t="s">
        <v>2805</v>
      </c>
      <c r="H2675" s="20" t="str">
        <f t="shared" si="41"/>
        <v>(nextval('obj_part_id_seq'), (select id from obj_building_v where zip||'|'||street||'|'||name||'|'||volume = '8335|Wetzikerstrasse 20|Kiga Oberhittnau, Wohnung/Garage|2321.00'), 'P58', 8, 85, 2017,'D: verputzt\nW: Putz tw. mit Rissen bei Anschluss an Decke, Holztäferung\nB: PVC/Linoleum, Naturstein, Porphyrplatten, Holzplatten, Holzkarton (Estrich), Parkett Fischgrat und Langriemen, Teppich'),</v>
      </c>
    </row>
    <row r="2676" spans="1:8" x14ac:dyDescent="0.25">
      <c r="A2676" s="9" t="s">
        <v>2794</v>
      </c>
      <c r="B2676" s="9" t="s">
        <v>1157</v>
      </c>
      <c r="C2676">
        <v>4</v>
      </c>
      <c r="D2676">
        <v>90</v>
      </c>
      <c r="E2676">
        <v>2017</v>
      </c>
      <c r="F2676" s="9" t="s">
        <v>2806</v>
      </c>
      <c r="H2676" s="20" t="str">
        <f t="shared" si="41"/>
        <v>(nextval('obj_part_id_seq'), (select id from obj_building_v where zip||'|'||street||'|'||name||'|'||volume = '8335|Wetzikerstrasse 20|Kiga Oberhittnau, Wohnung/Garage|2321.00'), 'P59', 4, 90, 2017,'Einfache Küche mit Geschirrspüler, Chromstahlbecken'),</v>
      </c>
    </row>
    <row r="2677" spans="1:8" x14ac:dyDescent="0.25">
      <c r="A2677" s="9" t="s">
        <v>2794</v>
      </c>
      <c r="B2677" s="9" t="s">
        <v>1142</v>
      </c>
      <c r="C2677">
        <v>0</v>
      </c>
      <c r="D2677" t="s">
        <v>4080</v>
      </c>
      <c r="E2677">
        <v>2017</v>
      </c>
      <c r="F2677" s="9"/>
      <c r="H2677" s="20" t="str">
        <f t="shared" si="41"/>
        <v>(nextval('obj_part_id_seq'), (select id from obj_building_v where zip||'|'||street||'|'||name||'|'||volume = '8335|Wetzikerstrasse 20|Kiga Oberhittnau, Wohnung/Garage|2321.00'), 'P60', 0, null, 2017,null),</v>
      </c>
    </row>
    <row r="2678" spans="1:8" x14ac:dyDescent="0.25">
      <c r="A2678" s="9" t="s">
        <v>2794</v>
      </c>
      <c r="B2678" s="9" t="s">
        <v>1143</v>
      </c>
      <c r="C2678">
        <v>0</v>
      </c>
      <c r="D2678" t="s">
        <v>4080</v>
      </c>
      <c r="E2678">
        <v>2017</v>
      </c>
      <c r="F2678" s="9"/>
      <c r="H2678" s="20" t="str">
        <f t="shared" si="41"/>
        <v>(nextval('obj_part_id_seq'), (select id from obj_building_v where zip||'|'||street||'|'||name||'|'||volume = '8335|Wetzikerstrasse 20|Kiga Oberhittnau, Wohnung/Garage|2321.00'), 'P61', 0, null, 2017,null),</v>
      </c>
    </row>
    <row r="2679" spans="1:8" x14ac:dyDescent="0.25">
      <c r="A2679" s="9" t="s">
        <v>2794</v>
      </c>
      <c r="B2679" s="9" t="s">
        <v>1144</v>
      </c>
      <c r="C2679">
        <v>0</v>
      </c>
      <c r="D2679" t="s">
        <v>4080</v>
      </c>
      <c r="E2679">
        <v>2017</v>
      </c>
      <c r="F2679" s="9"/>
      <c r="H2679" s="20" t="str">
        <f t="shared" si="41"/>
        <v>(nextval('obj_part_id_seq'), (select id from obj_building_v where zip||'|'||street||'|'||name||'|'||volume = '8335|Wetzikerstrasse 20|Kiga Oberhittnau, Wohnung/Garage|2321.00'), 'P62', 0, null, 2017,null),</v>
      </c>
    </row>
    <row r="2680" spans="1:8" x14ac:dyDescent="0.25">
      <c r="A2680" s="9" t="s">
        <v>2807</v>
      </c>
      <c r="B2680" s="9" t="s">
        <v>1127</v>
      </c>
      <c r="C2680">
        <v>37</v>
      </c>
      <c r="D2680">
        <v>90</v>
      </c>
      <c r="E2680">
        <v>2017</v>
      </c>
      <c r="F2680" s="9" t="s">
        <v>1787</v>
      </c>
      <c r="H2680" s="20" t="str">
        <f t="shared" si="41"/>
        <v>(nextval('obj_part_id_seq'), (select id from obj_building_v where zip||'|'||street||'|'||name||'|'||volume = '8335|Jakob Stutz-Str. 7|Kiga Unterhittnau und Wohnung|1449.00'), 'P48', 37, 90, 2017,'Mauerwerk mit Holzbalkendecken'),</v>
      </c>
    </row>
    <row r="2681" spans="1:8" x14ac:dyDescent="0.25">
      <c r="A2681" s="9" t="s">
        <v>2807</v>
      </c>
      <c r="B2681" s="9" t="s">
        <v>1129</v>
      </c>
      <c r="C2681">
        <v>0</v>
      </c>
      <c r="D2681" t="s">
        <v>4080</v>
      </c>
      <c r="E2681">
        <v>2017</v>
      </c>
      <c r="F2681" s="9"/>
      <c r="H2681" s="20" t="str">
        <f t="shared" si="41"/>
        <v>(nextval('obj_part_id_seq'), (select id from obj_building_v where zip||'|'||street||'|'||name||'|'||volume = '8335|Jakob Stutz-Str. 7|Kiga Unterhittnau und Wohnung|1449.00'), 'P49', 0, null, 2017,null),</v>
      </c>
    </row>
    <row r="2682" spans="1:8" x14ac:dyDescent="0.25">
      <c r="A2682" s="9" t="s">
        <v>2807</v>
      </c>
      <c r="B2682" s="9" t="s">
        <v>1097</v>
      </c>
      <c r="C2682">
        <v>8</v>
      </c>
      <c r="D2682">
        <v>90</v>
      </c>
      <c r="E2682">
        <v>2017</v>
      </c>
      <c r="F2682" s="9" t="s">
        <v>2808</v>
      </c>
      <c r="H2682" s="20" t="str">
        <f t="shared" si="41"/>
        <v>(nextval('obj_part_id_seq'), (select id from obj_building_v where zip||'|'||street||'|'||name||'|'||volume = '8335|Jakob Stutz-Str. 7|Kiga Unterhittnau und Wohnung|1449.00'), 'P2', 8, 90, 2017,'Ziegeldach, Dachfenster (Holz) mit Spuren am Rahmen von Kondenswasser, ausgebauter Dachraum, Holzwerk trocken und schadlos, Dachuntersichten schadlos'),</v>
      </c>
    </row>
    <row r="2683" spans="1:8" x14ac:dyDescent="0.25">
      <c r="A2683" s="9" t="s">
        <v>2807</v>
      </c>
      <c r="B2683" s="9" t="s">
        <v>1099</v>
      </c>
      <c r="C2683">
        <v>0</v>
      </c>
      <c r="D2683" t="s">
        <v>4080</v>
      </c>
      <c r="E2683">
        <v>2017</v>
      </c>
      <c r="F2683" s="9"/>
      <c r="H2683" s="20" t="str">
        <f t="shared" si="41"/>
        <v>(nextval('obj_part_id_seq'), (select id from obj_building_v where zip||'|'||street||'|'||name||'|'||volume = '8335|Jakob Stutz-Str. 7|Kiga Unterhittnau und Wohnung|1449.00'), 'P3', 0, null, 2017,null),</v>
      </c>
    </row>
    <row r="2684" spans="1:8" x14ac:dyDescent="0.25">
      <c r="A2684" s="9" t="s">
        <v>2807</v>
      </c>
      <c r="B2684" s="9" t="s">
        <v>1100</v>
      </c>
      <c r="C2684">
        <v>7</v>
      </c>
      <c r="D2684">
        <v>90</v>
      </c>
      <c r="E2684">
        <v>2017</v>
      </c>
      <c r="F2684" s="9" t="s">
        <v>2809</v>
      </c>
      <c r="H2684" s="20" t="str">
        <f t="shared" si="41"/>
        <v>(nextval('obj_part_id_seq'), (select id from obj_building_v where zip||'|'||street||'|'||name||'|'||volume = '8335|Jakob Stutz-Str. 7|Kiga Unterhittnau und Wohnung|1449.00'), 'P4', 7, 90, 2017,'Mauerwerk, verputzt, Balkon mit Geländer aus Holz'),</v>
      </c>
    </row>
    <row r="2685" spans="1:8" x14ac:dyDescent="0.25">
      <c r="A2685" s="9" t="s">
        <v>2807</v>
      </c>
      <c r="B2685" s="9" t="s">
        <v>1102</v>
      </c>
      <c r="C2685">
        <v>11</v>
      </c>
      <c r="D2685">
        <v>90</v>
      </c>
      <c r="E2685">
        <v>2017</v>
      </c>
      <c r="F2685" s="9" t="s">
        <v>2810</v>
      </c>
      <c r="H2685" s="20" t="str">
        <f t="shared" si="41"/>
        <v>(nextval('obj_part_id_seq'), (select id from obj_building_v where zip||'|'||street||'|'||name||'|'||volume = '8335|Jakob Stutz-Str. 7|Kiga Unterhittnau und Wohnung|1449.00'), 'P5', 11, 90, 2017,'Kunststofffenster mit IV-Verglasung, Alufensterläden'),</v>
      </c>
    </row>
    <row r="2686" spans="1:8" x14ac:dyDescent="0.25">
      <c r="A2686" s="9" t="s">
        <v>2807</v>
      </c>
      <c r="B2686" s="9" t="s">
        <v>1110</v>
      </c>
      <c r="C2686">
        <v>4</v>
      </c>
      <c r="D2686">
        <v>80</v>
      </c>
      <c r="E2686">
        <v>2017</v>
      </c>
      <c r="F2686" s="9" t="s">
        <v>2811</v>
      </c>
      <c r="H2686" s="20" t="str">
        <f t="shared" si="41"/>
        <v>(nextval('obj_part_id_seq'), (select id from obj_building_v where zip||'|'||street||'|'||name||'|'||volume = '8335|Jakob Stutz-Str. 7|Kiga Unterhittnau und Wohnung|1449.00'), 'P9', 4, 80, 2017,'Genügende Absicherung, tw. Aufputzleitungen, FI-Schutzschalter vorh.'),</v>
      </c>
    </row>
    <row r="2687" spans="1:8" x14ac:dyDescent="0.25">
      <c r="A2687" s="9" t="s">
        <v>2807</v>
      </c>
      <c r="B2687" s="9" t="s">
        <v>1104</v>
      </c>
      <c r="C2687">
        <v>2</v>
      </c>
      <c r="D2687">
        <v>90</v>
      </c>
      <c r="E2687">
        <v>2017</v>
      </c>
      <c r="F2687" s="9" t="s">
        <v>2812</v>
      </c>
      <c r="H2687" s="20" t="str">
        <f t="shared" si="41"/>
        <v>(nextval('obj_part_id_seq'), (select id from obj_building_v where zip||'|'||street||'|'||name||'|'||volume = '8335|Jakob Stutz-Str. 7|Kiga Unterhittnau und Wohnung|1449.00'), 'P6', 2, 90, 2017,'Wärmepumpe mit Wärmeabgabe an KGSonne'),</v>
      </c>
    </row>
    <row r="2688" spans="1:8" x14ac:dyDescent="0.25">
      <c r="A2688" s="9" t="s">
        <v>2807</v>
      </c>
      <c r="B2688" s="9" t="s">
        <v>1106</v>
      </c>
      <c r="C2688">
        <v>3</v>
      </c>
      <c r="D2688">
        <v>90</v>
      </c>
      <c r="E2688">
        <v>2017</v>
      </c>
      <c r="F2688" s="9" t="s">
        <v>1107</v>
      </c>
      <c r="H2688" s="20" t="str">
        <f t="shared" si="41"/>
        <v>(nextval('obj_part_id_seq'), (select id from obj_building_v where zip||'|'||street||'|'||name||'|'||volume = '8335|Jakob Stutz-Str. 7|Kiga Unterhittnau und Wohnung|1449.00'), 'P7', 3, 90, 2017,'Radiatoren mit Thermostaten'),</v>
      </c>
    </row>
    <row r="2689" spans="1:8" x14ac:dyDescent="0.25">
      <c r="A2689" s="9" t="s">
        <v>2807</v>
      </c>
      <c r="B2689" s="9" t="s">
        <v>1135</v>
      </c>
      <c r="C2689">
        <v>3</v>
      </c>
      <c r="D2689">
        <v>90</v>
      </c>
      <c r="E2689">
        <v>2017</v>
      </c>
      <c r="F2689" s="9" t="s">
        <v>2813</v>
      </c>
      <c r="H2689" s="20" t="str">
        <f t="shared" si="41"/>
        <v>(nextval('obj_part_id_seq'), (select id from obj_building_v where zip||'|'||street||'|'||name||'|'||volume = '8335|Jakob Stutz-Str. 7|Kiga Unterhittnau und Wohnung|1449.00'), 'P54', 3, 90, 2017,'WC-Anlage: Apparate zeitgemäss und funktionstüchtig, Boiler'),</v>
      </c>
    </row>
    <row r="2690" spans="1:8" x14ac:dyDescent="0.25">
      <c r="A2690" s="9" t="s">
        <v>2807</v>
      </c>
      <c r="B2690" s="9" t="s">
        <v>1137</v>
      </c>
      <c r="C2690">
        <v>4</v>
      </c>
      <c r="D2690">
        <v>80</v>
      </c>
      <c r="E2690">
        <v>2017</v>
      </c>
      <c r="F2690" s="9" t="s">
        <v>2814</v>
      </c>
      <c r="H2690" s="20" t="str">
        <f t="shared" si="41"/>
        <v>(nextval('obj_part_id_seq'), (select id from obj_building_v where zip||'|'||street||'|'||name||'|'||volume = '8335|Jakob Stutz-Str. 7|Kiga Unterhittnau und Wohnung|1449.00'), 'P55', 4, 80, 2017,'Leitungsdruck ist schwach'),</v>
      </c>
    </row>
    <row r="2691" spans="1:8" x14ac:dyDescent="0.25">
      <c r="A2691" s="9" t="s">
        <v>2807</v>
      </c>
      <c r="B2691" s="9" t="s">
        <v>1155</v>
      </c>
      <c r="C2691">
        <v>0</v>
      </c>
      <c r="D2691" t="s">
        <v>4080</v>
      </c>
      <c r="E2691">
        <v>2017</v>
      </c>
      <c r="F2691" s="9"/>
      <c r="H2691" s="20" t="str">
        <f t="shared" si="41"/>
        <v>(nextval('obj_part_id_seq'), (select id from obj_building_v where zip||'|'||street||'|'||name||'|'||volume = '8335|Jakob Stutz-Str. 7|Kiga Unterhittnau und Wohnung|1449.00'), 'P56', 0, null, 2017,null),</v>
      </c>
    </row>
    <row r="2692" spans="1:8" x14ac:dyDescent="0.25">
      <c r="A2692" s="9" t="s">
        <v>2807</v>
      </c>
      <c r="B2692" s="9" t="s">
        <v>1138</v>
      </c>
      <c r="C2692">
        <v>9</v>
      </c>
      <c r="D2692">
        <v>90</v>
      </c>
      <c r="E2692">
        <v>2017</v>
      </c>
      <c r="F2692" s="9" t="s">
        <v>2815</v>
      </c>
      <c r="H2692" s="20" t="str">
        <f t="shared" si="41"/>
        <v>(nextval('obj_part_id_seq'), (select id from obj_building_v where zip||'|'||street||'|'||name||'|'||volume = '8335|Jakob Stutz-Str. 7|Kiga Unterhittnau und Wohnung|1449.00'), 'P57', 9, 90, 2017,'Einbauschränke, Garderobenbänke und -simse aus Holz, WC-Trennwände, Vorhänge, Treppengeländer aus Holz (zu niedrig)'),</v>
      </c>
    </row>
    <row r="2693" spans="1:8" x14ac:dyDescent="0.25">
      <c r="A2693" s="9" t="s">
        <v>2807</v>
      </c>
      <c r="B2693" s="9" t="s">
        <v>1140</v>
      </c>
      <c r="C2693">
        <v>8</v>
      </c>
      <c r="D2693">
        <v>80</v>
      </c>
      <c r="E2693">
        <v>2017</v>
      </c>
      <c r="F2693" s="9" t="s">
        <v>2816</v>
      </c>
      <c r="H2693" s="20" t="str">
        <f t="shared" ref="H2693:H2756" si="42">"(nextval('obj_part_id_seq'), (select id from obj_building_v where zip||'|'||street||'|'||name||'|'||volume = '"&amp;A2693&amp;"'), '"&amp;B2693&amp;"', "&amp;C2693&amp;", "&amp;D2693&amp;", "&amp;IF(ISBLANK(E2693),"null",E2693)&amp;","&amp;IF(ISBLANK(F2693),"null","'"&amp;F2693&amp;"'")&amp;"),"</f>
        <v>(nextval('obj_part_id_seq'), (select id from obj_building_v where zip||'|'||street||'|'||name||'|'||volume = '8335|Jakob Stutz-Str. 7|Kiga Unterhittnau und Wohnung|1449.00'), 'P58', 8, 80, 2017,'D: Putz (tw. mit Rissen), Holzkassetten, gestrichen, Gipskartonplatten, gestrichen\nW: Putz (tw. Risse), Holzverkleidungen, gestrichen\nB: Linoleum, Keramik, Holzboden, Steinplatten, Parkettboden, Laminat, Teppich'),</v>
      </c>
    </row>
    <row r="2694" spans="1:8" x14ac:dyDescent="0.25">
      <c r="A2694" s="9" t="s">
        <v>2807</v>
      </c>
      <c r="B2694" s="9" t="s">
        <v>1157</v>
      </c>
      <c r="C2694">
        <v>4</v>
      </c>
      <c r="D2694">
        <v>90</v>
      </c>
      <c r="E2694">
        <v>2017</v>
      </c>
      <c r="F2694" s="9" t="s">
        <v>2817</v>
      </c>
      <c r="H2694" s="20" t="str">
        <f t="shared" si="42"/>
        <v>(nextval('obj_part_id_seq'), (select id from obj_building_v where zip||'|'||street||'|'||name||'|'||volume = '8335|Jakob Stutz-Str. 7|Kiga Unterhittnau und Wohnung|1449.00'), 'P59', 4, 90, 2017,'Küche mit Glaskeramikkochfeld und Geschirrspüler, neuwertig'),</v>
      </c>
    </row>
    <row r="2695" spans="1:8" x14ac:dyDescent="0.25">
      <c r="A2695" s="9" t="s">
        <v>2807</v>
      </c>
      <c r="B2695" s="9" t="s">
        <v>1142</v>
      </c>
      <c r="C2695">
        <v>0</v>
      </c>
      <c r="D2695" t="s">
        <v>4080</v>
      </c>
      <c r="E2695">
        <v>2017</v>
      </c>
      <c r="F2695" s="9"/>
      <c r="H2695" s="20" t="str">
        <f t="shared" si="42"/>
        <v>(nextval('obj_part_id_seq'), (select id from obj_building_v where zip||'|'||street||'|'||name||'|'||volume = '8335|Jakob Stutz-Str. 7|Kiga Unterhittnau und Wohnung|1449.00'), 'P60', 0, null, 2017,null),</v>
      </c>
    </row>
    <row r="2696" spans="1:8" x14ac:dyDescent="0.25">
      <c r="A2696" s="9" t="s">
        <v>2807</v>
      </c>
      <c r="B2696" s="9" t="s">
        <v>1143</v>
      </c>
      <c r="C2696">
        <v>0</v>
      </c>
      <c r="D2696" t="s">
        <v>4080</v>
      </c>
      <c r="E2696">
        <v>2017</v>
      </c>
      <c r="F2696" s="9"/>
      <c r="H2696" s="20" t="str">
        <f t="shared" si="42"/>
        <v>(nextval('obj_part_id_seq'), (select id from obj_building_v where zip||'|'||street||'|'||name||'|'||volume = '8335|Jakob Stutz-Str. 7|Kiga Unterhittnau und Wohnung|1449.00'), 'P61', 0, null, 2017,null),</v>
      </c>
    </row>
    <row r="2697" spans="1:8" x14ac:dyDescent="0.25">
      <c r="A2697" s="9" t="s">
        <v>2807</v>
      </c>
      <c r="B2697" s="9" t="s">
        <v>1144</v>
      </c>
      <c r="C2697">
        <v>0</v>
      </c>
      <c r="D2697" t="s">
        <v>4080</v>
      </c>
      <c r="E2697">
        <v>2017</v>
      </c>
      <c r="F2697" s="9"/>
      <c r="H2697" s="20" t="str">
        <f t="shared" si="42"/>
        <v>(nextval('obj_part_id_seq'), (select id from obj_building_v where zip||'|'||street||'|'||name||'|'||volume = '8335|Jakob Stutz-Str. 7|Kiga Unterhittnau und Wohnung|1449.00'), 'P62', 0, null, 2017,null),</v>
      </c>
    </row>
    <row r="2698" spans="1:8" x14ac:dyDescent="0.25">
      <c r="A2698" s="9" t="s">
        <v>2818</v>
      </c>
      <c r="B2698" s="9" t="s">
        <v>1127</v>
      </c>
      <c r="C2698">
        <v>26</v>
      </c>
      <c r="D2698">
        <v>90</v>
      </c>
      <c r="E2698">
        <v>2017</v>
      </c>
      <c r="F2698" s="9" t="s">
        <v>2819</v>
      </c>
      <c r="H2698" s="20" t="str">
        <f t="shared" si="42"/>
        <v>(nextval('obj_part_id_seq'), (select id from obj_building_v where zip||'|'||street||'|'||name||'|'||volume = '8335|Jakob Stutz-Str 7A|Kiga Sonne|867.00'), 'P48', 26, 90, 2017,'Holzbau, Kellerraum aus Stahlbeton'),</v>
      </c>
    </row>
    <row r="2699" spans="1:8" x14ac:dyDescent="0.25">
      <c r="A2699" s="9" t="s">
        <v>2818</v>
      </c>
      <c r="B2699" s="9" t="s">
        <v>1129</v>
      </c>
      <c r="C2699">
        <v>0</v>
      </c>
      <c r="D2699" t="s">
        <v>4080</v>
      </c>
      <c r="E2699">
        <v>2017</v>
      </c>
      <c r="F2699" s="9"/>
      <c r="H2699" s="20" t="str">
        <f t="shared" si="42"/>
        <v>(nextval('obj_part_id_seq'), (select id from obj_building_v where zip||'|'||street||'|'||name||'|'||volume = '8335|Jakob Stutz-Str 7A|Kiga Sonne|867.00'), 'P49', 0, null, 2017,null),</v>
      </c>
    </row>
    <row r="2700" spans="1:8" x14ac:dyDescent="0.25">
      <c r="A2700" s="9" t="s">
        <v>2818</v>
      </c>
      <c r="B2700" s="9" t="s">
        <v>1097</v>
      </c>
      <c r="C2700">
        <v>20</v>
      </c>
      <c r="D2700">
        <v>85</v>
      </c>
      <c r="E2700">
        <v>2017</v>
      </c>
      <c r="F2700" s="9" t="s">
        <v>2820</v>
      </c>
      <c r="H2700" s="20" t="str">
        <f t="shared" si="42"/>
        <v>(nextval('obj_part_id_seq'), (select id from obj_building_v where zip||'|'||street||'|'||name||'|'||volume = '8335|Jakob Stutz-Str 7A|Kiga Sonne|867.00'), 'P2', 20, 85, 2017,'Ziegeldach, Dachfenster, Spuren von Holzfrass im Bereich der Firstpfette sichtbar (Kontrolle erforderlich!), Dachrinnen mängelfrei'),</v>
      </c>
    </row>
    <row r="2701" spans="1:8" x14ac:dyDescent="0.25">
      <c r="A2701" s="9" t="s">
        <v>2818</v>
      </c>
      <c r="B2701" s="9" t="s">
        <v>1099</v>
      </c>
      <c r="C2701">
        <v>0</v>
      </c>
      <c r="D2701" t="s">
        <v>4080</v>
      </c>
      <c r="E2701">
        <v>2017</v>
      </c>
      <c r="F2701" s="9"/>
      <c r="H2701" s="20" t="str">
        <f t="shared" si="42"/>
        <v>(nextval('obj_part_id_seq'), (select id from obj_building_v where zip||'|'||street||'|'||name||'|'||volume = '8335|Jakob Stutz-Str 7A|Kiga Sonne|867.00'), 'P3', 0, null, 2017,null),</v>
      </c>
    </row>
    <row r="2702" spans="1:8" x14ac:dyDescent="0.25">
      <c r="A2702" s="9" t="s">
        <v>2818</v>
      </c>
      <c r="B2702" s="9" t="s">
        <v>1100</v>
      </c>
      <c r="C2702">
        <v>8</v>
      </c>
      <c r="D2702">
        <v>90</v>
      </c>
      <c r="E2702">
        <v>2017</v>
      </c>
      <c r="F2702" s="9" t="s">
        <v>1305</v>
      </c>
      <c r="H2702" s="20" t="str">
        <f t="shared" si="42"/>
        <v>(nextval('obj_part_id_seq'), (select id from obj_building_v where zip||'|'||street||'|'||name||'|'||volume = '8335|Jakob Stutz-Str 7A|Kiga Sonne|867.00'), 'P4', 8, 90, 2017,'Holz'),</v>
      </c>
    </row>
    <row r="2703" spans="1:8" x14ac:dyDescent="0.25">
      <c r="A2703" s="9" t="s">
        <v>2818</v>
      </c>
      <c r="B2703" s="9" t="s">
        <v>1102</v>
      </c>
      <c r="C2703">
        <v>14</v>
      </c>
      <c r="D2703">
        <v>90</v>
      </c>
      <c r="E2703">
        <v>2017</v>
      </c>
      <c r="F2703" s="9" t="s">
        <v>2821</v>
      </c>
      <c r="H2703" s="20" t="str">
        <f t="shared" si="42"/>
        <v>(nextval('obj_part_id_seq'), (select id from obj_building_v where zip||'|'||street||'|'||name||'|'||volume = '8335|Jakob Stutz-Str 7A|Kiga Sonne|867.00'), 'P5', 14, 90, 2017,'Holzfenster mit IV-Doppelverglasung'),</v>
      </c>
    </row>
    <row r="2704" spans="1:8" x14ac:dyDescent="0.25">
      <c r="A2704" s="9" t="s">
        <v>2818</v>
      </c>
      <c r="B2704" s="9" t="s">
        <v>1110</v>
      </c>
      <c r="C2704">
        <v>4</v>
      </c>
      <c r="D2704">
        <v>90</v>
      </c>
      <c r="E2704">
        <v>2017</v>
      </c>
      <c r="F2704" s="9" t="s">
        <v>2822</v>
      </c>
      <c r="H2704" s="20" t="str">
        <f t="shared" si="42"/>
        <v>(nextval('obj_part_id_seq'), (select id from obj_building_v where zip||'|'||street||'|'||name||'|'||volume = '8335|Jakob Stutz-Str 7A|Kiga Sonne|867.00'), 'P9', 4, 90, 2017,'Genügende Absicherung vorhanden, FI-Schutzschalter'),</v>
      </c>
    </row>
    <row r="2705" spans="1:8" x14ac:dyDescent="0.25">
      <c r="A2705" s="9" t="s">
        <v>2818</v>
      </c>
      <c r="B2705" s="9" t="s">
        <v>1104</v>
      </c>
      <c r="C2705">
        <v>1</v>
      </c>
      <c r="D2705">
        <v>90</v>
      </c>
      <c r="E2705">
        <v>2017</v>
      </c>
      <c r="F2705" s="9" t="s">
        <v>2823</v>
      </c>
      <c r="H2705" s="20" t="str">
        <f t="shared" si="42"/>
        <v>(nextval('obj_part_id_seq'), (select id from obj_building_v where zip||'|'||street||'|'||name||'|'||volume = '8335|Jakob Stutz-Str 7A|Kiga Sonne|867.00'), 'P6', 1, 90, 2017,'Fernwärme (von KG Unterhittnau)'),</v>
      </c>
    </row>
    <row r="2706" spans="1:8" x14ac:dyDescent="0.25">
      <c r="A2706" s="9" t="s">
        <v>2818</v>
      </c>
      <c r="B2706" s="9" t="s">
        <v>1106</v>
      </c>
      <c r="C2706">
        <v>3</v>
      </c>
      <c r="D2706">
        <v>90</v>
      </c>
      <c r="E2706">
        <v>2017</v>
      </c>
      <c r="F2706" s="9" t="s">
        <v>2824</v>
      </c>
      <c r="H2706" s="20" t="str">
        <f t="shared" si="42"/>
        <v>(nextval('obj_part_id_seq'), (select id from obj_building_v where zip||'|'||street||'|'||name||'|'||volume = '8335|Jakob Stutz-Str 7A|Kiga Sonne|867.00'), 'P7', 3, 90, 2017,'Radiatoren'),</v>
      </c>
    </row>
    <row r="2707" spans="1:8" x14ac:dyDescent="0.25">
      <c r="A2707" s="9" t="s">
        <v>2818</v>
      </c>
      <c r="B2707" s="9" t="s">
        <v>1135</v>
      </c>
      <c r="C2707">
        <v>1</v>
      </c>
      <c r="D2707">
        <v>90</v>
      </c>
      <c r="E2707">
        <v>2017</v>
      </c>
      <c r="F2707" s="9" t="s">
        <v>2825</v>
      </c>
      <c r="H2707" s="20" t="str">
        <f t="shared" si="42"/>
        <v>(nextval('obj_part_id_seq'), (select id from obj_building_v where zip||'|'||street||'|'||name||'|'||volume = '8335|Jakob Stutz-Str 7A|Kiga Sonne|867.00'), 'P54', 1, 90, 2017,'Genügend Druck vorhanden, Wasser kann ungehindert ablaufen, Boiler'),</v>
      </c>
    </row>
    <row r="2708" spans="1:8" x14ac:dyDescent="0.25">
      <c r="A2708" s="9" t="s">
        <v>2818</v>
      </c>
      <c r="B2708" s="9" t="s">
        <v>1137</v>
      </c>
      <c r="C2708">
        <v>3</v>
      </c>
      <c r="D2708">
        <v>90</v>
      </c>
      <c r="E2708">
        <v>2017</v>
      </c>
      <c r="F2708" s="9" t="s">
        <v>2826</v>
      </c>
      <c r="H2708" s="20" t="str">
        <f t="shared" si="42"/>
        <v>(nextval('obj_part_id_seq'), (select id from obj_building_v where zip||'|'||street||'|'||name||'|'||volume = '8335|Jakob Stutz-Str 7A|Kiga Sonne|867.00'), 'P55', 3, 90, 2017,'Normaler Wasserdruck'),</v>
      </c>
    </row>
    <row r="2709" spans="1:8" x14ac:dyDescent="0.25">
      <c r="A2709" s="9" t="s">
        <v>2818</v>
      </c>
      <c r="B2709" s="9" t="s">
        <v>1138</v>
      </c>
      <c r="C2709">
        <v>17</v>
      </c>
      <c r="D2709">
        <v>90</v>
      </c>
      <c r="E2709">
        <v>2017</v>
      </c>
      <c r="F2709" s="9" t="s">
        <v>2827</v>
      </c>
      <c r="H2709" s="20" t="str">
        <f t="shared" si="42"/>
        <v>(nextval('obj_part_id_seq'), (select id from obj_building_v where zip||'|'||street||'|'||name||'|'||volume = '8335|Jakob Stutz-Str 7A|Kiga Sonne|867.00'), 'P57', 17, 90, 2017,'Einbauschränke, einfache Küche mit Glaskeramikkochfeld und Chromstahlbecken, Galerie aus Holz mit Holztreppe und -geländer, Innentüren aus Holz'),</v>
      </c>
    </row>
    <row r="2710" spans="1:8" x14ac:dyDescent="0.25">
      <c r="A2710" s="9" t="s">
        <v>2818</v>
      </c>
      <c r="B2710" s="9" t="s">
        <v>1140</v>
      </c>
      <c r="C2710">
        <v>3</v>
      </c>
      <c r="D2710">
        <v>90</v>
      </c>
      <c r="E2710">
        <v>2017</v>
      </c>
      <c r="F2710" s="9" t="s">
        <v>2828</v>
      </c>
      <c r="H2710" s="20" t="str">
        <f t="shared" si="42"/>
        <v>(nextval('obj_part_id_seq'), (select id from obj_building_v where zip||'|'||street||'|'||name||'|'||volume = '8335|Jakob Stutz-Str 7A|Kiga Sonne|867.00'), 'P58', 3, 90, 2017,'D: Holztäfer, gestrichen\nW: Verputzt, gestrichen\nB: Holz-Bretterboden, Linoleum'),</v>
      </c>
    </row>
    <row r="2711" spans="1:8" x14ac:dyDescent="0.25">
      <c r="A2711" s="9" t="s">
        <v>2818</v>
      </c>
      <c r="B2711" s="9" t="s">
        <v>1142</v>
      </c>
      <c r="C2711">
        <v>0</v>
      </c>
      <c r="D2711" t="s">
        <v>4080</v>
      </c>
      <c r="E2711">
        <v>2017</v>
      </c>
      <c r="F2711" s="9"/>
      <c r="H2711" s="20" t="str">
        <f t="shared" si="42"/>
        <v>(nextval('obj_part_id_seq'), (select id from obj_building_v where zip||'|'||street||'|'||name||'|'||volume = '8335|Jakob Stutz-Str 7A|Kiga Sonne|867.00'), 'P60', 0, null, 2017,null),</v>
      </c>
    </row>
    <row r="2712" spans="1:8" x14ac:dyDescent="0.25">
      <c r="A2712" s="9" t="s">
        <v>2818</v>
      </c>
      <c r="B2712" s="9" t="s">
        <v>1143</v>
      </c>
      <c r="C2712">
        <v>0</v>
      </c>
      <c r="D2712" t="s">
        <v>4080</v>
      </c>
      <c r="E2712">
        <v>2017</v>
      </c>
      <c r="F2712" s="9"/>
      <c r="H2712" s="20" t="str">
        <f t="shared" si="42"/>
        <v>(nextval('obj_part_id_seq'), (select id from obj_building_v where zip||'|'||street||'|'||name||'|'||volume = '8335|Jakob Stutz-Str 7A|Kiga Sonne|867.00'), 'P61', 0, null, 2017,null),</v>
      </c>
    </row>
    <row r="2713" spans="1:8" x14ac:dyDescent="0.25">
      <c r="A2713" s="9" t="s">
        <v>2818</v>
      </c>
      <c r="B2713" s="9" t="s">
        <v>1144</v>
      </c>
      <c r="C2713">
        <v>0</v>
      </c>
      <c r="D2713" t="s">
        <v>4080</v>
      </c>
      <c r="E2713">
        <v>2017</v>
      </c>
      <c r="F2713" s="9"/>
      <c r="H2713" s="20" t="str">
        <f t="shared" si="42"/>
        <v>(nextval('obj_part_id_seq'), (select id from obj_building_v where zip||'|'||street||'|'||name||'|'||volume = '8335|Jakob Stutz-Str 7A|Kiga Sonne|867.00'), 'P62', 0, null, 2017,null),</v>
      </c>
    </row>
    <row r="2714" spans="1:8" x14ac:dyDescent="0.25">
      <c r="A2714" s="9" t="s">
        <v>2829</v>
      </c>
      <c r="B2714" s="9" t="s">
        <v>1127</v>
      </c>
      <c r="C2714">
        <v>30</v>
      </c>
      <c r="D2714">
        <v>90</v>
      </c>
      <c r="E2714">
        <v>2015</v>
      </c>
      <c r="F2714" s="9" t="s">
        <v>1369</v>
      </c>
      <c r="H2714" s="20" t="str">
        <f t="shared" si="42"/>
        <v>(nextval('obj_part_id_seq'), (select id from obj_building_v where zip||'|'||street||'|'||name||'|'||volume = '8444||altes Postlokal|0.00'), 'P48', 30, 90, 2015,'Stahlbeton, Mauerwerk'),</v>
      </c>
    </row>
    <row r="2715" spans="1:8" x14ac:dyDescent="0.25">
      <c r="A2715" s="9" t="s">
        <v>2829</v>
      </c>
      <c r="B2715" s="9" t="s">
        <v>1129</v>
      </c>
      <c r="C2715">
        <v>0</v>
      </c>
      <c r="D2715" t="s">
        <v>4080</v>
      </c>
      <c r="E2715">
        <v>2015</v>
      </c>
      <c r="F2715" s="9"/>
      <c r="H2715" s="20" t="str">
        <f t="shared" si="42"/>
        <v>(nextval('obj_part_id_seq'), (select id from obj_building_v where zip||'|'||street||'|'||name||'|'||volume = '8444||altes Postlokal|0.00'), 'P49', 0, null, 2015,null),</v>
      </c>
    </row>
    <row r="2716" spans="1:8" x14ac:dyDescent="0.25">
      <c r="A2716" s="9" t="s">
        <v>2829</v>
      </c>
      <c r="B2716" s="9" t="s">
        <v>1097</v>
      </c>
      <c r="C2716">
        <v>13</v>
      </c>
      <c r="D2716">
        <v>85</v>
      </c>
      <c r="E2716">
        <v>2015</v>
      </c>
      <c r="F2716" s="9" t="s">
        <v>2830</v>
      </c>
      <c r="H2716" s="20" t="str">
        <f t="shared" si="42"/>
        <v>(nextval('obj_part_id_seq'), (select id from obj_building_v where zip||'|'||street||'|'||name||'|'||volume = '8444||altes Postlokal|0.00'), 'P2', 13, 85, 2015,'Flachziegel'),</v>
      </c>
    </row>
    <row r="2717" spans="1:8" x14ac:dyDescent="0.25">
      <c r="A2717" s="9" t="s">
        <v>2829</v>
      </c>
      <c r="B2717" s="9" t="s">
        <v>1099</v>
      </c>
      <c r="C2717">
        <v>0</v>
      </c>
      <c r="D2717" t="s">
        <v>4080</v>
      </c>
      <c r="E2717">
        <v>2015</v>
      </c>
      <c r="F2717" s="9"/>
      <c r="H2717" s="20" t="str">
        <f t="shared" si="42"/>
        <v>(nextval('obj_part_id_seq'), (select id from obj_building_v where zip||'|'||street||'|'||name||'|'||volume = '8444||altes Postlokal|0.00'), 'P3', 0, null, 2015,null),</v>
      </c>
    </row>
    <row r="2718" spans="1:8" x14ac:dyDescent="0.25">
      <c r="A2718" s="9" t="s">
        <v>2829</v>
      </c>
      <c r="B2718" s="9" t="s">
        <v>1100</v>
      </c>
      <c r="C2718">
        <v>8</v>
      </c>
      <c r="D2718">
        <v>80</v>
      </c>
      <c r="E2718">
        <v>2015</v>
      </c>
      <c r="F2718" s="9" t="s">
        <v>2831</v>
      </c>
      <c r="H2718" s="20" t="str">
        <f t="shared" si="42"/>
        <v>(nextval('obj_part_id_seq'), (select id from obj_building_v where zip||'|'||street||'|'||name||'|'||volume = '8444||altes Postlokal|0.00'), 'P4', 8, 80, 2015,'Verputz gestrichen'),</v>
      </c>
    </row>
    <row r="2719" spans="1:8" x14ac:dyDescent="0.25">
      <c r="A2719" s="9" t="s">
        <v>2829</v>
      </c>
      <c r="B2719" s="9" t="s">
        <v>1102</v>
      </c>
      <c r="C2719">
        <v>6</v>
      </c>
      <c r="D2719">
        <v>80</v>
      </c>
      <c r="E2719">
        <v>2015</v>
      </c>
      <c r="F2719" s="9" t="s">
        <v>2832</v>
      </c>
      <c r="H2719" s="20" t="str">
        <f t="shared" si="42"/>
        <v>(nextval('obj_part_id_seq'), (select id from obj_building_v where zip||'|'||street||'|'||name||'|'||volume = '8444||altes Postlokal|0.00'), 'P5', 6, 80, 2015,'IV-Fenster (11.93), Gitter'),</v>
      </c>
    </row>
    <row r="2720" spans="1:8" x14ac:dyDescent="0.25">
      <c r="A2720" s="9" t="s">
        <v>2829</v>
      </c>
      <c r="B2720" s="9" t="s">
        <v>1164</v>
      </c>
      <c r="C2720">
        <v>8</v>
      </c>
      <c r="D2720">
        <v>80</v>
      </c>
      <c r="E2720">
        <v>2015</v>
      </c>
      <c r="F2720" s="9" t="s">
        <v>2833</v>
      </c>
      <c r="H2720" s="20" t="str">
        <f t="shared" si="42"/>
        <v>(nextval('obj_part_id_seq'), (select id from obj_building_v where zip||'|'||street||'|'||name||'|'||volume = '8444||altes Postlokal|0.00'), 'P50', 8, 80, 2015,'Beleuchtung, Leuchtstoffröhren'),</v>
      </c>
    </row>
    <row r="2721" spans="1:8" x14ac:dyDescent="0.25">
      <c r="A2721" s="9" t="s">
        <v>2829</v>
      </c>
      <c r="B2721" s="9" t="s">
        <v>1166</v>
      </c>
      <c r="C2721">
        <v>3</v>
      </c>
      <c r="D2721">
        <v>90</v>
      </c>
      <c r="E2721">
        <v>2015</v>
      </c>
      <c r="F2721" s="9" t="s">
        <v>2834</v>
      </c>
      <c r="H2721" s="20" t="str">
        <f t="shared" si="42"/>
        <v>(nextval('obj_part_id_seq'), (select id from obj_building_v where zip||'|'||street||'|'||name||'|'||volume = '8444||altes Postlokal|0.00'), 'P51', 3, 90, 2015,'Telefon, Radio'),</v>
      </c>
    </row>
    <row r="2722" spans="1:8" x14ac:dyDescent="0.25">
      <c r="A2722" s="9" t="s">
        <v>2829</v>
      </c>
      <c r="B2722" s="9" t="s">
        <v>1104</v>
      </c>
      <c r="C2722">
        <v>2</v>
      </c>
      <c r="D2722">
        <v>90</v>
      </c>
      <c r="E2722">
        <v>2015</v>
      </c>
      <c r="F2722" s="9" t="s">
        <v>2835</v>
      </c>
      <c r="H2722" s="20" t="str">
        <f t="shared" si="42"/>
        <v>(nextval('obj_part_id_seq'), (select id from obj_building_v where zip||'|'||street||'|'||name||'|'||volume = '8444||altes Postlokal|0.00'), 'P6', 2, 90, 2015,'Erdsonden-Wärmepumpe, (zentrale Heizung)'),</v>
      </c>
    </row>
    <row r="2723" spans="1:8" x14ac:dyDescent="0.25">
      <c r="A2723" s="9" t="s">
        <v>2829</v>
      </c>
      <c r="B2723" s="9" t="s">
        <v>1106</v>
      </c>
      <c r="C2723">
        <v>1</v>
      </c>
      <c r="D2723">
        <v>90</v>
      </c>
      <c r="E2723">
        <v>2015</v>
      </c>
      <c r="F2723" s="9" t="s">
        <v>2836</v>
      </c>
      <c r="H2723" s="20" t="str">
        <f t="shared" si="42"/>
        <v>(nextval('obj_part_id_seq'), (select id from obj_building_v where zip||'|'||street||'|'||name||'|'||volume = '8444||altes Postlokal|0.00'), 'P7', 1, 90, 2015,'Radiatoren mit Termostaten'),</v>
      </c>
    </row>
    <row r="2724" spans="1:8" x14ac:dyDescent="0.25">
      <c r="A2724" s="9" t="s">
        <v>2829</v>
      </c>
      <c r="B2724" s="9" t="s">
        <v>1403</v>
      </c>
      <c r="C2724">
        <v>8</v>
      </c>
      <c r="D2724">
        <v>0</v>
      </c>
      <c r="E2724">
        <v>2015</v>
      </c>
      <c r="F2724" s="9"/>
      <c r="H2724" s="20" t="str">
        <f t="shared" si="42"/>
        <v>(nextval('obj_part_id_seq'), (select id from obj_building_v where zip||'|'||street||'|'||name||'|'||volume = '8444||altes Postlokal|0.00'), 'P52', 8, 0, 2015,null),</v>
      </c>
    </row>
    <row r="2725" spans="1:8" x14ac:dyDescent="0.25">
      <c r="A2725" s="9" t="s">
        <v>2829</v>
      </c>
      <c r="B2725" s="9" t="s">
        <v>1404</v>
      </c>
      <c r="C2725">
        <v>4</v>
      </c>
      <c r="D2725">
        <v>0</v>
      </c>
      <c r="E2725">
        <v>2015</v>
      </c>
      <c r="F2725" s="9"/>
      <c r="H2725" s="20" t="str">
        <f t="shared" si="42"/>
        <v>(nextval('obj_part_id_seq'), (select id from obj_building_v where zip||'|'||street||'|'||name||'|'||volume = '8444||altes Postlokal|0.00'), 'P53', 4, 0, 2015,null),</v>
      </c>
    </row>
    <row r="2726" spans="1:8" x14ac:dyDescent="0.25">
      <c r="A2726" s="9" t="s">
        <v>2829</v>
      </c>
      <c r="B2726" s="9" t="s">
        <v>1108</v>
      </c>
      <c r="C2726">
        <v>3</v>
      </c>
      <c r="D2726">
        <v>85</v>
      </c>
      <c r="E2726">
        <v>2015</v>
      </c>
      <c r="F2726" s="9"/>
      <c r="H2726" s="20" t="str">
        <f t="shared" si="42"/>
        <v>(nextval('obj_part_id_seq'), (select id from obj_building_v where zip||'|'||street||'|'||name||'|'||volume = '8444||altes Postlokal|0.00'), 'P8', 3, 85, 2015,null),</v>
      </c>
    </row>
    <row r="2727" spans="1:8" x14ac:dyDescent="0.25">
      <c r="A2727" s="9" t="s">
        <v>2829</v>
      </c>
      <c r="B2727" s="9" t="s">
        <v>1155</v>
      </c>
      <c r="C2727">
        <v>1</v>
      </c>
      <c r="D2727">
        <v>0</v>
      </c>
      <c r="E2727">
        <v>2015</v>
      </c>
      <c r="F2727" s="9"/>
      <c r="H2727" s="20" t="str">
        <f t="shared" si="42"/>
        <v>(nextval('obj_part_id_seq'), (select id from obj_building_v where zip||'|'||street||'|'||name||'|'||volume = '8444||altes Postlokal|0.00'), 'P56', 1, 0, 2015,null),</v>
      </c>
    </row>
    <row r="2728" spans="1:8" x14ac:dyDescent="0.25">
      <c r="A2728" s="9" t="s">
        <v>2829</v>
      </c>
      <c r="B2728" s="9" t="s">
        <v>1138</v>
      </c>
      <c r="C2728">
        <v>8</v>
      </c>
      <c r="D2728">
        <v>85</v>
      </c>
      <c r="E2728">
        <v>2015</v>
      </c>
      <c r="F2728" s="9" t="s">
        <v>2837</v>
      </c>
      <c r="H2728" s="20" t="str">
        <f t="shared" si="42"/>
        <v>(nextval('obj_part_id_seq'), (select id from obj_building_v where zip||'|'||street||'|'||name||'|'||volume = '8444||altes Postlokal|0.00'), 'P57', 8, 85, 2015,'Metallzarge abgenutzt, beschädigt, Teeküche mit 2 Kochplatten'),</v>
      </c>
    </row>
    <row r="2729" spans="1:8" x14ac:dyDescent="0.25">
      <c r="A2729" s="9" t="s">
        <v>2829</v>
      </c>
      <c r="B2729" s="9" t="s">
        <v>1140</v>
      </c>
      <c r="C2729">
        <v>5</v>
      </c>
      <c r="D2729">
        <v>80</v>
      </c>
      <c r="E2729">
        <v>2015</v>
      </c>
      <c r="F2729" s="9" t="s">
        <v>2838</v>
      </c>
      <c r="H2729" s="20" t="str">
        <f t="shared" si="42"/>
        <v>(nextval('obj_part_id_seq'), (select id from obj_building_v where zip||'|'||street||'|'||name||'|'||volume = '8444||altes Postlokal|0.00'), 'P58', 5, 80, 2015,'Wände: Verputz, gestrichen, Decke: Beton, gestrichen, Boden: Linoleum, WC: Boden und Wände aus Keramikplatten'),</v>
      </c>
    </row>
    <row r="2730" spans="1:8" x14ac:dyDescent="0.25">
      <c r="A2730" s="9" t="s">
        <v>2829</v>
      </c>
      <c r="B2730" s="9" t="s">
        <v>1142</v>
      </c>
      <c r="C2730">
        <v>0</v>
      </c>
      <c r="D2730" t="s">
        <v>4080</v>
      </c>
      <c r="E2730">
        <v>2015</v>
      </c>
      <c r="F2730" s="9"/>
      <c r="H2730" s="20" t="str">
        <f t="shared" si="42"/>
        <v>(nextval('obj_part_id_seq'), (select id from obj_building_v where zip||'|'||street||'|'||name||'|'||volume = '8444||altes Postlokal|0.00'), 'P60', 0, null, 2015,null),</v>
      </c>
    </row>
    <row r="2731" spans="1:8" x14ac:dyDescent="0.25">
      <c r="A2731" s="9" t="s">
        <v>2829</v>
      </c>
      <c r="B2731" s="9" t="s">
        <v>1143</v>
      </c>
      <c r="C2731">
        <v>0</v>
      </c>
      <c r="D2731" t="s">
        <v>4080</v>
      </c>
      <c r="E2731">
        <v>2015</v>
      </c>
      <c r="F2731" s="9"/>
      <c r="H2731" s="20" t="str">
        <f t="shared" si="42"/>
        <v>(nextval('obj_part_id_seq'), (select id from obj_building_v where zip||'|'||street||'|'||name||'|'||volume = '8444||altes Postlokal|0.00'), 'P61', 0, null, 2015,null),</v>
      </c>
    </row>
    <row r="2732" spans="1:8" x14ac:dyDescent="0.25">
      <c r="A2732" s="9" t="s">
        <v>2829</v>
      </c>
      <c r="B2732" s="9" t="s">
        <v>1144</v>
      </c>
      <c r="C2732">
        <v>0</v>
      </c>
      <c r="D2732" t="s">
        <v>4080</v>
      </c>
      <c r="E2732">
        <v>2015</v>
      </c>
      <c r="F2732" s="9"/>
      <c r="H2732" s="20" t="str">
        <f t="shared" si="42"/>
        <v>(nextval('obj_part_id_seq'), (select id from obj_building_v where zip||'|'||street||'|'||name||'|'||volume = '8444||altes Postlokal|0.00'), 'P62', 0, null, 2015,null),</v>
      </c>
    </row>
    <row r="2733" spans="1:8" x14ac:dyDescent="0.25">
      <c r="A2733" s="9" t="s">
        <v>2839</v>
      </c>
      <c r="B2733" s="9" t="s">
        <v>1127</v>
      </c>
      <c r="C2733">
        <v>38</v>
      </c>
      <c r="D2733">
        <v>90</v>
      </c>
      <c r="E2733">
        <v>2016</v>
      </c>
      <c r="F2733" s="9" t="s">
        <v>2840</v>
      </c>
      <c r="H2733" s="20" t="str">
        <f t="shared" si="42"/>
        <v>(nextval('obj_part_id_seq'), (select id from obj_building_v where zip||'|'||street||'|'||name||'|'||volume = '4950|Bahnhofstrasse 4|Wohn- und Geschäftshaus|2300.00'), 'P48', 38, 90, 2016,'Mauerwerk, Hourdisdecken über UG, Holzbalkendecken, Treppen aus Holz, Metallstütze im Laden'),</v>
      </c>
    </row>
    <row r="2734" spans="1:8" x14ac:dyDescent="0.25">
      <c r="A2734" s="9" t="s">
        <v>2839</v>
      </c>
      <c r="B2734" s="9" t="s">
        <v>1129</v>
      </c>
      <c r="C2734">
        <v>0</v>
      </c>
      <c r="D2734" t="s">
        <v>4080</v>
      </c>
      <c r="E2734">
        <v>2016</v>
      </c>
      <c r="F2734" s="9"/>
      <c r="H2734" s="20" t="str">
        <f t="shared" si="42"/>
        <v>(nextval('obj_part_id_seq'), (select id from obj_building_v where zip||'|'||street||'|'||name||'|'||volume = '4950|Bahnhofstrasse 4|Wohn- und Geschäftshaus|2300.00'), 'P49', 0, null, 2016,null),</v>
      </c>
    </row>
    <row r="2735" spans="1:8" x14ac:dyDescent="0.25">
      <c r="A2735" s="9" t="s">
        <v>2839</v>
      </c>
      <c r="B2735" s="9" t="s">
        <v>1097</v>
      </c>
      <c r="C2735">
        <v>8</v>
      </c>
      <c r="D2735">
        <v>90</v>
      </c>
      <c r="E2735">
        <v>2016</v>
      </c>
      <c r="F2735" s="9" t="s">
        <v>2841</v>
      </c>
      <c r="H2735" s="20" t="str">
        <f t="shared" si="42"/>
        <v>(nextval('obj_part_id_seq'), (select id from obj_building_v where zip||'|'||street||'|'||name||'|'||volume = '4950|Bahnhofstrasse 4|Wohn- und Geschäftshaus|2300.00'), 'P2', 8, 90, 2016,'Satteldach mit Falzziegeln, teilweise isoliert'),</v>
      </c>
    </row>
    <row r="2736" spans="1:8" x14ac:dyDescent="0.25">
      <c r="A2736" s="9" t="s">
        <v>2839</v>
      </c>
      <c r="B2736" s="9" t="s">
        <v>1099</v>
      </c>
      <c r="C2736">
        <v>0</v>
      </c>
      <c r="D2736" t="s">
        <v>4080</v>
      </c>
      <c r="E2736">
        <v>2016</v>
      </c>
      <c r="F2736" s="9"/>
      <c r="H2736" s="20" t="str">
        <f t="shared" si="42"/>
        <v>(nextval('obj_part_id_seq'), (select id from obj_building_v where zip||'|'||street||'|'||name||'|'||volume = '4950|Bahnhofstrasse 4|Wohn- und Geschäftshaus|2300.00'), 'P3', 0, null, 2016,null),</v>
      </c>
    </row>
    <row r="2737" spans="1:8" x14ac:dyDescent="0.25">
      <c r="A2737" s="9" t="s">
        <v>2839</v>
      </c>
      <c r="B2737" s="9" t="s">
        <v>1100</v>
      </c>
      <c r="C2737">
        <v>7</v>
      </c>
      <c r="D2737">
        <v>90</v>
      </c>
      <c r="E2737">
        <v>2016</v>
      </c>
      <c r="F2737" s="9" t="s">
        <v>1716</v>
      </c>
      <c r="H2737" s="20" t="str">
        <f t="shared" si="42"/>
        <v>(nextval('obj_part_id_seq'), (select id from obj_building_v where zip||'|'||street||'|'||name||'|'||volume = '4950|Bahnhofstrasse 4|Wohn- und Geschäftshaus|2300.00'), 'P4', 7, 90, 2016,'Mauerwerk, verputzt'),</v>
      </c>
    </row>
    <row r="2738" spans="1:8" x14ac:dyDescent="0.25">
      <c r="A2738" s="9" t="s">
        <v>2839</v>
      </c>
      <c r="B2738" s="9" t="s">
        <v>1102</v>
      </c>
      <c r="C2738">
        <v>11</v>
      </c>
      <c r="D2738">
        <v>80</v>
      </c>
      <c r="E2738">
        <v>2016</v>
      </c>
      <c r="F2738" s="9" t="s">
        <v>2842</v>
      </c>
      <c r="H2738" s="20" t="str">
        <f t="shared" si="42"/>
        <v>(nextval('obj_part_id_seq'), (select id from obj_building_v where zip||'|'||street||'|'||name||'|'||volume = '4950|Bahnhofstrasse 4|Wohn- und Geschäftshaus|2300.00'), 'P5', 11, 80, 2016,'Holz-/Metallfenster mit Aluminium-Rolläden, tw. alte Holzfenster, Fenster im WC des 2. OG''s ist undicht, Wasser dringt ein'),</v>
      </c>
    </row>
    <row r="2739" spans="1:8" x14ac:dyDescent="0.25">
      <c r="A2739" s="9" t="s">
        <v>2839</v>
      </c>
      <c r="B2739" s="9" t="s">
        <v>1110</v>
      </c>
      <c r="C2739">
        <v>4</v>
      </c>
      <c r="D2739">
        <v>85</v>
      </c>
      <c r="E2739">
        <v>2016</v>
      </c>
      <c r="F2739" s="9" t="s">
        <v>2843</v>
      </c>
      <c r="H2739" s="20" t="str">
        <f t="shared" si="42"/>
        <v>(nextval('obj_part_id_seq'), (select id from obj_building_v where zip||'|'||street||'|'||name||'|'||volume = '4950|Bahnhofstrasse 4|Wohn- und Geschäftshaus|2300.00'), 'P9', 4, 85, 2016,'Sicherungen i.O., tw. alte Keramiksicherungen vorhanden'),</v>
      </c>
    </row>
    <row r="2740" spans="1:8" x14ac:dyDescent="0.25">
      <c r="A2740" s="9" t="s">
        <v>2839</v>
      </c>
      <c r="B2740" s="9" t="s">
        <v>1104</v>
      </c>
      <c r="C2740">
        <v>1</v>
      </c>
      <c r="D2740">
        <v>90</v>
      </c>
      <c r="E2740">
        <v>2016</v>
      </c>
      <c r="F2740" s="9" t="s">
        <v>1235</v>
      </c>
      <c r="H2740" s="20" t="str">
        <f t="shared" si="42"/>
        <v>(nextval('obj_part_id_seq'), (select id from obj_building_v where zip||'|'||street||'|'||name||'|'||volume = '4950|Bahnhofstrasse 4|Wohn- und Geschäftshaus|2300.00'), 'P6', 1, 90, 2016,'Fernwärme'),</v>
      </c>
    </row>
    <row r="2741" spans="1:8" x14ac:dyDescent="0.25">
      <c r="A2741" s="9" t="s">
        <v>2839</v>
      </c>
      <c r="B2741" s="9" t="s">
        <v>1106</v>
      </c>
      <c r="C2741">
        <v>3</v>
      </c>
      <c r="D2741">
        <v>85</v>
      </c>
      <c r="E2741">
        <v>2016</v>
      </c>
      <c r="F2741" s="9" t="s">
        <v>2844</v>
      </c>
      <c r="H2741" s="20" t="str">
        <f t="shared" si="42"/>
        <v>(nextval('obj_part_id_seq'), (select id from obj_building_v where zip||'|'||street||'|'||name||'|'||volume = '4950|Bahnhofstrasse 4|Wohn- und Geschäftshaus|2300.00'), 'P7', 3, 85, 2016,'Radiatoren mit Thermostaten, im WC des 2. OG''s funktioniert der Radiator nicht'),</v>
      </c>
    </row>
    <row r="2742" spans="1:8" x14ac:dyDescent="0.25">
      <c r="A2742" s="9" t="s">
        <v>2839</v>
      </c>
      <c r="B2742" s="9" t="s">
        <v>1135</v>
      </c>
      <c r="C2742">
        <v>3</v>
      </c>
      <c r="D2742">
        <v>80</v>
      </c>
      <c r="E2742">
        <v>2016</v>
      </c>
      <c r="F2742" s="9" t="s">
        <v>2845</v>
      </c>
      <c r="H2742" s="20" t="str">
        <f t="shared" si="42"/>
        <v>(nextval('obj_part_id_seq'), (select id from obj_building_v where zip||'|'||street||'|'||name||'|'||volume = '4950|Bahnhofstrasse 4|Wohn- und Geschäftshaus|2300.00'), 'P54', 3, 80, 2016,'Allg. guter Zustand, WM/WT in Küche, Sanitär-Apparate in einer Wohneinheit und El.-Boiler veraltet'),</v>
      </c>
    </row>
    <row r="2743" spans="1:8" x14ac:dyDescent="0.25">
      <c r="A2743" s="9" t="s">
        <v>2839</v>
      </c>
      <c r="B2743" s="9" t="s">
        <v>1137</v>
      </c>
      <c r="C2743">
        <v>4</v>
      </c>
      <c r="D2743">
        <v>80</v>
      </c>
      <c r="E2743">
        <v>2016</v>
      </c>
      <c r="F2743" s="9" t="s">
        <v>2846</v>
      </c>
      <c r="H2743" s="20" t="str">
        <f t="shared" si="42"/>
        <v>(nextval('obj_part_id_seq'), (select id from obj_building_v where zip||'|'||street||'|'||name||'|'||volume = '4950|Bahnhofstrasse 4|Wohn- und Geschäftshaus|2300.00'), 'P55', 4, 80, 2016,'Leitungen i.O., jedoch tw. unisoliert'),</v>
      </c>
    </row>
    <row r="2744" spans="1:8" x14ac:dyDescent="0.25">
      <c r="A2744" s="9" t="s">
        <v>2839</v>
      </c>
      <c r="B2744" s="9" t="s">
        <v>1155</v>
      </c>
      <c r="C2744">
        <v>0</v>
      </c>
      <c r="D2744" t="s">
        <v>4080</v>
      </c>
      <c r="E2744">
        <v>2016</v>
      </c>
      <c r="F2744" s="9"/>
      <c r="H2744" s="20" t="str">
        <f t="shared" si="42"/>
        <v>(nextval('obj_part_id_seq'), (select id from obj_building_v where zip||'|'||street||'|'||name||'|'||volume = '4950|Bahnhofstrasse 4|Wohn- und Geschäftshaus|2300.00'), 'P56', 0, null, 2016,null),</v>
      </c>
    </row>
    <row r="2745" spans="1:8" x14ac:dyDescent="0.25">
      <c r="A2745" s="9" t="s">
        <v>2839</v>
      </c>
      <c r="B2745" s="9" t="s">
        <v>1138</v>
      </c>
      <c r="C2745">
        <v>9</v>
      </c>
      <c r="D2745">
        <v>80</v>
      </c>
      <c r="E2745">
        <v>2016</v>
      </c>
      <c r="F2745" s="9" t="s">
        <v>2847</v>
      </c>
      <c r="H2745" s="20" t="str">
        <f t="shared" si="42"/>
        <v>(nextval('obj_part_id_seq'), (select id from obj_building_v where zip||'|'||street||'|'||name||'|'||volume = '4950|Bahnhofstrasse 4|Wohn- und Geschäftshaus|2300.00'), 'P57', 9, 80, 2016,'Bei Treppengeländer fehlt ein Stakette, die Innentüre, sowie die Balkontüre der Wohnung im 2. OG sind undicht.'),</v>
      </c>
    </row>
    <row r="2746" spans="1:8" x14ac:dyDescent="0.25">
      <c r="A2746" s="9" t="s">
        <v>2839</v>
      </c>
      <c r="B2746" s="9" t="s">
        <v>1140</v>
      </c>
      <c r="C2746">
        <v>8</v>
      </c>
      <c r="D2746">
        <v>80</v>
      </c>
      <c r="E2746">
        <v>2016</v>
      </c>
      <c r="F2746" s="9" t="s">
        <v>2848</v>
      </c>
      <c r="H2746" s="20" t="str">
        <f t="shared" si="42"/>
        <v>(nextval('obj_part_id_seq'), (select id from obj_building_v where zip||'|'||street||'|'||name||'|'||volume = '4950|Bahnhofstrasse 4|Wohn- und Geschäftshaus|2300.00'), 'P58', 8, 80, 2016,'Boden aus Linol, Keramik, Teppich oder Holz Küche: Laminat; Wände verputzt, Keramikpl. Decken tw. Holztäfer, tw. Gips mit Rissen, Wandanstrich und Böden in einer Wohneinheit überholungsbedürftig sowie Anstriche von Türen und anderen Schreinerarbeiten'),</v>
      </c>
    </row>
    <row r="2747" spans="1:8" x14ac:dyDescent="0.25">
      <c r="A2747" s="9" t="s">
        <v>2839</v>
      </c>
      <c r="B2747" s="9" t="s">
        <v>1157</v>
      </c>
      <c r="C2747">
        <v>4</v>
      </c>
      <c r="D2747">
        <v>90</v>
      </c>
      <c r="E2747">
        <v>2016</v>
      </c>
      <c r="F2747" s="9" t="s">
        <v>2849</v>
      </c>
      <c r="H2747" s="20" t="str">
        <f t="shared" si="42"/>
        <v>(nextval('obj_part_id_seq'), (select id from obj_building_v where zip||'|'||street||'|'||name||'|'||volume = '4950|Bahnhofstrasse 4|Wohn- und Geschäftshaus|2300.00'), 'P59', 4, 90, 2016,'Die Küchen sind intakt.'),</v>
      </c>
    </row>
    <row r="2748" spans="1:8" x14ac:dyDescent="0.25">
      <c r="A2748" s="9" t="s">
        <v>2839</v>
      </c>
      <c r="B2748" s="9" t="s">
        <v>1142</v>
      </c>
      <c r="C2748">
        <v>0</v>
      </c>
      <c r="D2748" t="s">
        <v>4080</v>
      </c>
      <c r="E2748">
        <v>2016</v>
      </c>
      <c r="F2748" s="9"/>
      <c r="H2748" s="20" t="str">
        <f t="shared" si="42"/>
        <v>(nextval('obj_part_id_seq'), (select id from obj_building_v where zip||'|'||street||'|'||name||'|'||volume = '4950|Bahnhofstrasse 4|Wohn- und Geschäftshaus|2300.00'), 'P60', 0, null, 2016,null),</v>
      </c>
    </row>
    <row r="2749" spans="1:8" x14ac:dyDescent="0.25">
      <c r="A2749" s="9" t="s">
        <v>2839</v>
      </c>
      <c r="B2749" s="9" t="s">
        <v>1143</v>
      </c>
      <c r="C2749">
        <v>0</v>
      </c>
      <c r="D2749" t="s">
        <v>4080</v>
      </c>
      <c r="E2749">
        <v>2016</v>
      </c>
      <c r="F2749" s="9"/>
      <c r="H2749" s="20" t="str">
        <f t="shared" si="42"/>
        <v>(nextval('obj_part_id_seq'), (select id from obj_building_v where zip||'|'||street||'|'||name||'|'||volume = '4950|Bahnhofstrasse 4|Wohn- und Geschäftshaus|2300.00'), 'P61', 0, null, 2016,null),</v>
      </c>
    </row>
    <row r="2750" spans="1:8" x14ac:dyDescent="0.25">
      <c r="A2750" s="9" t="s">
        <v>2839</v>
      </c>
      <c r="B2750" s="9" t="s">
        <v>1144</v>
      </c>
      <c r="C2750">
        <v>0</v>
      </c>
      <c r="D2750" t="s">
        <v>4080</v>
      </c>
      <c r="E2750">
        <v>2016</v>
      </c>
      <c r="F2750" s="9"/>
      <c r="H2750" s="20" t="str">
        <f t="shared" si="42"/>
        <v>(nextval('obj_part_id_seq'), (select id from obj_building_v where zip||'|'||street||'|'||name||'|'||volume = '4950|Bahnhofstrasse 4|Wohn- und Geschäftshaus|2300.00'), 'P62', 0, null, 2016,null),</v>
      </c>
    </row>
    <row r="2751" spans="1:8" x14ac:dyDescent="0.25">
      <c r="A2751" s="9" t="s">
        <v>2850</v>
      </c>
      <c r="B2751" s="9" t="s">
        <v>1127</v>
      </c>
      <c r="C2751">
        <v>36</v>
      </c>
      <c r="D2751">
        <v>90</v>
      </c>
      <c r="E2751">
        <v>2016</v>
      </c>
      <c r="F2751" s="9" t="s">
        <v>2851</v>
      </c>
      <c r="H2751" s="20" t="str">
        <f t="shared" si="42"/>
        <v>(nextval('obj_part_id_seq'), (select id from obj_building_v where zip||'|'||street||'|'||name||'|'||volume = '4950|Bahnhofstrasse 6|Wohn- und Geschäftshaus|3600.00'), 'P48', 36, 90, 2016,'Stahlbeton, KS, Mauerwerk mit Holzbalkendecken'),</v>
      </c>
    </row>
    <row r="2752" spans="1:8" x14ac:dyDescent="0.25">
      <c r="A2752" s="9" t="s">
        <v>2850</v>
      </c>
      <c r="B2752" s="9" t="s">
        <v>1129</v>
      </c>
      <c r="C2752">
        <v>0</v>
      </c>
      <c r="D2752" t="s">
        <v>4080</v>
      </c>
      <c r="E2752">
        <v>2016</v>
      </c>
      <c r="F2752" s="9"/>
      <c r="H2752" s="20" t="str">
        <f t="shared" si="42"/>
        <v>(nextval('obj_part_id_seq'), (select id from obj_building_v where zip||'|'||street||'|'||name||'|'||volume = '4950|Bahnhofstrasse 6|Wohn- und Geschäftshaus|3600.00'), 'P49', 0, null, 2016,null),</v>
      </c>
    </row>
    <row r="2753" spans="1:8" x14ac:dyDescent="0.25">
      <c r="A2753" s="9" t="s">
        <v>2850</v>
      </c>
      <c r="B2753" s="9" t="s">
        <v>1097</v>
      </c>
      <c r="C2753">
        <v>6</v>
      </c>
      <c r="D2753">
        <v>90</v>
      </c>
      <c r="E2753">
        <v>2016</v>
      </c>
      <c r="F2753" s="9" t="s">
        <v>2852</v>
      </c>
      <c r="H2753" s="20" t="str">
        <f t="shared" si="42"/>
        <v>(nextval('obj_part_id_seq'), (select id from obj_building_v where zip||'|'||street||'|'||name||'|'||volume = '4950|Bahnhofstrasse 6|Wohn- und Geschäftshaus|3600.00'), 'P2', 6, 90, 2016,'Satteldach, isoliert mit Lukarnen'),</v>
      </c>
    </row>
    <row r="2754" spans="1:8" x14ac:dyDescent="0.25">
      <c r="A2754" s="9" t="s">
        <v>2850</v>
      </c>
      <c r="B2754" s="9" t="s">
        <v>1099</v>
      </c>
      <c r="C2754">
        <v>2</v>
      </c>
      <c r="D2754">
        <v>80</v>
      </c>
      <c r="E2754">
        <v>2016</v>
      </c>
      <c r="F2754" s="9" t="s">
        <v>2853</v>
      </c>
      <c r="H2754" s="20" t="str">
        <f t="shared" si="42"/>
        <v>(nextval('obj_part_id_seq'), (select id from obj_building_v where zip||'|'||street||'|'||name||'|'||volume = '4950|Bahnhofstrasse 6|Wohn- und Geschäftshaus|3600.00'), 'P3', 2, 80, 2016,'über Garagen Flachdach, Bitumen-Nacktdach, die Dachränder sind z.T. vermoost'),</v>
      </c>
    </row>
    <row r="2755" spans="1:8" x14ac:dyDescent="0.25">
      <c r="A2755" s="9" t="s">
        <v>2850</v>
      </c>
      <c r="B2755" s="9" t="s">
        <v>1100</v>
      </c>
      <c r="C2755">
        <v>7</v>
      </c>
      <c r="D2755">
        <v>90</v>
      </c>
      <c r="E2755">
        <v>2016</v>
      </c>
      <c r="F2755" s="9" t="s">
        <v>2854</v>
      </c>
      <c r="H2755" s="20" t="str">
        <f t="shared" si="42"/>
        <v>(nextval('obj_part_id_seq'), (select id from obj_building_v where zip||'|'||street||'|'||name||'|'||volume = '4950|Bahnhofstrasse 6|Wohn- und Geschäftshaus|3600.00'), 'P4', 7, 90, 2016,'Holzschindeln, gestrichen, mehrere Risse auf dem Balkonboden, Laubengang aus Holz'),</v>
      </c>
    </row>
    <row r="2756" spans="1:8" x14ac:dyDescent="0.25">
      <c r="A2756" s="9" t="s">
        <v>2850</v>
      </c>
      <c r="B2756" s="9" t="s">
        <v>1102</v>
      </c>
      <c r="C2756">
        <v>11</v>
      </c>
      <c r="D2756">
        <v>80</v>
      </c>
      <c r="E2756">
        <v>2016</v>
      </c>
      <c r="F2756" s="9" t="s">
        <v>2855</v>
      </c>
      <c r="H2756" s="20" t="str">
        <f t="shared" si="42"/>
        <v>(nextval('obj_part_id_seq'), (select id from obj_building_v where zip||'|'||street||'|'||name||'|'||volume = '4950|Bahnhofstrasse 6|Wohn- und Geschäftshaus|3600.00'), 'P5', 11, 80, 2016,'Holz-/Metallfenster mit Fensterläden. Fenster im DG sind tw. undicht. Garagentore aus Holz'),</v>
      </c>
    </row>
    <row r="2757" spans="1:8" x14ac:dyDescent="0.25">
      <c r="A2757" s="9" t="s">
        <v>2850</v>
      </c>
      <c r="B2757" s="9" t="s">
        <v>1110</v>
      </c>
      <c r="C2757">
        <v>4</v>
      </c>
      <c r="D2757">
        <v>90</v>
      </c>
      <c r="E2757">
        <v>2016</v>
      </c>
      <c r="F2757" s="9" t="s">
        <v>2856</v>
      </c>
      <c r="H2757" s="20" t="str">
        <f t="shared" ref="H2757:H2820" si="43">"(nextval('obj_part_id_seq'), (select id from obj_building_v where zip||'|'||street||'|'||name||'|'||volume = '"&amp;A2757&amp;"'), '"&amp;B2757&amp;"', "&amp;C2757&amp;", "&amp;D2757&amp;", "&amp;IF(ISBLANK(E2757),"null",E2757)&amp;","&amp;IF(ISBLANK(F2757),"null","'"&amp;F2757&amp;"'")&amp;"),"</f>
        <v>(nextval('obj_part_id_seq'), (select id from obj_building_v where zip||'|'||street||'|'||name||'|'||volume = '4950|Bahnhofstrasse 6|Wohn- und Geschäftshaus|3600.00'), 'P9', 4, 90, 2016,'Beleuchtung, EDV'),</v>
      </c>
    </row>
    <row r="2758" spans="1:8" x14ac:dyDescent="0.25">
      <c r="A2758" s="9" t="s">
        <v>2850</v>
      </c>
      <c r="B2758" s="9" t="s">
        <v>1104</v>
      </c>
      <c r="C2758">
        <v>1</v>
      </c>
      <c r="D2758">
        <v>90</v>
      </c>
      <c r="E2758">
        <v>2016</v>
      </c>
      <c r="F2758" s="9" t="s">
        <v>1235</v>
      </c>
      <c r="H2758" s="20" t="str">
        <f t="shared" si="43"/>
        <v>(nextval('obj_part_id_seq'), (select id from obj_building_v where zip||'|'||street||'|'||name||'|'||volume = '4950|Bahnhofstrasse 6|Wohn- und Geschäftshaus|3600.00'), 'P6', 1, 90, 2016,'Fernwärme'),</v>
      </c>
    </row>
    <row r="2759" spans="1:8" x14ac:dyDescent="0.25">
      <c r="A2759" s="9" t="s">
        <v>2850</v>
      </c>
      <c r="B2759" s="9" t="s">
        <v>1106</v>
      </c>
      <c r="C2759">
        <v>3</v>
      </c>
      <c r="D2759">
        <v>90</v>
      </c>
      <c r="E2759">
        <v>2016</v>
      </c>
      <c r="F2759" s="9" t="s">
        <v>1571</v>
      </c>
      <c r="H2759" s="20" t="str">
        <f t="shared" si="43"/>
        <v>(nextval('obj_part_id_seq'), (select id from obj_building_v where zip||'|'||street||'|'||name||'|'||volume = '4950|Bahnhofstrasse 6|Wohn- und Geschäftshaus|3600.00'), 'P7', 3, 90, 2016,'Bodenheizung'),</v>
      </c>
    </row>
    <row r="2760" spans="1:8" x14ac:dyDescent="0.25">
      <c r="A2760" s="9" t="s">
        <v>2850</v>
      </c>
      <c r="B2760" s="9" t="s">
        <v>1135</v>
      </c>
      <c r="C2760">
        <v>3</v>
      </c>
      <c r="D2760">
        <v>90</v>
      </c>
      <c r="E2760">
        <v>2016</v>
      </c>
      <c r="F2760" s="9" t="s">
        <v>1850</v>
      </c>
      <c r="H2760" s="20" t="str">
        <f t="shared" si="43"/>
        <v>(nextval('obj_part_id_seq'), (select id from obj_building_v where zip||'|'||street||'|'||name||'|'||volume = '4950|Bahnhofstrasse 6|Wohn- und Geschäftshaus|3600.00'), 'P54', 3, 90, 2016,'keine Mängel bekannt'),</v>
      </c>
    </row>
    <row r="2761" spans="1:8" x14ac:dyDescent="0.25">
      <c r="A2761" s="9" t="s">
        <v>2850</v>
      </c>
      <c r="B2761" s="9" t="s">
        <v>1137</v>
      </c>
      <c r="C2761">
        <v>4</v>
      </c>
      <c r="D2761">
        <v>90</v>
      </c>
      <c r="E2761">
        <v>2016</v>
      </c>
      <c r="F2761" s="9" t="s">
        <v>2857</v>
      </c>
      <c r="H2761" s="20" t="str">
        <f t="shared" si="43"/>
        <v>(nextval('obj_part_id_seq'), (select id from obj_building_v where zip||'|'||street||'|'||name||'|'||volume = '4950|Bahnhofstrasse 6|Wohn- und Geschäftshaus|3600.00'), 'P55', 4, 90, 2016,'Druck i.O., das Wasser kann ungehindert ablaufen'),</v>
      </c>
    </row>
    <row r="2762" spans="1:8" x14ac:dyDescent="0.25">
      <c r="A2762" s="9" t="s">
        <v>2850</v>
      </c>
      <c r="B2762" s="9" t="s">
        <v>1155</v>
      </c>
      <c r="C2762">
        <v>2</v>
      </c>
      <c r="D2762">
        <v>90</v>
      </c>
      <c r="E2762">
        <v>2016</v>
      </c>
      <c r="F2762" s="9" t="s">
        <v>2858</v>
      </c>
      <c r="H2762" s="20" t="str">
        <f t="shared" si="43"/>
        <v>(nextval('obj_part_id_seq'), (select id from obj_building_v where zip||'|'||street||'|'||name||'|'||volume = '4950|Bahnhofstrasse 6|Wohn- und Geschäftshaus|3600.00'), 'P56', 2, 90, 2016,'Aufzug, neuwertig'),</v>
      </c>
    </row>
    <row r="2763" spans="1:8" x14ac:dyDescent="0.25">
      <c r="A2763" s="9" t="s">
        <v>2850</v>
      </c>
      <c r="B2763" s="9" t="s">
        <v>1138</v>
      </c>
      <c r="C2763">
        <v>9</v>
      </c>
      <c r="D2763">
        <v>90</v>
      </c>
      <c r="E2763">
        <v>2016</v>
      </c>
      <c r="F2763" s="9" t="s">
        <v>2859</v>
      </c>
      <c r="H2763" s="20" t="str">
        <f t="shared" si="43"/>
        <v>(nextval('obj_part_id_seq'), (select id from obj_building_v where zip||'|'||street||'|'||name||'|'||volume = '4950|Bahnhofstrasse 6|Wohn- und Geschäftshaus|3600.00'), 'P57', 9, 90, 2016,'Die Einbauschränke, Innentüren und Holztreppen sind mängelfrei'),</v>
      </c>
    </row>
    <row r="2764" spans="1:8" x14ac:dyDescent="0.25">
      <c r="A2764" s="9" t="s">
        <v>2850</v>
      </c>
      <c r="B2764" s="9" t="s">
        <v>1140</v>
      </c>
      <c r="C2764">
        <v>8</v>
      </c>
      <c r="D2764">
        <v>85</v>
      </c>
      <c r="E2764">
        <v>2016</v>
      </c>
      <c r="F2764" s="9" t="s">
        <v>2860</v>
      </c>
      <c r="H2764" s="20" t="str">
        <f t="shared" si="43"/>
        <v>(nextval('obj_part_id_seq'), (select id from obj_building_v where zip||'|'||street||'|'||name||'|'||volume = '4950|Bahnhofstrasse 6|Wohn- und Geschäftshaus|3600.00'), 'P58', 8, 85, 2016,'B: Keramikplatten, Linoleumboden, W: verputzt, tw. mit Holz verkleidete Wände, Holz-Deckenverkleidung, D: Holz und Gipsdecken in gutem Zustand'),</v>
      </c>
    </row>
    <row r="2765" spans="1:8" x14ac:dyDescent="0.25">
      <c r="A2765" s="9" t="s">
        <v>2850</v>
      </c>
      <c r="B2765" s="9" t="s">
        <v>1157</v>
      </c>
      <c r="C2765">
        <v>4</v>
      </c>
      <c r="D2765">
        <v>90</v>
      </c>
      <c r="E2765">
        <v>2016</v>
      </c>
      <c r="F2765" s="9" t="s">
        <v>2861</v>
      </c>
      <c r="H2765" s="20" t="str">
        <f t="shared" si="43"/>
        <v>(nextval('obj_part_id_seq'), (select id from obj_building_v where zip||'|'||street||'|'||name||'|'||volume = '4950|Bahnhofstrasse 6|Wohn- und Geschäftshaus|3600.00'), 'P59', 4, 90, 2016,'Die Küche ist i.O.'),</v>
      </c>
    </row>
    <row r="2766" spans="1:8" x14ac:dyDescent="0.25">
      <c r="A2766" s="9" t="s">
        <v>2850</v>
      </c>
      <c r="B2766" s="9" t="s">
        <v>1142</v>
      </c>
      <c r="C2766">
        <v>0</v>
      </c>
      <c r="D2766" t="s">
        <v>4080</v>
      </c>
      <c r="E2766">
        <v>2016</v>
      </c>
      <c r="F2766" s="9"/>
      <c r="H2766" s="20" t="str">
        <f t="shared" si="43"/>
        <v>(nextval('obj_part_id_seq'), (select id from obj_building_v where zip||'|'||street||'|'||name||'|'||volume = '4950|Bahnhofstrasse 6|Wohn- und Geschäftshaus|3600.00'), 'P60', 0, null, 2016,null),</v>
      </c>
    </row>
    <row r="2767" spans="1:8" x14ac:dyDescent="0.25">
      <c r="A2767" s="9" t="s">
        <v>2850</v>
      </c>
      <c r="B2767" s="9" t="s">
        <v>1143</v>
      </c>
      <c r="C2767">
        <v>0</v>
      </c>
      <c r="D2767" t="s">
        <v>4080</v>
      </c>
      <c r="E2767">
        <v>2016</v>
      </c>
      <c r="F2767" s="9"/>
      <c r="H2767" s="20" t="str">
        <f t="shared" si="43"/>
        <v>(nextval('obj_part_id_seq'), (select id from obj_building_v where zip||'|'||street||'|'||name||'|'||volume = '4950|Bahnhofstrasse 6|Wohn- und Geschäftshaus|3600.00'), 'P61', 0, null, 2016,null),</v>
      </c>
    </row>
    <row r="2768" spans="1:8" x14ac:dyDescent="0.25">
      <c r="A2768" s="9" t="s">
        <v>2850</v>
      </c>
      <c r="B2768" s="9" t="s">
        <v>1144</v>
      </c>
      <c r="C2768">
        <v>0</v>
      </c>
      <c r="D2768" t="s">
        <v>4080</v>
      </c>
      <c r="E2768">
        <v>2016</v>
      </c>
      <c r="F2768" s="9"/>
      <c r="H2768" s="20" t="str">
        <f t="shared" si="43"/>
        <v>(nextval('obj_part_id_seq'), (select id from obj_building_v where zip||'|'||street||'|'||name||'|'||volume = '4950|Bahnhofstrasse 6|Wohn- und Geschäftshaus|3600.00'), 'P62', 0, null, 2016,null),</v>
      </c>
    </row>
    <row r="2769" spans="1:8" x14ac:dyDescent="0.25">
      <c r="A2769" s="9" t="s">
        <v>2862</v>
      </c>
      <c r="B2769" s="9" t="s">
        <v>1127</v>
      </c>
      <c r="C2769">
        <v>33</v>
      </c>
      <c r="D2769">
        <v>90</v>
      </c>
      <c r="E2769">
        <v>2016</v>
      </c>
      <c r="F2769" s="9" t="s">
        <v>2863</v>
      </c>
      <c r="H2769" s="20" t="str">
        <f t="shared" si="43"/>
        <v>(nextval('obj_part_id_seq'), (select id from obj_building_v where zip||'|'||street||'|'||name||'|'||volume = '4950|Marktgasse 5b|Garagen / Tankraum / Parkplatz|833.00'), 'P48', 33, 90, 2016,'Stahlbeton, Mauerwerk, Rostflecken an Decke'),</v>
      </c>
    </row>
    <row r="2770" spans="1:8" x14ac:dyDescent="0.25">
      <c r="A2770" s="9" t="s">
        <v>2862</v>
      </c>
      <c r="B2770" s="9" t="s">
        <v>1129</v>
      </c>
      <c r="C2770">
        <v>0</v>
      </c>
      <c r="D2770" t="s">
        <v>4080</v>
      </c>
      <c r="E2770">
        <v>2016</v>
      </c>
      <c r="F2770" s="9"/>
      <c r="H2770" s="20" t="str">
        <f t="shared" si="43"/>
        <v>(nextval('obj_part_id_seq'), (select id from obj_building_v where zip||'|'||street||'|'||name||'|'||volume = '4950|Marktgasse 5b|Garagen / Tankraum / Parkplatz|833.00'), 'P49', 0, null, 2016,null),</v>
      </c>
    </row>
    <row r="2771" spans="1:8" x14ac:dyDescent="0.25">
      <c r="A2771" s="9" t="s">
        <v>2862</v>
      </c>
      <c r="B2771" s="9" t="s">
        <v>1099</v>
      </c>
      <c r="C2771">
        <v>20</v>
      </c>
      <c r="D2771">
        <v>90</v>
      </c>
      <c r="E2771">
        <v>2016</v>
      </c>
      <c r="F2771" s="9" t="s">
        <v>2864</v>
      </c>
      <c r="H2771" s="20" t="str">
        <f t="shared" si="43"/>
        <v>(nextval('obj_part_id_seq'), (select id from obj_building_v where zip||'|'||street||'|'||name||'|'||volume = '4950|Marktgasse 5b|Garagen / Tankraum / Parkplatz|833.00'), 'P3', 20, 90, 2016,'Begehbar, dient als Parkplatz'),</v>
      </c>
    </row>
    <row r="2772" spans="1:8" x14ac:dyDescent="0.25">
      <c r="A2772" s="9" t="s">
        <v>2862</v>
      </c>
      <c r="B2772" s="9" t="s">
        <v>1100</v>
      </c>
      <c r="C2772">
        <v>10</v>
      </c>
      <c r="D2772">
        <v>80</v>
      </c>
      <c r="E2772">
        <v>2016</v>
      </c>
      <c r="F2772" s="9" t="s">
        <v>2865</v>
      </c>
      <c r="H2772" s="20" t="str">
        <f t="shared" si="43"/>
        <v>(nextval('obj_part_id_seq'), (select id from obj_building_v where zip||'|'||street||'|'||name||'|'||volume = '4950|Marktgasse 5b|Garagen / Tankraum / Parkplatz|833.00'), 'P4', 10, 80, 2016,'Mauerwerk, verputzt, grösserer Riss bei der Garage 5b ersichtlich'),</v>
      </c>
    </row>
    <row r="2773" spans="1:8" x14ac:dyDescent="0.25">
      <c r="A2773" s="9" t="s">
        <v>2862</v>
      </c>
      <c r="B2773" s="9" t="s">
        <v>1102</v>
      </c>
      <c r="C2773">
        <v>17</v>
      </c>
      <c r="D2773">
        <v>90</v>
      </c>
      <c r="E2773">
        <v>2016</v>
      </c>
      <c r="F2773" s="9" t="s">
        <v>2866</v>
      </c>
      <c r="H2773" s="20" t="str">
        <f t="shared" si="43"/>
        <v>(nextval('obj_part_id_seq'), (select id from obj_building_v where zip||'|'||street||'|'||name||'|'||volume = '4950|Marktgasse 5b|Garagen / Tankraum / Parkplatz|833.00'), 'P5', 17, 90, 2016,'Garagentore'),</v>
      </c>
    </row>
    <row r="2774" spans="1:8" x14ac:dyDescent="0.25">
      <c r="A2774" s="9" t="s">
        <v>2862</v>
      </c>
      <c r="B2774" s="9" t="s">
        <v>1164</v>
      </c>
      <c r="C2774">
        <v>10</v>
      </c>
      <c r="D2774">
        <v>90</v>
      </c>
      <c r="E2774">
        <v>2016</v>
      </c>
      <c r="F2774" s="9"/>
      <c r="H2774" s="20" t="str">
        <f t="shared" si="43"/>
        <v>(nextval('obj_part_id_seq'), (select id from obj_building_v where zip||'|'||street||'|'||name||'|'||volume = '4950|Marktgasse 5b|Garagen / Tankraum / Parkplatz|833.00'), 'P50', 10, 90, 2016,null),</v>
      </c>
    </row>
    <row r="2775" spans="1:8" x14ac:dyDescent="0.25">
      <c r="A2775" s="9" t="s">
        <v>2862</v>
      </c>
      <c r="B2775" s="9" t="s">
        <v>1166</v>
      </c>
      <c r="C2775">
        <v>1</v>
      </c>
      <c r="D2775">
        <v>90</v>
      </c>
      <c r="E2775">
        <v>2016</v>
      </c>
      <c r="F2775" s="9"/>
      <c r="H2775" s="20" t="str">
        <f t="shared" si="43"/>
        <v>(nextval('obj_part_id_seq'), (select id from obj_building_v where zip||'|'||street||'|'||name||'|'||volume = '4950|Marktgasse 5b|Garagen / Tankraum / Parkplatz|833.00'), 'P51', 1, 90, 2016,null),</v>
      </c>
    </row>
    <row r="2776" spans="1:8" x14ac:dyDescent="0.25">
      <c r="A2776" s="9" t="s">
        <v>2862</v>
      </c>
      <c r="B2776" s="9" t="s">
        <v>1403</v>
      </c>
      <c r="C2776">
        <v>0</v>
      </c>
      <c r="D2776" t="s">
        <v>4080</v>
      </c>
      <c r="E2776">
        <v>2016</v>
      </c>
      <c r="F2776" s="9"/>
      <c r="H2776" s="20" t="str">
        <f t="shared" si="43"/>
        <v>(nextval('obj_part_id_seq'), (select id from obj_building_v where zip||'|'||street||'|'||name||'|'||volume = '4950|Marktgasse 5b|Garagen / Tankraum / Parkplatz|833.00'), 'P52', 0, null, 2016,null),</v>
      </c>
    </row>
    <row r="2777" spans="1:8" x14ac:dyDescent="0.25">
      <c r="A2777" s="9" t="s">
        <v>2862</v>
      </c>
      <c r="B2777" s="9" t="s">
        <v>1404</v>
      </c>
      <c r="C2777">
        <v>0</v>
      </c>
      <c r="D2777" t="s">
        <v>4080</v>
      </c>
      <c r="E2777">
        <v>2016</v>
      </c>
      <c r="F2777" s="9"/>
      <c r="H2777" s="20" t="str">
        <f t="shared" si="43"/>
        <v>(nextval('obj_part_id_seq'), (select id from obj_building_v where zip||'|'||street||'|'||name||'|'||volume = '4950|Marktgasse 5b|Garagen / Tankraum / Parkplatz|833.00'), 'P53', 0, null, 2016,null),</v>
      </c>
    </row>
    <row r="2778" spans="1:8" x14ac:dyDescent="0.25">
      <c r="A2778" s="9" t="s">
        <v>2862</v>
      </c>
      <c r="B2778" s="9" t="s">
        <v>1108</v>
      </c>
      <c r="C2778">
        <v>1</v>
      </c>
      <c r="D2778">
        <v>90</v>
      </c>
      <c r="E2778">
        <v>2016</v>
      </c>
      <c r="F2778" s="9" t="s">
        <v>2867</v>
      </c>
      <c r="H2778" s="20" t="str">
        <f t="shared" si="43"/>
        <v>(nextval('obj_part_id_seq'), (select id from obj_building_v where zip||'|'||street||'|'||name||'|'||volume = '4950|Marktgasse 5b|Garagen / Tankraum / Parkplatz|833.00'), 'P8', 1, 90, 2016,'Bei der Garage 5b) ist kein Wasseranschluss vorhanden. Der Ablauf ist in Ordnung.'),</v>
      </c>
    </row>
    <row r="2779" spans="1:8" x14ac:dyDescent="0.25">
      <c r="A2779" s="9" t="s">
        <v>2862</v>
      </c>
      <c r="B2779" s="9" t="s">
        <v>1155</v>
      </c>
      <c r="C2779">
        <v>0</v>
      </c>
      <c r="D2779" t="s">
        <v>4080</v>
      </c>
      <c r="E2779">
        <v>2016</v>
      </c>
      <c r="F2779" s="9"/>
      <c r="H2779" s="20" t="str">
        <f t="shared" si="43"/>
        <v>(nextval('obj_part_id_seq'), (select id from obj_building_v where zip||'|'||street||'|'||name||'|'||volume = '4950|Marktgasse 5b|Garagen / Tankraum / Parkplatz|833.00'), 'P56', 0, null, 2016,null),</v>
      </c>
    </row>
    <row r="2780" spans="1:8" x14ac:dyDescent="0.25">
      <c r="A2780" s="9" t="s">
        <v>2862</v>
      </c>
      <c r="B2780" s="9" t="s">
        <v>1114</v>
      </c>
      <c r="C2780">
        <v>8</v>
      </c>
      <c r="D2780">
        <v>90</v>
      </c>
      <c r="E2780">
        <v>2016</v>
      </c>
      <c r="F2780" s="9" t="s">
        <v>2868</v>
      </c>
      <c r="H2780" s="20" t="str">
        <f t="shared" si="43"/>
        <v>(nextval('obj_part_id_seq'), (select id from obj_building_v where zip||'|'||street||'|'||name||'|'||volume = '4950|Marktgasse 5b|Garagen / Tankraum / Parkplatz|833.00'), 'P11', 8, 90, 2016,'B: Hartbeton, W: Mauerwerk gestrichen, D: Heraklit'),</v>
      </c>
    </row>
    <row r="2781" spans="1:8" x14ac:dyDescent="0.25">
      <c r="A2781" s="9" t="s">
        <v>2862</v>
      </c>
      <c r="B2781" s="9" t="s">
        <v>1142</v>
      </c>
      <c r="C2781">
        <v>0</v>
      </c>
      <c r="D2781" t="s">
        <v>4080</v>
      </c>
      <c r="E2781">
        <v>2016</v>
      </c>
      <c r="F2781" s="9"/>
      <c r="H2781" s="20" t="str">
        <f t="shared" si="43"/>
        <v>(nextval('obj_part_id_seq'), (select id from obj_building_v where zip||'|'||street||'|'||name||'|'||volume = '4950|Marktgasse 5b|Garagen / Tankraum / Parkplatz|833.00'), 'P60', 0, null, 2016,null),</v>
      </c>
    </row>
    <row r="2782" spans="1:8" x14ac:dyDescent="0.25">
      <c r="A2782" s="9" t="s">
        <v>2862</v>
      </c>
      <c r="B2782" s="9" t="s">
        <v>1143</v>
      </c>
      <c r="C2782">
        <v>0</v>
      </c>
      <c r="D2782" t="s">
        <v>4080</v>
      </c>
      <c r="E2782">
        <v>2016</v>
      </c>
      <c r="F2782" s="9"/>
      <c r="H2782" s="20" t="str">
        <f t="shared" si="43"/>
        <v>(nextval('obj_part_id_seq'), (select id from obj_building_v where zip||'|'||street||'|'||name||'|'||volume = '4950|Marktgasse 5b|Garagen / Tankraum / Parkplatz|833.00'), 'P61', 0, null, 2016,null),</v>
      </c>
    </row>
    <row r="2783" spans="1:8" x14ac:dyDescent="0.25">
      <c r="A2783" s="9" t="s">
        <v>2862</v>
      </c>
      <c r="B2783" s="9" t="s">
        <v>1144</v>
      </c>
      <c r="C2783">
        <v>0</v>
      </c>
      <c r="D2783" t="s">
        <v>4080</v>
      </c>
      <c r="E2783">
        <v>2016</v>
      </c>
      <c r="F2783" s="9"/>
      <c r="H2783" s="20" t="str">
        <f t="shared" si="43"/>
        <v>(nextval('obj_part_id_seq'), (select id from obj_building_v where zip||'|'||street||'|'||name||'|'||volume = '4950|Marktgasse 5b|Garagen / Tankraum / Parkplatz|833.00'), 'P62', 0, null, 2016,null),</v>
      </c>
    </row>
    <row r="2784" spans="1:8" x14ac:dyDescent="0.25">
      <c r="A2784" s="9" t="s">
        <v>2869</v>
      </c>
      <c r="B2784" s="9" t="s">
        <v>1127</v>
      </c>
      <c r="C2784">
        <v>33</v>
      </c>
      <c r="D2784">
        <v>90</v>
      </c>
      <c r="E2784">
        <v>2016</v>
      </c>
      <c r="F2784" s="9" t="s">
        <v>2069</v>
      </c>
      <c r="H2784" s="20" t="str">
        <f t="shared" si="43"/>
        <v>(nextval('obj_part_id_seq'), (select id from obj_building_v where zip||'|'||street||'|'||name||'|'||volume = '4950|Dornackerweg 2|Turnhalle, Sportplatz|8000.00'), 'P48', 33, 90, 2016,'Mauerwerk, Stahlbeton'),</v>
      </c>
    </row>
    <row r="2785" spans="1:8" x14ac:dyDescent="0.25">
      <c r="A2785" s="9" t="s">
        <v>2869</v>
      </c>
      <c r="B2785" s="9" t="s">
        <v>1129</v>
      </c>
      <c r="C2785">
        <v>0</v>
      </c>
      <c r="D2785" t="s">
        <v>4080</v>
      </c>
      <c r="E2785">
        <v>2016</v>
      </c>
      <c r="F2785" s="9"/>
      <c r="H2785" s="20" t="str">
        <f t="shared" si="43"/>
        <v>(nextval('obj_part_id_seq'), (select id from obj_building_v where zip||'|'||street||'|'||name||'|'||volume = '4950|Dornackerweg 2|Turnhalle, Sportplatz|8000.00'), 'P49', 0, null, 2016,null),</v>
      </c>
    </row>
    <row r="2786" spans="1:8" x14ac:dyDescent="0.25">
      <c r="A2786" s="9" t="s">
        <v>2869</v>
      </c>
      <c r="B2786" s="9" t="s">
        <v>1097</v>
      </c>
      <c r="C2786">
        <v>13</v>
      </c>
      <c r="D2786">
        <v>90</v>
      </c>
      <c r="E2786">
        <v>2016</v>
      </c>
      <c r="F2786" s="9" t="s">
        <v>2870</v>
      </c>
      <c r="H2786" s="20" t="str">
        <f t="shared" si="43"/>
        <v>(nextval('obj_part_id_seq'), (select id from obj_building_v where zip||'|'||street||'|'||name||'|'||volume = '4950|Dornackerweg 2|Turnhalle, Sportplatz|8000.00'), 'P2', 13, 90, 2016,'Satteldach mit Falzziegeleindeckung, Blechdach beim Anbau, Untersichten ohne Schäden'),</v>
      </c>
    </row>
    <row r="2787" spans="1:8" x14ac:dyDescent="0.25">
      <c r="A2787" s="9" t="s">
        <v>2869</v>
      </c>
      <c r="B2787" s="9" t="s">
        <v>1099</v>
      </c>
      <c r="C2787">
        <v>0</v>
      </c>
      <c r="D2787" t="s">
        <v>4080</v>
      </c>
      <c r="E2787">
        <v>2016</v>
      </c>
      <c r="F2787" s="9"/>
      <c r="H2787" s="20" t="str">
        <f t="shared" si="43"/>
        <v>(nextval('obj_part_id_seq'), (select id from obj_building_v where zip||'|'||street||'|'||name||'|'||volume = '4950|Dornackerweg 2|Turnhalle, Sportplatz|8000.00'), 'P3', 0, null, 2016,null),</v>
      </c>
    </row>
    <row r="2788" spans="1:8" x14ac:dyDescent="0.25">
      <c r="A2788" s="9" t="s">
        <v>2869</v>
      </c>
      <c r="B2788" s="9" t="s">
        <v>1100</v>
      </c>
      <c r="C2788">
        <v>6</v>
      </c>
      <c r="D2788">
        <v>85</v>
      </c>
      <c r="E2788">
        <v>2016</v>
      </c>
      <c r="F2788" s="9" t="s">
        <v>2871</v>
      </c>
      <c r="H2788" s="20" t="str">
        <f t="shared" si="43"/>
        <v>(nextval('obj_part_id_seq'), (select id from obj_building_v where zip||'|'||street||'|'||name||'|'||volume = '4950|Dornackerweg 2|Turnhalle, Sportplatz|8000.00'), 'P4', 6, 85, 2016,'Skelettbau mit Ausfachungen aus Mauerwerk, tw. Sicht-MW und verputzt, gestrichen mit Kunststeingewänden, diverse Risse und Abplatzungen im Sockelbereich erkennbar, Anbau mit Eternitsschindeln, einzelne Beschädigungen vorh., Velounterstand: Sichtbeton'),</v>
      </c>
    </row>
    <row r="2789" spans="1:8" x14ac:dyDescent="0.25">
      <c r="A2789" s="9" t="s">
        <v>2869</v>
      </c>
      <c r="B2789" s="9" t="s">
        <v>1102</v>
      </c>
      <c r="C2789">
        <v>8</v>
      </c>
      <c r="D2789">
        <v>80</v>
      </c>
      <c r="E2789">
        <v>2016</v>
      </c>
      <c r="F2789" s="9" t="s">
        <v>2872</v>
      </c>
      <c r="H2789" s="20" t="str">
        <f t="shared" si="43"/>
        <v>(nextval('obj_part_id_seq'), (select id from obj_building_v where zip||'|'||street||'|'||name||'|'||volume = '4950|Dornackerweg 2|Turnhalle, Sportplatz|8000.00'), 'P5', 8, 80, 2016,'Holz-/Metallfenster 3-fach IV und Glasbausteine, Eingangstüre aus Metall-/Glas mit Windfang, Oblicht aus Glasbausteinen beim Velokeller, Metallfenster im Geräteraum'),</v>
      </c>
    </row>
    <row r="2790" spans="1:8" x14ac:dyDescent="0.25">
      <c r="A2790" s="9" t="s">
        <v>2869</v>
      </c>
      <c r="B2790" s="9" t="s">
        <v>1110</v>
      </c>
      <c r="C2790">
        <v>5</v>
      </c>
      <c r="D2790">
        <v>85</v>
      </c>
      <c r="E2790">
        <v>2016</v>
      </c>
      <c r="F2790" s="9" t="s">
        <v>2873</v>
      </c>
      <c r="H2790" s="20" t="str">
        <f t="shared" si="43"/>
        <v>(nextval('obj_part_id_seq'), (select id from obj_building_v where zip||'|'||street||'|'||name||'|'||volume = '4950|Dornackerweg 2|Turnhalle, Sportplatz|8000.00'), 'P9', 5, 85, 2016,'Beleuchtung Turnhalle mit LED, alte Keramik-Sicherungen und Schalter vorhanden, Elektrotableau möglicherweise mit asbesthaltiger Grundplatte, Schliessanlage'),</v>
      </c>
    </row>
    <row r="2791" spans="1:8" x14ac:dyDescent="0.25">
      <c r="A2791" s="9" t="s">
        <v>2869</v>
      </c>
      <c r="B2791" s="9" t="s">
        <v>1104</v>
      </c>
      <c r="C2791">
        <v>2</v>
      </c>
      <c r="D2791">
        <v>90</v>
      </c>
      <c r="E2791">
        <v>2016</v>
      </c>
      <c r="F2791" s="9" t="s">
        <v>2874</v>
      </c>
      <c r="H2791" s="20" t="str">
        <f t="shared" si="43"/>
        <v>(nextval('obj_part_id_seq'), (select id from obj_building_v where zip||'|'||street||'|'||name||'|'||volume = '4950|Dornackerweg 2|Turnhalle, Sportplatz|8000.00'), 'P6', 2, 90, 2016,'Fernwärme, Sonnenkollektoren für Brauchwarmwasser und Heizungsunterstützung'),</v>
      </c>
    </row>
    <row r="2792" spans="1:8" x14ac:dyDescent="0.25">
      <c r="A2792" s="9" t="s">
        <v>2869</v>
      </c>
      <c r="B2792" s="9" t="s">
        <v>1106</v>
      </c>
      <c r="C2792">
        <v>3</v>
      </c>
      <c r="D2792">
        <v>85</v>
      </c>
      <c r="E2792">
        <v>2016</v>
      </c>
      <c r="F2792" s="9" t="s">
        <v>1107</v>
      </c>
      <c r="H2792" s="20" t="str">
        <f t="shared" si="43"/>
        <v>(nextval('obj_part_id_seq'), (select id from obj_building_v where zip||'|'||street||'|'||name||'|'||volume = '4950|Dornackerweg 2|Turnhalle, Sportplatz|8000.00'), 'P7', 3, 85, 2016,'Radiatoren mit Thermostaten'),</v>
      </c>
    </row>
    <row r="2793" spans="1:8" x14ac:dyDescent="0.25">
      <c r="A2793" s="9" t="s">
        <v>2869</v>
      </c>
      <c r="B2793" s="9" t="s">
        <v>1403</v>
      </c>
      <c r="C2793">
        <v>2</v>
      </c>
      <c r="D2793">
        <v>90</v>
      </c>
      <c r="E2793">
        <v>2016</v>
      </c>
      <c r="F2793" s="9"/>
      <c r="H2793" s="20" t="str">
        <f t="shared" si="43"/>
        <v>(nextval('obj_part_id_seq'), (select id from obj_building_v where zip||'|'||street||'|'||name||'|'||volume = '4950|Dornackerweg 2|Turnhalle, Sportplatz|8000.00'), 'P52', 2, 90, 2016,null),</v>
      </c>
    </row>
    <row r="2794" spans="1:8" x14ac:dyDescent="0.25">
      <c r="A2794" s="9" t="s">
        <v>2869</v>
      </c>
      <c r="B2794" s="9" t="s">
        <v>1404</v>
      </c>
      <c r="C2794">
        <v>2</v>
      </c>
      <c r="D2794">
        <v>90</v>
      </c>
      <c r="E2794">
        <v>2016</v>
      </c>
      <c r="F2794" s="9"/>
      <c r="H2794" s="20" t="str">
        <f t="shared" si="43"/>
        <v>(nextval('obj_part_id_seq'), (select id from obj_building_v where zip||'|'||street||'|'||name||'|'||volume = '4950|Dornackerweg 2|Turnhalle, Sportplatz|8000.00'), 'P53', 2, 90, 2016,null),</v>
      </c>
    </row>
    <row r="2795" spans="1:8" x14ac:dyDescent="0.25">
      <c r="A2795" s="9" t="s">
        <v>2869</v>
      </c>
      <c r="B2795" s="9" t="s">
        <v>1135</v>
      </c>
      <c r="C2795">
        <v>2</v>
      </c>
      <c r="D2795">
        <v>90</v>
      </c>
      <c r="E2795">
        <v>2016</v>
      </c>
      <c r="F2795" s="9" t="s">
        <v>2875</v>
      </c>
      <c r="H2795" s="20" t="str">
        <f t="shared" si="43"/>
        <v>(nextval('obj_part_id_seq'), (select id from obj_building_v where zip||'|'||street||'|'||name||'|'||volume = '4950|Dornackerweg 2|Turnhalle, Sportplatz|8000.00'), 'P54', 2, 90, 2016,'Teilw. ältere Apparate vorh., jedoch keine Mängel bekannt, Secomat-Wäschetrockner, Fusswaschanlagen und Duschen vorhanden'),</v>
      </c>
    </row>
    <row r="2796" spans="1:8" x14ac:dyDescent="0.25">
      <c r="A2796" s="9" t="s">
        <v>2869</v>
      </c>
      <c r="B2796" s="9" t="s">
        <v>1137</v>
      </c>
      <c r="C2796">
        <v>3</v>
      </c>
      <c r="D2796">
        <v>80</v>
      </c>
      <c r="E2796">
        <v>2016</v>
      </c>
      <c r="F2796" s="9" t="s">
        <v>2876</v>
      </c>
      <c r="H2796" s="20" t="str">
        <f t="shared" si="43"/>
        <v>(nextval('obj_part_id_seq'), (select id from obj_building_v where zip||'|'||street||'|'||name||'|'||volume = '4950|Dornackerweg 2|Turnhalle, Sportplatz|8000.00'), 'P55', 3, 80, 2016,'Einzelne Leitungen sind nicht isoliert und weisen Rost und Ausblühungen auf'),</v>
      </c>
    </row>
    <row r="2797" spans="1:8" x14ac:dyDescent="0.25">
      <c r="A2797" s="9" t="s">
        <v>2869</v>
      </c>
      <c r="B2797" s="9" t="s">
        <v>1138</v>
      </c>
      <c r="C2797">
        <v>10</v>
      </c>
      <c r="D2797">
        <v>90</v>
      </c>
      <c r="E2797">
        <v>2016</v>
      </c>
      <c r="F2797" s="9" t="s">
        <v>2877</v>
      </c>
      <c r="H2797" s="20" t="str">
        <f t="shared" si="43"/>
        <v>(nextval('obj_part_id_seq'), (select id from obj_building_v where zip||'|'||street||'|'||name||'|'||volume = '4950|Dornackerweg 2|Turnhalle, Sportplatz|8000.00'), 'P57', 10, 90, 2016,'Innentüren aus Holz, Einbauschränke, innere Verglasung, Garderoben'),</v>
      </c>
    </row>
    <row r="2798" spans="1:8" x14ac:dyDescent="0.25">
      <c r="A2798" s="9" t="s">
        <v>2869</v>
      </c>
      <c r="B2798" s="9" t="s">
        <v>1140</v>
      </c>
      <c r="C2798">
        <v>11</v>
      </c>
      <c r="D2798">
        <v>70</v>
      </c>
      <c r="E2798">
        <v>2016</v>
      </c>
      <c r="F2798" s="9" t="s">
        <v>2878</v>
      </c>
      <c r="H2798" s="20" t="str">
        <f t="shared" si="43"/>
        <v>(nextval('obj_part_id_seq'), (select id from obj_building_v where zip||'|'||street||'|'||name||'|'||volume = '4950|Dornackerweg 2|Turnhalle, Sportplatz|8000.00'), 'P58', 11, 70, 2016,'B: Keramikplatten, Linoleum, PVC, Natursteinplatten, Kunststeinplatten, Teppich, W: Verputz, Holztäfer, Keramikplatten, Heraklith, D: Verputz, Holz, Akustikdecke, Schimmelbildung an dem Wand-/Deckenanschluss vorhanden'),</v>
      </c>
    </row>
    <row r="2799" spans="1:8" x14ac:dyDescent="0.25">
      <c r="A2799" s="9" t="s">
        <v>2869</v>
      </c>
      <c r="B2799" s="9" t="s">
        <v>1142</v>
      </c>
      <c r="C2799">
        <v>0</v>
      </c>
      <c r="D2799" t="s">
        <v>4080</v>
      </c>
      <c r="E2799">
        <v>2016</v>
      </c>
      <c r="F2799" s="9"/>
      <c r="H2799" s="20" t="str">
        <f t="shared" si="43"/>
        <v>(nextval('obj_part_id_seq'), (select id from obj_building_v where zip||'|'||street||'|'||name||'|'||volume = '4950|Dornackerweg 2|Turnhalle, Sportplatz|8000.00'), 'P60', 0, null, 2016,null),</v>
      </c>
    </row>
    <row r="2800" spans="1:8" x14ac:dyDescent="0.25">
      <c r="A2800" s="9" t="s">
        <v>2869</v>
      </c>
      <c r="B2800" s="9" t="s">
        <v>1143</v>
      </c>
      <c r="C2800">
        <v>0</v>
      </c>
      <c r="D2800" t="s">
        <v>4080</v>
      </c>
      <c r="E2800">
        <v>2016</v>
      </c>
      <c r="F2800" s="9"/>
      <c r="H2800" s="20" t="str">
        <f t="shared" si="43"/>
        <v>(nextval('obj_part_id_seq'), (select id from obj_building_v where zip||'|'||street||'|'||name||'|'||volume = '4950|Dornackerweg 2|Turnhalle, Sportplatz|8000.00'), 'P61', 0, null, 2016,null),</v>
      </c>
    </row>
    <row r="2801" spans="1:8" x14ac:dyDescent="0.25">
      <c r="A2801" s="9" t="s">
        <v>2869</v>
      </c>
      <c r="B2801" s="9" t="s">
        <v>1144</v>
      </c>
      <c r="C2801">
        <v>0</v>
      </c>
      <c r="D2801" t="s">
        <v>4080</v>
      </c>
      <c r="E2801">
        <v>2016</v>
      </c>
      <c r="F2801" s="9"/>
      <c r="H2801" s="20" t="str">
        <f t="shared" si="43"/>
        <v>(nextval('obj_part_id_seq'), (select id from obj_building_v where zip||'|'||street||'|'||name||'|'||volume = '4950|Dornackerweg 2|Turnhalle, Sportplatz|8000.00'), 'P62', 0, null, 2016,null),</v>
      </c>
    </row>
    <row r="2802" spans="1:8" x14ac:dyDescent="0.25">
      <c r="A2802" s="9" t="s">
        <v>2879</v>
      </c>
      <c r="B2802" s="9" t="s">
        <v>1127</v>
      </c>
      <c r="C2802">
        <v>29</v>
      </c>
      <c r="D2802">
        <v>90</v>
      </c>
      <c r="E2802">
        <v>2016</v>
      </c>
      <c r="F2802" s="9" t="s">
        <v>2880</v>
      </c>
      <c r="H2802" s="20" t="str">
        <f t="shared" si="43"/>
        <v>(nextval('obj_part_id_seq'), (select id from obj_building_v where zip||'|'||street||'|'||name||'|'||volume = '4950|Friedhofweg 31a/37a|Friedhof, Leichenhalle|1085.00'), 'P48', 29, 90, 2016,'Mauerwerk mit Holzstützen beim Eingang, Stahlbetondecke und KS im UG'),</v>
      </c>
    </row>
    <row r="2803" spans="1:8" x14ac:dyDescent="0.25">
      <c r="A2803" s="9" t="s">
        <v>2879</v>
      </c>
      <c r="B2803" s="9" t="s">
        <v>1129</v>
      </c>
      <c r="C2803">
        <v>0</v>
      </c>
      <c r="D2803" t="s">
        <v>4080</v>
      </c>
      <c r="E2803">
        <v>2016</v>
      </c>
      <c r="F2803" s="9"/>
      <c r="H2803" s="20" t="str">
        <f t="shared" si="43"/>
        <v>(nextval('obj_part_id_seq'), (select id from obj_building_v where zip||'|'||street||'|'||name||'|'||volume = '4950|Friedhofweg 31a/37a|Friedhof, Leichenhalle|1085.00'), 'P49', 0, null, 2016,null),</v>
      </c>
    </row>
    <row r="2804" spans="1:8" x14ac:dyDescent="0.25">
      <c r="A2804" s="9" t="s">
        <v>2879</v>
      </c>
      <c r="B2804" s="9" t="s">
        <v>1097</v>
      </c>
      <c r="C2804">
        <v>14</v>
      </c>
      <c r="D2804">
        <v>80</v>
      </c>
      <c r="E2804">
        <v>2016</v>
      </c>
      <c r="F2804" s="9" t="s">
        <v>2881</v>
      </c>
      <c r="H2804" s="20" t="str">
        <f t="shared" si="43"/>
        <v>(nextval('obj_part_id_seq'), (select id from obj_building_v where zip||'|'||street||'|'||name||'|'||volume = '4950|Friedhofweg 31a/37a|Friedhof, Leichenhalle|1085.00'), 'P2', 14, 80, 2016,'Mansarddendach mit Eternitschindeleindeckung, Untersichten aus Holz'),</v>
      </c>
    </row>
    <row r="2805" spans="1:8" x14ac:dyDescent="0.25">
      <c r="A2805" s="9" t="s">
        <v>2879</v>
      </c>
      <c r="B2805" s="9" t="s">
        <v>1099</v>
      </c>
      <c r="C2805">
        <v>0</v>
      </c>
      <c r="D2805" t="s">
        <v>4080</v>
      </c>
      <c r="E2805">
        <v>2016</v>
      </c>
      <c r="F2805" s="9"/>
      <c r="H2805" s="20" t="str">
        <f t="shared" si="43"/>
        <v>(nextval('obj_part_id_seq'), (select id from obj_building_v where zip||'|'||street||'|'||name||'|'||volume = '4950|Friedhofweg 31a/37a|Friedhof, Leichenhalle|1085.00'), 'P3', 0, null, 2016,null),</v>
      </c>
    </row>
    <row r="2806" spans="1:8" x14ac:dyDescent="0.25">
      <c r="A2806" s="9" t="s">
        <v>2879</v>
      </c>
      <c r="B2806" s="9" t="s">
        <v>1100</v>
      </c>
      <c r="C2806">
        <v>10</v>
      </c>
      <c r="D2806">
        <v>90</v>
      </c>
      <c r="E2806">
        <v>2016</v>
      </c>
      <c r="F2806" s="9" t="s">
        <v>2882</v>
      </c>
      <c r="H2806" s="20" t="str">
        <f t="shared" si="43"/>
        <v>(nextval('obj_part_id_seq'), (select id from obj_building_v where zip||'|'||street||'|'||name||'|'||volume = '4950|Friedhofweg 31a/37a|Friedhof, Leichenhalle|1085.00'), 'P4', 10, 90, 2016,'Sichtmauerwerk'),</v>
      </c>
    </row>
    <row r="2807" spans="1:8" x14ac:dyDescent="0.25">
      <c r="A2807" s="9" t="s">
        <v>2879</v>
      </c>
      <c r="B2807" s="9" t="s">
        <v>1102</v>
      </c>
      <c r="C2807">
        <v>12</v>
      </c>
      <c r="D2807">
        <v>80</v>
      </c>
      <c r="E2807">
        <v>2016</v>
      </c>
      <c r="F2807" s="9" t="s">
        <v>2883</v>
      </c>
      <c r="H2807" s="20" t="str">
        <f t="shared" si="43"/>
        <v>(nextval('obj_part_id_seq'), (select id from obj_building_v where zip||'|'||street||'|'||name||'|'||volume = '4950|Friedhofweg 31a/37a|Friedhof, Leichenhalle|1085.00'), 'P5', 12, 80, 2016,'Holzfenster, doppelverglast, keine IV, Oblicht, Eingangstüre aus Holz mit Glaseinfassung'),</v>
      </c>
    </row>
    <row r="2808" spans="1:8" x14ac:dyDescent="0.25">
      <c r="A2808" s="9" t="s">
        <v>2879</v>
      </c>
      <c r="B2808" s="9" t="s">
        <v>1110</v>
      </c>
      <c r="C2808">
        <v>4</v>
      </c>
      <c r="D2808">
        <v>80</v>
      </c>
      <c r="E2808">
        <v>2016</v>
      </c>
      <c r="F2808" s="9" t="s">
        <v>2884</v>
      </c>
      <c r="H2808" s="20" t="str">
        <f t="shared" si="43"/>
        <v>(nextval('obj_part_id_seq'), (select id from obj_building_v where zip||'|'||street||'|'||name||'|'||volume = '4950|Friedhofweg 31a/37a|Friedhof, Leichenhalle|1085.00'), 'P9', 4, 80, 2016,'Elektrotableau vermutlich mit asbesthaltiger Grundplatte, alte Keramiksicherungen vorhanden'),</v>
      </c>
    </row>
    <row r="2809" spans="1:8" x14ac:dyDescent="0.25">
      <c r="A2809" s="9" t="s">
        <v>2879</v>
      </c>
      <c r="B2809" s="9" t="s">
        <v>1104</v>
      </c>
      <c r="C2809">
        <v>1</v>
      </c>
      <c r="D2809">
        <v>90</v>
      </c>
      <c r="E2809">
        <v>2016</v>
      </c>
      <c r="F2809" s="9" t="s">
        <v>2227</v>
      </c>
      <c r="H2809" s="20" t="str">
        <f t="shared" si="43"/>
        <v>(nextval('obj_part_id_seq'), (select id from obj_building_v where zip||'|'||street||'|'||name||'|'||volume = '4950|Friedhofweg 31a/37a|Friedhof, Leichenhalle|1085.00'), 'P6', 1, 90, 2016,'Elektroheizung'),</v>
      </c>
    </row>
    <row r="2810" spans="1:8" x14ac:dyDescent="0.25">
      <c r="A2810" s="9" t="s">
        <v>2879</v>
      </c>
      <c r="B2810" s="9" t="s">
        <v>1106</v>
      </c>
      <c r="C2810">
        <v>4</v>
      </c>
      <c r="D2810">
        <v>90</v>
      </c>
      <c r="E2810">
        <v>2016</v>
      </c>
      <c r="F2810" s="9" t="s">
        <v>2227</v>
      </c>
      <c r="H2810" s="20" t="str">
        <f t="shared" si="43"/>
        <v>(nextval('obj_part_id_seq'), (select id from obj_building_v where zip||'|'||street||'|'||name||'|'||volume = '4950|Friedhofweg 31a/37a|Friedhof, Leichenhalle|1085.00'), 'P7', 4, 90, 2016,'Elektroheizung'),</v>
      </c>
    </row>
    <row r="2811" spans="1:8" x14ac:dyDescent="0.25">
      <c r="A2811" s="9" t="s">
        <v>2879</v>
      </c>
      <c r="B2811" s="9" t="s">
        <v>1403</v>
      </c>
      <c r="C2811">
        <v>3</v>
      </c>
      <c r="D2811">
        <v>90</v>
      </c>
      <c r="E2811">
        <v>2016</v>
      </c>
      <c r="F2811" s="9" t="s">
        <v>2885</v>
      </c>
      <c r="H2811" s="20" t="str">
        <f t="shared" si="43"/>
        <v>(nextval('obj_part_id_seq'), (select id from obj_building_v where zip||'|'||street||'|'||name||'|'||volume = '4950|Friedhofweg 31a/37a|Friedhof, Leichenhalle|1085.00'), 'P52', 3, 90, 2016,'Kühlraum mit Kühlaggregat im UG'),</v>
      </c>
    </row>
    <row r="2812" spans="1:8" x14ac:dyDescent="0.25">
      <c r="A2812" s="9" t="s">
        <v>2879</v>
      </c>
      <c r="B2812" s="9" t="s">
        <v>1404</v>
      </c>
      <c r="C2812">
        <v>3</v>
      </c>
      <c r="D2812">
        <v>90</v>
      </c>
      <c r="E2812">
        <v>2016</v>
      </c>
      <c r="F2812" s="9" t="s">
        <v>2577</v>
      </c>
      <c r="H2812" s="20" t="str">
        <f t="shared" si="43"/>
        <v>(nextval('obj_part_id_seq'), (select id from obj_building_v where zip||'|'||street||'|'||name||'|'||volume = '4950|Friedhofweg 31a/37a|Friedhof, Leichenhalle|1085.00'), 'P53', 3, 90, 2016,'Lüftung'),</v>
      </c>
    </row>
    <row r="2813" spans="1:8" x14ac:dyDescent="0.25">
      <c r="A2813" s="9" t="s">
        <v>2879</v>
      </c>
      <c r="B2813" s="9" t="s">
        <v>1108</v>
      </c>
      <c r="C2813">
        <v>5</v>
      </c>
      <c r="D2813">
        <v>90</v>
      </c>
      <c r="E2813">
        <v>2016</v>
      </c>
      <c r="F2813" s="9" t="s">
        <v>2886</v>
      </c>
      <c r="H2813" s="20" t="str">
        <f t="shared" si="43"/>
        <v>(nextval('obj_part_id_seq'), (select id from obj_building_v where zip||'|'||street||'|'||name||'|'||volume = '4950|Friedhofweg 31a/37a|Friedhof, Leichenhalle|1085.00'), 'P8', 5, 90, 2016,'Keine Mängel ersichtlich'),</v>
      </c>
    </row>
    <row r="2814" spans="1:8" x14ac:dyDescent="0.25">
      <c r="A2814" s="9" t="s">
        <v>2879</v>
      </c>
      <c r="B2814" s="9" t="s">
        <v>1138</v>
      </c>
      <c r="C2814">
        <v>11</v>
      </c>
      <c r="D2814">
        <v>90</v>
      </c>
      <c r="E2814">
        <v>2016</v>
      </c>
      <c r="F2814" s="9" t="s">
        <v>2887</v>
      </c>
      <c r="H2814" s="20" t="str">
        <f t="shared" si="43"/>
        <v>(nextval('obj_part_id_seq'), (select id from obj_building_v where zip||'|'||street||'|'||name||'|'||volume = '4950|Friedhofweg 31a/37a|Friedhof, Leichenhalle|1085.00'), 'P57', 11, 90, 2016,'Holzverkleidungen, innere Verglasung, Einbauschränke, Innentüren aus Holz, Gewölbe im Entrée verputzt, Simse aus KH-Platten'),</v>
      </c>
    </row>
    <row r="2815" spans="1:8" x14ac:dyDescent="0.25">
      <c r="A2815" s="9" t="s">
        <v>2879</v>
      </c>
      <c r="B2815" s="9" t="s">
        <v>1140</v>
      </c>
      <c r="C2815">
        <v>4</v>
      </c>
      <c r="D2815">
        <v>90</v>
      </c>
      <c r="E2815">
        <v>2016</v>
      </c>
      <c r="F2815" s="9" t="s">
        <v>2888</v>
      </c>
      <c r="H2815" s="20" t="str">
        <f t="shared" si="43"/>
        <v>(nextval('obj_part_id_seq'), (select id from obj_building_v where zip||'|'||street||'|'||name||'|'||volume = '4950|Friedhofweg 31a/37a|Friedhof, Leichenhalle|1085.00'), 'P58', 4, 90, 2016,'B: Keramik, Kunststeinplatten, W: Holz und Verputz, D: Verputz'),</v>
      </c>
    </row>
    <row r="2816" spans="1:8" x14ac:dyDescent="0.25">
      <c r="A2816" s="9" t="s">
        <v>2879</v>
      </c>
      <c r="B2816" s="9" t="s">
        <v>1157</v>
      </c>
      <c r="C2816">
        <v>0</v>
      </c>
      <c r="D2816" t="s">
        <v>4080</v>
      </c>
      <c r="E2816">
        <v>2016</v>
      </c>
      <c r="F2816" s="9"/>
      <c r="H2816" s="20" t="str">
        <f t="shared" si="43"/>
        <v>(nextval('obj_part_id_seq'), (select id from obj_building_v where zip||'|'||street||'|'||name||'|'||volume = '4950|Friedhofweg 31a/37a|Friedhof, Leichenhalle|1085.00'), 'P59', 0, null, 2016,null),</v>
      </c>
    </row>
    <row r="2817" spans="1:8" x14ac:dyDescent="0.25">
      <c r="A2817" s="9" t="s">
        <v>2879</v>
      </c>
      <c r="B2817" s="9" t="s">
        <v>1142</v>
      </c>
      <c r="C2817">
        <v>0</v>
      </c>
      <c r="D2817" t="s">
        <v>4080</v>
      </c>
      <c r="E2817">
        <v>2016</v>
      </c>
      <c r="F2817" s="9"/>
      <c r="H2817" s="20" t="str">
        <f t="shared" si="43"/>
        <v>(nextval('obj_part_id_seq'), (select id from obj_building_v where zip||'|'||street||'|'||name||'|'||volume = '4950|Friedhofweg 31a/37a|Friedhof, Leichenhalle|1085.00'), 'P60', 0, null, 2016,null),</v>
      </c>
    </row>
    <row r="2818" spans="1:8" x14ac:dyDescent="0.25">
      <c r="A2818" s="9" t="s">
        <v>2879</v>
      </c>
      <c r="B2818" s="9" t="s">
        <v>1143</v>
      </c>
      <c r="C2818">
        <v>0</v>
      </c>
      <c r="D2818" t="s">
        <v>4080</v>
      </c>
      <c r="E2818">
        <v>2016</v>
      </c>
      <c r="F2818" s="9"/>
      <c r="H2818" s="20" t="str">
        <f t="shared" si="43"/>
        <v>(nextval('obj_part_id_seq'), (select id from obj_building_v where zip||'|'||street||'|'||name||'|'||volume = '4950|Friedhofweg 31a/37a|Friedhof, Leichenhalle|1085.00'), 'P61', 0, null, 2016,null),</v>
      </c>
    </row>
    <row r="2819" spans="1:8" x14ac:dyDescent="0.25">
      <c r="A2819" s="9" t="s">
        <v>2879</v>
      </c>
      <c r="B2819" s="9" t="s">
        <v>1144</v>
      </c>
      <c r="C2819">
        <v>0</v>
      </c>
      <c r="D2819" t="s">
        <v>4080</v>
      </c>
      <c r="E2819">
        <v>2016</v>
      </c>
      <c r="F2819" s="9"/>
      <c r="H2819" s="20" t="str">
        <f t="shared" si="43"/>
        <v>(nextval('obj_part_id_seq'), (select id from obj_building_v where zip||'|'||street||'|'||name||'|'||volume = '4950|Friedhofweg 31a/37a|Friedhof, Leichenhalle|1085.00'), 'P62', 0, null, 2016,null),</v>
      </c>
    </row>
    <row r="2820" spans="1:8" x14ac:dyDescent="0.25">
      <c r="A2820" s="9" t="s">
        <v>2889</v>
      </c>
      <c r="B2820" s="9" t="s">
        <v>1127</v>
      </c>
      <c r="C2820">
        <v>32</v>
      </c>
      <c r="D2820">
        <v>90</v>
      </c>
      <c r="E2820">
        <v>2016</v>
      </c>
      <c r="F2820" s="9" t="s">
        <v>2890</v>
      </c>
      <c r="H2820" s="20" t="str">
        <f t="shared" si="43"/>
        <v>(nextval('obj_part_id_seq'), (select id from obj_building_v where zip||'|'||street||'|'||name||'|'||volume = '4950|Hofmattstrasse 5/5a|Sekundarschulhaus|16065.00'), 'P48', 32, 90, 2016,'3 versch. Gebäude, Stahlbeton, Mauerwerk mit Stahlstüzen, Risse im Mauerwerk des Zwischenbaus ersichtlich, vermutlich von Setzungen'),</v>
      </c>
    </row>
    <row r="2821" spans="1:8" x14ac:dyDescent="0.25">
      <c r="A2821" s="9" t="s">
        <v>2889</v>
      </c>
      <c r="B2821" s="9" t="s">
        <v>1129</v>
      </c>
      <c r="C2821">
        <v>0</v>
      </c>
      <c r="D2821" t="s">
        <v>4080</v>
      </c>
      <c r="E2821">
        <v>2016</v>
      </c>
      <c r="F2821" s="9"/>
      <c r="H2821" s="20" t="str">
        <f t="shared" ref="H2821:H2884" si="44">"(nextval('obj_part_id_seq'), (select id from obj_building_v where zip||'|'||street||'|'||name||'|'||volume = '"&amp;A2821&amp;"'), '"&amp;B2821&amp;"', "&amp;C2821&amp;", "&amp;D2821&amp;", "&amp;IF(ISBLANK(E2821),"null",E2821)&amp;","&amp;IF(ISBLANK(F2821),"null","'"&amp;F2821&amp;"'")&amp;"),"</f>
        <v>(nextval('obj_part_id_seq'), (select id from obj_building_v where zip||'|'||street||'|'||name||'|'||volume = '4950|Hofmattstrasse 5/5a|Sekundarschulhaus|16065.00'), 'P49', 0, null, 2016,null),</v>
      </c>
    </row>
    <row r="2822" spans="1:8" x14ac:dyDescent="0.25">
      <c r="A2822" s="9" t="s">
        <v>2889</v>
      </c>
      <c r="B2822" s="9" t="s">
        <v>1097</v>
      </c>
      <c r="C2822">
        <v>12</v>
      </c>
      <c r="D2822">
        <v>80</v>
      </c>
      <c r="E2822">
        <v>2016</v>
      </c>
      <c r="F2822" s="9" t="s">
        <v>2891</v>
      </c>
      <c r="H2822" s="20" t="str">
        <f t="shared" si="44"/>
        <v>(nextval('obj_part_id_seq'), (select id from obj_building_v where zip||'|'||street||'|'||name||'|'||volume = '4950|Hofmattstrasse 5/5a|Sekundarschulhaus|16065.00'), 'P2', 12, 80, 2016,'Mansardendach mit Falzziegel, Untersichten aus Holz, Doppelstehfalzdach aus Kupferblech beim Verbindungstrakt'),</v>
      </c>
    </row>
    <row r="2823" spans="1:8" x14ac:dyDescent="0.25">
      <c r="A2823" s="9" t="s">
        <v>2889</v>
      </c>
      <c r="B2823" s="9" t="s">
        <v>1099</v>
      </c>
      <c r="C2823">
        <v>4</v>
      </c>
      <c r="D2823">
        <v>90</v>
      </c>
      <c r="E2823">
        <v>2016</v>
      </c>
      <c r="F2823" s="9" t="s">
        <v>2892</v>
      </c>
      <c r="H2823" s="20" t="str">
        <f t="shared" si="44"/>
        <v>(nextval('obj_part_id_seq'), (select id from obj_building_v where zip||'|'||street||'|'||name||'|'||volume = '4950|Hofmattstrasse 5/5a|Sekundarschulhaus|16065.00'), 'P3', 4, 90, 2016,'Flachdach beim Anbau extensiv begrünt'),</v>
      </c>
    </row>
    <row r="2824" spans="1:8" x14ac:dyDescent="0.25">
      <c r="A2824" s="9" t="s">
        <v>2889</v>
      </c>
      <c r="B2824" s="9" t="s">
        <v>1100</v>
      </c>
      <c r="C2824">
        <v>7</v>
      </c>
      <c r="D2824">
        <v>85</v>
      </c>
      <c r="E2824">
        <v>2016</v>
      </c>
      <c r="F2824" s="9" t="s">
        <v>2893</v>
      </c>
      <c r="H2824" s="20" t="str">
        <f t="shared" si="44"/>
        <v>(nextval('obj_part_id_seq'), (select id from obj_building_v where zip||'|'||street||'|'||name||'|'||volume = '4950|Hofmattstrasse 5/5a|Sekundarschulhaus|16065.00'), 'P4', 7, 85, 2016,'Mauerwerk, verputzt mit Kunststeingewänden, Stahl-Glasfassade (Pfosten-Riegelkonstruktion) beim Mittelbau'),</v>
      </c>
    </row>
    <row r="2825" spans="1:8" x14ac:dyDescent="0.25">
      <c r="A2825" s="9" t="s">
        <v>2889</v>
      </c>
      <c r="B2825" s="9" t="s">
        <v>1102</v>
      </c>
      <c r="C2825">
        <v>8</v>
      </c>
      <c r="D2825">
        <v>80</v>
      </c>
      <c r="E2825">
        <v>2016</v>
      </c>
      <c r="F2825" s="9" t="s">
        <v>2894</v>
      </c>
      <c r="H2825" s="20" t="str">
        <f t="shared" si="44"/>
        <v>(nextval('obj_part_id_seq'), (select id from obj_building_v where zip||'|'||street||'|'||name||'|'||volume = '4950|Hofmattstrasse 5/5a|Sekundarschulhaus|16065.00'), 'P5', 8, 80, 2016,'IV-Fenster tw. mit Sprossen (''04 und ''08) und Rafflamellenstoren, die Holzfenster in der Aula sind älter und müssen mittelfristig ersetzt werden, die Storen im Mehrzweckraum lassen sich nicht ganz schliessen, Oblicht, Aussentüre aus Holz'),</v>
      </c>
    </row>
    <row r="2826" spans="1:8" x14ac:dyDescent="0.25">
      <c r="A2826" s="9" t="s">
        <v>2889</v>
      </c>
      <c r="B2826" s="9" t="s">
        <v>1164</v>
      </c>
      <c r="C2826">
        <v>6</v>
      </c>
      <c r="D2826">
        <v>90</v>
      </c>
      <c r="E2826">
        <v>2016</v>
      </c>
      <c r="F2826" s="9" t="s">
        <v>2895</v>
      </c>
      <c r="H2826" s="20" t="str">
        <f t="shared" si="44"/>
        <v>(nextval('obj_part_id_seq'), (select id from obj_building_v where zip||'|'||street||'|'||name||'|'||volume = '4950|Hofmattstrasse 5/5a|Sekundarschulhaus|16065.00'), 'P50', 6, 90, 2016,'Beleuchtung, Notlichtanlage'),</v>
      </c>
    </row>
    <row r="2827" spans="1:8" x14ac:dyDescent="0.25">
      <c r="A2827" s="9" t="s">
        <v>2889</v>
      </c>
      <c r="B2827" s="9" t="s">
        <v>1166</v>
      </c>
      <c r="C2827">
        <v>1</v>
      </c>
      <c r="D2827">
        <v>90</v>
      </c>
      <c r="E2827">
        <v>2016</v>
      </c>
      <c r="F2827" s="9" t="s">
        <v>2896</v>
      </c>
      <c r="H2827" s="20" t="str">
        <f t="shared" si="44"/>
        <v>(nextval('obj_part_id_seq'), (select id from obj_building_v where zip||'|'||street||'|'||name||'|'||volume = '4950|Hofmattstrasse 5/5a|Sekundarschulhaus|16065.00'), 'P51', 1, 90, 2016,'Sonnerie, EDV, Telefon'),</v>
      </c>
    </row>
    <row r="2828" spans="1:8" x14ac:dyDescent="0.25">
      <c r="A2828" s="9" t="s">
        <v>2889</v>
      </c>
      <c r="B2828" s="9" t="s">
        <v>1104</v>
      </c>
      <c r="C2828">
        <v>1</v>
      </c>
      <c r="D2828">
        <v>90</v>
      </c>
      <c r="E2828">
        <v>2016</v>
      </c>
      <c r="F2828" s="9" t="s">
        <v>1235</v>
      </c>
      <c r="H2828" s="20" t="str">
        <f t="shared" si="44"/>
        <v>(nextval('obj_part_id_seq'), (select id from obj_building_v where zip||'|'||street||'|'||name||'|'||volume = '4950|Hofmattstrasse 5/5a|Sekundarschulhaus|16065.00'), 'P6', 1, 90, 2016,'Fernwärme'),</v>
      </c>
    </row>
    <row r="2829" spans="1:8" x14ac:dyDescent="0.25">
      <c r="A2829" s="9" t="s">
        <v>2889</v>
      </c>
      <c r="B2829" s="9" t="s">
        <v>1106</v>
      </c>
      <c r="C2829">
        <v>3</v>
      </c>
      <c r="D2829">
        <v>90</v>
      </c>
      <c r="E2829">
        <v>2016</v>
      </c>
      <c r="F2829" s="9" t="s">
        <v>2897</v>
      </c>
      <c r="H2829" s="20" t="str">
        <f t="shared" si="44"/>
        <v>(nextval('obj_part_id_seq'), (select id from obj_building_v where zip||'|'||street||'|'||name||'|'||volume = '4950|Hofmattstrasse 5/5a|Sekundarschulhaus|16065.00'), 'P7', 3, 90, 2016,'Bodenheizung / Heizkörper (tw. ohnen Thermostaten)'),</v>
      </c>
    </row>
    <row r="2830" spans="1:8" x14ac:dyDescent="0.25">
      <c r="A2830" s="9" t="s">
        <v>2889</v>
      </c>
      <c r="B2830" s="9" t="s">
        <v>1108</v>
      </c>
      <c r="C2830">
        <v>4</v>
      </c>
      <c r="D2830">
        <v>90</v>
      </c>
      <c r="E2830">
        <v>2016</v>
      </c>
      <c r="F2830" s="9" t="s">
        <v>2898</v>
      </c>
      <c r="H2830" s="20" t="str">
        <f t="shared" si="44"/>
        <v>(nextval('obj_part_id_seq'), (select id from obj_building_v where zip||'|'||street||'|'||name||'|'||volume = '4950|Hofmattstrasse 5/5a|Sekundarschulhaus|16065.00'), 'P8', 4, 90, 2016,'Die Apparate und Armaturen sind grösstenteils neuwertig, WM'),</v>
      </c>
    </row>
    <row r="2831" spans="1:8" x14ac:dyDescent="0.25">
      <c r="A2831" s="9" t="s">
        <v>2889</v>
      </c>
      <c r="B2831" s="9" t="s">
        <v>1138</v>
      </c>
      <c r="C2831">
        <v>11</v>
      </c>
      <c r="D2831">
        <v>90</v>
      </c>
      <c r="E2831">
        <v>2016</v>
      </c>
      <c r="F2831" s="9" t="s">
        <v>2899</v>
      </c>
      <c r="H2831" s="20" t="str">
        <f t="shared" si="44"/>
        <v>(nextval('obj_part_id_seq'), (select id from obj_building_v where zip||'|'||street||'|'||name||'|'||volume = '4950|Hofmattstrasse 5/5a|Sekundarschulhaus|16065.00'), 'P57', 11, 90, 2016,'Teeküche, Einbauschränke, Innentüren, WC-Trennwände'),</v>
      </c>
    </row>
    <row r="2832" spans="1:8" x14ac:dyDescent="0.25">
      <c r="A2832" s="9" t="s">
        <v>2889</v>
      </c>
      <c r="B2832" s="9" t="s">
        <v>1140</v>
      </c>
      <c r="C2832">
        <v>8</v>
      </c>
      <c r="D2832">
        <v>85</v>
      </c>
      <c r="E2832">
        <v>2016</v>
      </c>
      <c r="F2832" s="9" t="s">
        <v>2900</v>
      </c>
      <c r="H2832" s="20" t="str">
        <f t="shared" si="44"/>
        <v>(nextval('obj_part_id_seq'), (select id from obj_building_v where zip||'|'||street||'|'||name||'|'||volume = '4950|Hofmattstrasse 5/5a|Sekundarschulhaus|16065.00'), 'P58', 8, 85, 2016,'B: Keramik, Linoleum, Parkett, PU-Boden muss nach 10 Jahren neu versiegelt werden, W: Verputz, Keramik, mehrere Risse vorhanden, D: Heraklith, Verputz, Gipskartonplatten'),</v>
      </c>
    </row>
    <row r="2833" spans="1:8" x14ac:dyDescent="0.25">
      <c r="A2833" s="9" t="s">
        <v>2889</v>
      </c>
      <c r="B2833" s="9" t="s">
        <v>1142</v>
      </c>
      <c r="C2833">
        <v>3</v>
      </c>
      <c r="D2833">
        <v>90</v>
      </c>
      <c r="E2833">
        <v>2016</v>
      </c>
      <c r="F2833" s="9" t="s">
        <v>2901</v>
      </c>
      <c r="H2833" s="20" t="str">
        <f t="shared" si="44"/>
        <v>(nextval('obj_part_id_seq'), (select id from obj_building_v where zip||'|'||street||'|'||name||'|'||volume = '4950|Hofmattstrasse 5/5a|Sekundarschulhaus|16065.00'), 'P60', 3, 90, 2016,'Aufzüge'),</v>
      </c>
    </row>
    <row r="2834" spans="1:8" x14ac:dyDescent="0.25">
      <c r="A2834" s="9" t="s">
        <v>2889</v>
      </c>
      <c r="B2834" s="9" t="s">
        <v>1143</v>
      </c>
      <c r="C2834">
        <v>0</v>
      </c>
      <c r="D2834" t="s">
        <v>4080</v>
      </c>
      <c r="E2834">
        <v>2016</v>
      </c>
      <c r="F2834" s="9"/>
      <c r="H2834" s="20" t="str">
        <f t="shared" si="44"/>
        <v>(nextval('obj_part_id_seq'), (select id from obj_building_v where zip||'|'||street||'|'||name||'|'||volume = '4950|Hofmattstrasse 5/5a|Sekundarschulhaus|16065.00'), 'P61', 0, null, 2016,null),</v>
      </c>
    </row>
    <row r="2835" spans="1:8" x14ac:dyDescent="0.25">
      <c r="A2835" s="9" t="s">
        <v>2889</v>
      </c>
      <c r="B2835" s="9" t="s">
        <v>1144</v>
      </c>
      <c r="C2835">
        <v>0</v>
      </c>
      <c r="D2835" t="s">
        <v>4080</v>
      </c>
      <c r="E2835">
        <v>2016</v>
      </c>
      <c r="F2835" s="9"/>
      <c r="H2835" s="20" t="str">
        <f t="shared" si="44"/>
        <v>(nextval('obj_part_id_seq'), (select id from obj_building_v where zip||'|'||street||'|'||name||'|'||volume = '4950|Hofmattstrasse 5/5a|Sekundarschulhaus|16065.00'), 'P62', 0, null, 2016,null),</v>
      </c>
    </row>
    <row r="2836" spans="1:8" x14ac:dyDescent="0.25">
      <c r="A2836" s="9" t="s">
        <v>2902</v>
      </c>
      <c r="B2836" s="9" t="s">
        <v>1095</v>
      </c>
      <c r="C2836">
        <v>41</v>
      </c>
      <c r="D2836">
        <v>90</v>
      </c>
      <c r="E2836">
        <v>2016</v>
      </c>
      <c r="F2836" s="9" t="s">
        <v>1192</v>
      </c>
      <c r="H2836" s="20" t="str">
        <f t="shared" si="44"/>
        <v>(nextval('obj_part_id_seq'), (select id from obj_building_v where zip||'|'||street||'|'||name||'|'||volume = '4950|Willimatt 2a|Wasserversorgung|2700.00'), 'P1', 41, 90, 2016,'Stahlbeton'),</v>
      </c>
    </row>
    <row r="2837" spans="1:8" x14ac:dyDescent="0.25">
      <c r="A2837" s="9" t="s">
        <v>2902</v>
      </c>
      <c r="B2837" s="9" t="s">
        <v>1097</v>
      </c>
      <c r="C2837">
        <v>0</v>
      </c>
      <c r="D2837" t="s">
        <v>4080</v>
      </c>
      <c r="E2837">
        <v>2016</v>
      </c>
      <c r="F2837" s="9"/>
      <c r="H2837" s="20" t="str">
        <f t="shared" si="44"/>
        <v>(nextval('obj_part_id_seq'), (select id from obj_building_v where zip||'|'||street||'|'||name||'|'||volume = '4950|Willimatt 2a|Wasserversorgung|2700.00'), 'P2', 0, null, 2016,null),</v>
      </c>
    </row>
    <row r="2838" spans="1:8" x14ac:dyDescent="0.25">
      <c r="A2838" s="9" t="s">
        <v>2902</v>
      </c>
      <c r="B2838" s="9" t="s">
        <v>1099</v>
      </c>
      <c r="C2838">
        <v>8</v>
      </c>
      <c r="D2838">
        <v>90</v>
      </c>
      <c r="E2838">
        <v>2016</v>
      </c>
      <c r="F2838" s="9" t="s">
        <v>1644</v>
      </c>
      <c r="H2838" s="20" t="str">
        <f t="shared" si="44"/>
        <v>(nextval('obj_part_id_seq'), (select id from obj_building_v where zip||'|'||street||'|'||name||'|'||volume = '4950|Willimatt 2a|Wasserversorgung|2700.00'), 'P3', 8, 90, 2016,'Extensiv begrüntes Flachdach'),</v>
      </c>
    </row>
    <row r="2839" spans="1:8" x14ac:dyDescent="0.25">
      <c r="A2839" s="9" t="s">
        <v>2902</v>
      </c>
      <c r="B2839" s="9" t="s">
        <v>1100</v>
      </c>
      <c r="C2839">
        <v>5</v>
      </c>
      <c r="D2839">
        <v>85</v>
      </c>
      <c r="E2839">
        <v>2016</v>
      </c>
      <c r="F2839" s="9" t="s">
        <v>2903</v>
      </c>
      <c r="H2839" s="20" t="str">
        <f t="shared" si="44"/>
        <v>(nextval('obj_part_id_seq'), (select id from obj_building_v where zip||'|'||street||'|'||name||'|'||volume = '4950|Willimatt 2a|Wasserversorgung|2700.00'), 'P4', 5, 85, 2016,'Sichtbeton, Aussentüre aus Metall'),</v>
      </c>
    </row>
    <row r="2840" spans="1:8" x14ac:dyDescent="0.25">
      <c r="A2840" s="9" t="s">
        <v>2902</v>
      </c>
      <c r="B2840" s="9" t="s">
        <v>1102</v>
      </c>
      <c r="C2840">
        <v>3</v>
      </c>
      <c r="D2840">
        <v>90</v>
      </c>
      <c r="E2840">
        <v>2016</v>
      </c>
      <c r="F2840" s="9" t="s">
        <v>2904</v>
      </c>
      <c r="H2840" s="20" t="str">
        <f t="shared" si="44"/>
        <v>(nextval('obj_part_id_seq'), (select id from obj_building_v where zip||'|'||street||'|'||name||'|'||volume = '4950|Willimatt 2a|Wasserversorgung|2700.00'), 'P5', 3, 90, 2016,'Metalltür mit Glaseinfassung'),</v>
      </c>
    </row>
    <row r="2841" spans="1:8" x14ac:dyDescent="0.25">
      <c r="A2841" s="9" t="s">
        <v>2902</v>
      </c>
      <c r="B2841" s="9" t="s">
        <v>1104</v>
      </c>
      <c r="C2841">
        <v>0</v>
      </c>
      <c r="D2841" t="s">
        <v>4080</v>
      </c>
      <c r="E2841">
        <v>2016</v>
      </c>
      <c r="F2841" s="9"/>
      <c r="H2841" s="20" t="str">
        <f t="shared" si="44"/>
        <v>(nextval('obj_part_id_seq'), (select id from obj_building_v where zip||'|'||street||'|'||name||'|'||volume = '4950|Willimatt 2a|Wasserversorgung|2700.00'), 'P6', 0, null, 2016,null),</v>
      </c>
    </row>
    <row r="2842" spans="1:8" x14ac:dyDescent="0.25">
      <c r="A2842" s="9" t="s">
        <v>2902</v>
      </c>
      <c r="B2842" s="9" t="s">
        <v>1106</v>
      </c>
      <c r="C2842">
        <v>0</v>
      </c>
      <c r="D2842" t="s">
        <v>4080</v>
      </c>
      <c r="E2842">
        <v>2016</v>
      </c>
      <c r="F2842" s="9"/>
      <c r="H2842" s="20" t="str">
        <f t="shared" si="44"/>
        <v>(nextval('obj_part_id_seq'), (select id from obj_building_v where zip||'|'||street||'|'||name||'|'||volume = '4950|Willimatt 2a|Wasserversorgung|2700.00'), 'P7', 0, null, 2016,null),</v>
      </c>
    </row>
    <row r="2843" spans="1:8" x14ac:dyDescent="0.25">
      <c r="A2843" s="9" t="s">
        <v>2902</v>
      </c>
      <c r="B2843" s="9" t="s">
        <v>1108</v>
      </c>
      <c r="C2843">
        <v>6</v>
      </c>
      <c r="D2843">
        <v>90</v>
      </c>
      <c r="E2843">
        <v>2016</v>
      </c>
      <c r="F2843" s="9" t="s">
        <v>2586</v>
      </c>
      <c r="H2843" s="20" t="str">
        <f t="shared" si="44"/>
        <v>(nextval('obj_part_id_seq'), (select id from obj_building_v where zip||'|'||street||'|'||name||'|'||volume = '4950|Willimatt 2a|Wasserversorgung|2700.00'), 'P8', 6, 90, 2016,'Pumpen, keine Mängel bekannt'),</v>
      </c>
    </row>
    <row r="2844" spans="1:8" x14ac:dyDescent="0.25">
      <c r="A2844" s="9" t="s">
        <v>2902</v>
      </c>
      <c r="B2844" s="9" t="s">
        <v>1110</v>
      </c>
      <c r="C2844">
        <v>6</v>
      </c>
      <c r="D2844">
        <v>90</v>
      </c>
      <c r="E2844">
        <v>2016</v>
      </c>
      <c r="F2844" s="9" t="s">
        <v>1295</v>
      </c>
      <c r="H2844" s="20" t="str">
        <f t="shared" si="44"/>
        <v>(nextval('obj_part_id_seq'), (select id from obj_building_v where zip||'|'||street||'|'||name||'|'||volume = '4950|Willimatt 2a|Wasserversorgung|2700.00'), 'P9', 6, 90, 2016,'Beleuchtung'),</v>
      </c>
    </row>
    <row r="2845" spans="1:8" x14ac:dyDescent="0.25">
      <c r="A2845" s="9" t="s">
        <v>2902</v>
      </c>
      <c r="B2845" s="9" t="s">
        <v>1112</v>
      </c>
      <c r="C2845">
        <v>3</v>
      </c>
      <c r="D2845">
        <v>90</v>
      </c>
      <c r="E2845">
        <v>2016</v>
      </c>
      <c r="F2845" s="9" t="s">
        <v>2574</v>
      </c>
      <c r="H2845" s="20" t="str">
        <f t="shared" si="44"/>
        <v>(nextval('obj_part_id_seq'), (select id from obj_building_v where zip||'|'||street||'|'||name||'|'||volume = '4950|Willimatt 2a|Wasserversorgung|2700.00'), 'P10', 3, 90, 2016,'Klimaanlage'),</v>
      </c>
    </row>
    <row r="2846" spans="1:8" x14ac:dyDescent="0.25">
      <c r="A2846" s="9" t="s">
        <v>2902</v>
      </c>
      <c r="B2846" s="9" t="s">
        <v>1114</v>
      </c>
      <c r="C2846">
        <v>1</v>
      </c>
      <c r="D2846">
        <v>90</v>
      </c>
      <c r="E2846">
        <v>2016</v>
      </c>
      <c r="F2846" s="9" t="s">
        <v>2905</v>
      </c>
      <c r="H2846" s="20" t="str">
        <f t="shared" si="44"/>
        <v>(nextval('obj_part_id_seq'), (select id from obj_building_v where zip||'|'||street||'|'||name||'|'||volume = '4950|Willimatt 2a|Wasserversorgung|2700.00'), 'P11', 1, 90, 2016,'Geländer'),</v>
      </c>
    </row>
    <row r="2847" spans="1:8" x14ac:dyDescent="0.25">
      <c r="A2847" s="9" t="s">
        <v>2902</v>
      </c>
      <c r="B2847" s="9" t="s">
        <v>1114</v>
      </c>
      <c r="C2847">
        <v>27</v>
      </c>
      <c r="D2847">
        <v>90</v>
      </c>
      <c r="E2847">
        <v>2016</v>
      </c>
      <c r="F2847" s="9" t="s">
        <v>2906</v>
      </c>
      <c r="H2847" s="20" t="str">
        <f t="shared" si="44"/>
        <v>(nextval('obj_part_id_seq'), (select id from obj_building_v where zip||'|'||street||'|'||name||'|'||volume = '4950|Willimatt 2a|Wasserversorgung|2700.00'), 'P11', 27, 90, 2016,'B: Kunststein, Keramik, W: Verputz, Keramik, D: Verputz'),</v>
      </c>
    </row>
    <row r="2848" spans="1:8" x14ac:dyDescent="0.25">
      <c r="A2848" s="9" t="s">
        <v>2902</v>
      </c>
      <c r="B2848" s="9" t="s">
        <v>1116</v>
      </c>
      <c r="C2848">
        <v>0</v>
      </c>
      <c r="D2848" t="s">
        <v>4080</v>
      </c>
      <c r="E2848">
        <v>2016</v>
      </c>
      <c r="F2848" s="9"/>
      <c r="H2848" s="20" t="str">
        <f t="shared" si="44"/>
        <v>(nextval('obj_part_id_seq'), (select id from obj_building_v where zip||'|'||street||'|'||name||'|'||volume = '4950|Willimatt 2a|Wasserversorgung|2700.00'), 'P12', 0, null, 2016,null),</v>
      </c>
    </row>
    <row r="2849" spans="1:8" x14ac:dyDescent="0.25">
      <c r="A2849" s="9" t="s">
        <v>2907</v>
      </c>
      <c r="B2849" s="9" t="s">
        <v>1127</v>
      </c>
      <c r="C2849">
        <v>12</v>
      </c>
      <c r="D2849">
        <v>90</v>
      </c>
      <c r="E2849">
        <v>2016</v>
      </c>
      <c r="F2849" s="9" t="s">
        <v>2908</v>
      </c>
      <c r="H2849" s="20" t="str">
        <f t="shared" si="44"/>
        <v>(nextval('obj_part_id_seq'), (select id from obj_building_v where zip||'|'||street||'|'||name||'|'||volume = '4950|Spitalstrasse 14|Wohnhaus und Vereinslokal|2415.00'), 'P48', 12, 90, 2016,'Im Sockel Einbau WC-Anlage aus Stahlbeton und Mauerwerk, neuwertig, im UG Natursteinmauerwerk'),</v>
      </c>
    </row>
    <row r="2850" spans="1:8" x14ac:dyDescent="0.25">
      <c r="A2850" s="9" t="s">
        <v>2907</v>
      </c>
      <c r="B2850" s="9" t="s">
        <v>1129</v>
      </c>
      <c r="C2850">
        <v>25</v>
      </c>
      <c r="D2850">
        <v>90</v>
      </c>
      <c r="E2850">
        <v>2016</v>
      </c>
      <c r="F2850" s="9" t="s">
        <v>2909</v>
      </c>
      <c r="H2850" s="20" t="str">
        <f t="shared" si="44"/>
        <v>(nextval('obj_part_id_seq'), (select id from obj_building_v where zip||'|'||street||'|'||name||'|'||volume = '4950|Spitalstrasse 14|Wohnhaus und Vereinslokal|2415.00'), 'P49', 25, 90, 2016,'Holzkonstruktion'),</v>
      </c>
    </row>
    <row r="2851" spans="1:8" x14ac:dyDescent="0.25">
      <c r="A2851" s="9" t="s">
        <v>2907</v>
      </c>
      <c r="B2851" s="9" t="s">
        <v>1097</v>
      </c>
      <c r="C2851">
        <v>8</v>
      </c>
      <c r="D2851">
        <v>90</v>
      </c>
      <c r="E2851">
        <v>2016</v>
      </c>
      <c r="F2851" s="9" t="s">
        <v>2910</v>
      </c>
      <c r="H2851" s="20" t="str">
        <f t="shared" si="44"/>
        <v>(nextval('obj_part_id_seq'), (select id from obj_building_v where zip||'|'||street||'|'||name||'|'||volume = '4950|Spitalstrasse 14|Wohnhaus und Vereinslokal|2415.00'), 'P2', 8, 90, 2016,'Zeltdach mit Falzziegel, Dachraum ausgebaut, Stirn- / Traufbretter verwittert'),</v>
      </c>
    </row>
    <row r="2852" spans="1:8" x14ac:dyDescent="0.25">
      <c r="A2852" s="9" t="s">
        <v>2907</v>
      </c>
      <c r="B2852" s="9" t="s">
        <v>1099</v>
      </c>
      <c r="C2852">
        <v>0</v>
      </c>
      <c r="D2852" t="s">
        <v>4080</v>
      </c>
      <c r="E2852">
        <v>2016</v>
      </c>
      <c r="F2852" s="9"/>
      <c r="H2852" s="20" t="str">
        <f t="shared" si="44"/>
        <v>(nextval('obj_part_id_seq'), (select id from obj_building_v where zip||'|'||street||'|'||name||'|'||volume = '4950|Spitalstrasse 14|Wohnhaus und Vereinslokal|2415.00'), 'P3', 0, null, 2016,null),</v>
      </c>
    </row>
    <row r="2853" spans="1:8" x14ac:dyDescent="0.25">
      <c r="A2853" s="9" t="s">
        <v>2907</v>
      </c>
      <c r="B2853" s="9" t="s">
        <v>1100</v>
      </c>
      <c r="C2853">
        <v>7</v>
      </c>
      <c r="D2853">
        <v>80</v>
      </c>
      <c r="E2853">
        <v>2016</v>
      </c>
      <c r="F2853" s="9" t="s">
        <v>2911</v>
      </c>
      <c r="H2853" s="20" t="str">
        <f t="shared" si="44"/>
        <v>(nextval('obj_part_id_seq'), (select id from obj_building_v where zip||'|'||street||'|'||name||'|'||volume = '4950|Spitalstrasse 14|Wohnhaus und Vereinslokal|2415.00'), 'P4', 7, 80, 2016,'Verputzt mit Holzgewänden und -fensterbänken, tw. verwittert, einzelne Risse sind vorhanden, die Nord-/Westfassade besteht aus Eternitschindeln'),</v>
      </c>
    </row>
    <row r="2854" spans="1:8" x14ac:dyDescent="0.25">
      <c r="A2854" s="9" t="s">
        <v>2907</v>
      </c>
      <c r="B2854" s="9" t="s">
        <v>1102</v>
      </c>
      <c r="C2854">
        <v>11</v>
      </c>
      <c r="D2854">
        <v>80</v>
      </c>
      <c r="E2854">
        <v>2016</v>
      </c>
      <c r="F2854" s="9" t="s">
        <v>2912</v>
      </c>
      <c r="H2854" s="20" t="str">
        <f t="shared" si="44"/>
        <v>(nextval('obj_part_id_seq'), (select id from obj_building_v where zip||'|'||street||'|'||name||'|'||volume = '4950|Spitalstrasse 14|Wohnhaus und Vereinslokal|2415.00'), 'P5', 11, 80, 2016,'Holz-/Metallfenster mit Sprossen und Fensterläden. Die Fensterbänke weisen Verwitterungsspuren auf, Eingangstüre aus Holz'),</v>
      </c>
    </row>
    <row r="2855" spans="1:8" x14ac:dyDescent="0.25">
      <c r="A2855" s="9" t="s">
        <v>2907</v>
      </c>
      <c r="B2855" s="9" t="s">
        <v>1110</v>
      </c>
      <c r="C2855">
        <v>4</v>
      </c>
      <c r="D2855">
        <v>90</v>
      </c>
      <c r="E2855">
        <v>2016</v>
      </c>
      <c r="F2855" s="9" t="s">
        <v>2913</v>
      </c>
      <c r="H2855" s="20" t="str">
        <f t="shared" si="44"/>
        <v>(nextval('obj_part_id_seq'), (select id from obj_building_v where zip||'|'||street||'|'||name||'|'||volume = '4950|Spitalstrasse 14|Wohnhaus und Vereinslokal|2415.00'), 'P9', 4, 90, 2016,'Beleuchtung, Telefon, tw. noch alte Keramiksicherungen vorhanden'),</v>
      </c>
    </row>
    <row r="2856" spans="1:8" x14ac:dyDescent="0.25">
      <c r="A2856" s="9" t="s">
        <v>2907</v>
      </c>
      <c r="B2856" s="9" t="s">
        <v>1104</v>
      </c>
      <c r="C2856">
        <v>2</v>
      </c>
      <c r="D2856">
        <v>90</v>
      </c>
      <c r="E2856">
        <v>2016</v>
      </c>
      <c r="F2856" s="9" t="s">
        <v>2914</v>
      </c>
      <c r="H2856" s="20" t="str">
        <f t="shared" si="44"/>
        <v>(nextval('obj_part_id_seq'), (select id from obj_building_v where zip||'|'||street||'|'||name||'|'||volume = '4950|Spitalstrasse 14|Wohnhaus und Vereinslokal|2415.00'), 'P6', 2, 90, 2016,'Elektrospeicherheizung, Kachelofen'),</v>
      </c>
    </row>
    <row r="2857" spans="1:8" x14ac:dyDescent="0.25">
      <c r="A2857" s="9" t="s">
        <v>2907</v>
      </c>
      <c r="B2857" s="9" t="s">
        <v>1106</v>
      </c>
      <c r="C2857">
        <v>3</v>
      </c>
      <c r="D2857">
        <v>90</v>
      </c>
      <c r="E2857">
        <v>2016</v>
      </c>
      <c r="F2857" s="9"/>
      <c r="H2857" s="20" t="str">
        <f t="shared" si="44"/>
        <v>(nextval('obj_part_id_seq'), (select id from obj_building_v where zip||'|'||street||'|'||name||'|'||volume = '4950|Spitalstrasse 14|Wohnhaus und Vereinslokal|2415.00'), 'P7', 3, 90, 2016,null),</v>
      </c>
    </row>
    <row r="2858" spans="1:8" x14ac:dyDescent="0.25">
      <c r="A2858" s="9" t="s">
        <v>2907</v>
      </c>
      <c r="B2858" s="9" t="s">
        <v>1135</v>
      </c>
      <c r="C2858">
        <v>3</v>
      </c>
      <c r="D2858">
        <v>90</v>
      </c>
      <c r="E2858">
        <v>2016</v>
      </c>
      <c r="F2858" s="9" t="s">
        <v>2915</v>
      </c>
      <c r="H2858" s="20" t="str">
        <f t="shared" si="44"/>
        <v>(nextval('obj_part_id_seq'), (select id from obj_building_v where zip||'|'||street||'|'||name||'|'||volume = '4950|Spitalstrasse 14|Wohnhaus und Vereinslokal|2415.00'), 'P54', 3, 90, 2016,'Keine Mängel bekannt, Feuerlöschanlage'),</v>
      </c>
    </row>
    <row r="2859" spans="1:8" x14ac:dyDescent="0.25">
      <c r="A2859" s="9" t="s">
        <v>2907</v>
      </c>
      <c r="B2859" s="9" t="s">
        <v>1137</v>
      </c>
      <c r="C2859">
        <v>4</v>
      </c>
      <c r="D2859">
        <v>90</v>
      </c>
      <c r="E2859">
        <v>2016</v>
      </c>
      <c r="F2859" s="9" t="s">
        <v>2916</v>
      </c>
      <c r="H2859" s="20" t="str">
        <f t="shared" si="44"/>
        <v>(nextval('obj_part_id_seq'), (select id from obj_building_v where zip||'|'||street||'|'||name||'|'||volume = '4950|Spitalstrasse 14|Wohnhaus und Vereinslokal|2415.00'), 'P55', 4, 90, 2016,'Genügend Druck vorhanden'),</v>
      </c>
    </row>
    <row r="2860" spans="1:8" x14ac:dyDescent="0.25">
      <c r="A2860" s="9" t="s">
        <v>2907</v>
      </c>
      <c r="B2860" s="9" t="s">
        <v>1155</v>
      </c>
      <c r="C2860">
        <v>0</v>
      </c>
      <c r="D2860" t="s">
        <v>4080</v>
      </c>
      <c r="E2860">
        <v>2016</v>
      </c>
      <c r="F2860" s="9"/>
      <c r="H2860" s="20" t="str">
        <f t="shared" si="44"/>
        <v>(nextval('obj_part_id_seq'), (select id from obj_building_v where zip||'|'||street||'|'||name||'|'||volume = '4950|Spitalstrasse 14|Wohnhaus und Vereinslokal|2415.00'), 'P56', 0, null, 2016,null),</v>
      </c>
    </row>
    <row r="2861" spans="1:8" x14ac:dyDescent="0.25">
      <c r="A2861" s="9" t="s">
        <v>2907</v>
      </c>
      <c r="B2861" s="9" t="s">
        <v>1138</v>
      </c>
      <c r="C2861">
        <v>9</v>
      </c>
      <c r="D2861">
        <v>90</v>
      </c>
      <c r="E2861">
        <v>2016</v>
      </c>
      <c r="F2861" s="9" t="s">
        <v>2917</v>
      </c>
      <c r="H2861" s="20" t="str">
        <f t="shared" si="44"/>
        <v>(nextval('obj_part_id_seq'), (select id from obj_building_v where zip||'|'||street||'|'||name||'|'||volume = '4950|Spitalstrasse 14|Wohnhaus und Vereinslokal|2415.00'), 'P57', 9, 90, 2016,'Einbauschränke, Holztreppen, Garderobe'),</v>
      </c>
    </row>
    <row r="2862" spans="1:8" x14ac:dyDescent="0.25">
      <c r="A2862" s="9" t="s">
        <v>2907</v>
      </c>
      <c r="B2862" s="9" t="s">
        <v>1140</v>
      </c>
      <c r="C2862">
        <v>8</v>
      </c>
      <c r="D2862">
        <v>80</v>
      </c>
      <c r="E2862">
        <v>2016</v>
      </c>
      <c r="F2862" s="9" t="s">
        <v>2918</v>
      </c>
      <c r="H2862" s="20" t="str">
        <f t="shared" si="44"/>
        <v>(nextval('obj_part_id_seq'), (select id from obj_building_v where zip||'|'||street||'|'||name||'|'||volume = '4950|Spitalstrasse 14|Wohnhaus und Vereinslokal|2415.00'), 'P58', 8, 80, 2016,'B: Naturstein, Teppich, Holz, Keramik, Linol, Vermoosungen im Keller, W: Verputz gestrichen, Holz, D: Holz, einzelne Risse an den Wänden ersichtlich, Wasserfleck am Holzträger vorhanden'),</v>
      </c>
    </row>
    <row r="2863" spans="1:8" x14ac:dyDescent="0.25">
      <c r="A2863" s="9" t="s">
        <v>2907</v>
      </c>
      <c r="B2863" s="9" t="s">
        <v>1157</v>
      </c>
      <c r="C2863">
        <v>4</v>
      </c>
      <c r="D2863">
        <v>90</v>
      </c>
      <c r="E2863">
        <v>2016</v>
      </c>
      <c r="F2863" s="9" t="s">
        <v>2919</v>
      </c>
      <c r="H2863" s="20" t="str">
        <f t="shared" si="44"/>
        <v>(nextval('obj_part_id_seq'), (select id from obj_building_v where zip||'|'||street||'|'||name||'|'||volume = '4950|Spitalstrasse 14|Wohnhaus und Vereinslokal|2415.00'), 'P59', 4, 90, 2016,'Die Einrichtung ist intakt.'),</v>
      </c>
    </row>
    <row r="2864" spans="1:8" x14ac:dyDescent="0.25">
      <c r="A2864" s="9" t="s">
        <v>2907</v>
      </c>
      <c r="B2864" s="9" t="s">
        <v>1142</v>
      </c>
      <c r="C2864">
        <v>0</v>
      </c>
      <c r="D2864" t="s">
        <v>4080</v>
      </c>
      <c r="E2864">
        <v>2016</v>
      </c>
      <c r="F2864" s="9"/>
      <c r="H2864" s="20" t="str">
        <f t="shared" si="44"/>
        <v>(nextval('obj_part_id_seq'), (select id from obj_building_v where zip||'|'||street||'|'||name||'|'||volume = '4950|Spitalstrasse 14|Wohnhaus und Vereinslokal|2415.00'), 'P60', 0, null, 2016,null),</v>
      </c>
    </row>
    <row r="2865" spans="1:8" x14ac:dyDescent="0.25">
      <c r="A2865" s="9" t="s">
        <v>2907</v>
      </c>
      <c r="B2865" s="9" t="s">
        <v>1143</v>
      </c>
      <c r="C2865">
        <v>0</v>
      </c>
      <c r="D2865" t="s">
        <v>4080</v>
      </c>
      <c r="E2865">
        <v>2016</v>
      </c>
      <c r="F2865" s="9"/>
      <c r="H2865" s="20" t="str">
        <f t="shared" si="44"/>
        <v>(nextval('obj_part_id_seq'), (select id from obj_building_v where zip||'|'||street||'|'||name||'|'||volume = '4950|Spitalstrasse 14|Wohnhaus und Vereinslokal|2415.00'), 'P61', 0, null, 2016,null),</v>
      </c>
    </row>
    <row r="2866" spans="1:8" x14ac:dyDescent="0.25">
      <c r="A2866" s="9" t="s">
        <v>2907</v>
      </c>
      <c r="B2866" s="9" t="s">
        <v>1144</v>
      </c>
      <c r="C2866">
        <v>0</v>
      </c>
      <c r="D2866" t="s">
        <v>4080</v>
      </c>
      <c r="E2866">
        <v>2016</v>
      </c>
      <c r="F2866" s="9"/>
      <c r="H2866" s="20" t="str">
        <f t="shared" si="44"/>
        <v>(nextval('obj_part_id_seq'), (select id from obj_building_v where zip||'|'||street||'|'||name||'|'||volume = '4950|Spitalstrasse 14|Wohnhaus und Vereinslokal|2415.00'), 'P62', 0, null, 2016,null),</v>
      </c>
    </row>
    <row r="2867" spans="1:8" x14ac:dyDescent="0.25">
      <c r="A2867" s="9" t="s">
        <v>2920</v>
      </c>
      <c r="B2867" s="9" t="s">
        <v>1127</v>
      </c>
      <c r="C2867">
        <v>46</v>
      </c>
      <c r="D2867">
        <v>90</v>
      </c>
      <c r="E2867">
        <v>2016</v>
      </c>
      <c r="F2867" s="9" t="s">
        <v>1787</v>
      </c>
      <c r="H2867" s="20" t="str">
        <f t="shared" si="44"/>
        <v>(nextval('obj_part_id_seq'), (select id from obj_building_v where zip||'|'||street||'|'||name||'|'||volume = '4950|Spitalstrasse 54a|Magazin, Museum|360.00'), 'P48', 46, 90, 2016,'Mauerwerk mit Holzbalkendecken'),</v>
      </c>
    </row>
    <row r="2868" spans="1:8" x14ac:dyDescent="0.25">
      <c r="A2868" s="9" t="s">
        <v>2920</v>
      </c>
      <c r="B2868" s="9" t="s">
        <v>1129</v>
      </c>
      <c r="C2868">
        <v>0</v>
      </c>
      <c r="D2868" t="s">
        <v>4080</v>
      </c>
      <c r="E2868">
        <v>2016</v>
      </c>
      <c r="F2868" s="9"/>
      <c r="H2868" s="20" t="str">
        <f t="shared" si="44"/>
        <v>(nextval('obj_part_id_seq'), (select id from obj_building_v where zip||'|'||street||'|'||name||'|'||volume = '4950|Spitalstrasse 54a|Magazin, Museum|360.00'), 'P49', 0, null, 2016,null),</v>
      </c>
    </row>
    <row r="2869" spans="1:8" x14ac:dyDescent="0.25">
      <c r="A2869" s="9" t="s">
        <v>2920</v>
      </c>
      <c r="B2869" s="9" t="s">
        <v>1097</v>
      </c>
      <c r="C2869">
        <v>16</v>
      </c>
      <c r="D2869">
        <v>90</v>
      </c>
      <c r="E2869">
        <v>2016</v>
      </c>
      <c r="F2869" s="9" t="s">
        <v>2921</v>
      </c>
      <c r="H2869" s="20" t="str">
        <f t="shared" si="44"/>
        <v>(nextval('obj_part_id_seq'), (select id from obj_building_v where zip||'|'||street||'|'||name||'|'||volume = '4950|Spitalstrasse 54a|Magazin, Museum|360.00'), 'P2', 16, 90, 2016,'Mansardendach mit Biberschwanzziegel, Vordach aus Kupfer (Doppelstehfalz)'),</v>
      </c>
    </row>
    <row r="2870" spans="1:8" x14ac:dyDescent="0.25">
      <c r="A2870" s="9" t="s">
        <v>2920</v>
      </c>
      <c r="B2870" s="9" t="s">
        <v>1099</v>
      </c>
      <c r="C2870">
        <v>0</v>
      </c>
      <c r="D2870" t="s">
        <v>4080</v>
      </c>
      <c r="E2870">
        <v>2016</v>
      </c>
      <c r="F2870" s="9"/>
      <c r="H2870" s="20" t="str">
        <f t="shared" si="44"/>
        <v>(nextval('obj_part_id_seq'), (select id from obj_building_v where zip||'|'||street||'|'||name||'|'||volume = '4950|Spitalstrasse 54a|Magazin, Museum|360.00'), 'P3', 0, null, 2016,null),</v>
      </c>
    </row>
    <row r="2871" spans="1:8" x14ac:dyDescent="0.25">
      <c r="A2871" s="9" t="s">
        <v>2920</v>
      </c>
      <c r="B2871" s="9" t="s">
        <v>1100</v>
      </c>
      <c r="C2871">
        <v>11</v>
      </c>
      <c r="D2871">
        <v>80</v>
      </c>
      <c r="E2871">
        <v>2016</v>
      </c>
      <c r="F2871" s="9" t="s">
        <v>2922</v>
      </c>
      <c r="H2871" s="20" t="str">
        <f t="shared" si="44"/>
        <v>(nextval('obj_part_id_seq'), (select id from obj_building_v where zip||'|'||street||'|'||name||'|'||volume = '4950|Spitalstrasse 54a|Magazin, Museum|360.00'), 'P4', 11, 80, 2016,'Verputz, mehrere Risse und Abplatzungen im Sockelbereich vorhanden, Verwitterungsspuren ersichtlich'),</v>
      </c>
    </row>
    <row r="2872" spans="1:8" x14ac:dyDescent="0.25">
      <c r="A2872" s="9" t="s">
        <v>2920</v>
      </c>
      <c r="B2872" s="9" t="s">
        <v>1102</v>
      </c>
      <c r="C2872">
        <v>7</v>
      </c>
      <c r="D2872">
        <v>90</v>
      </c>
      <c r="E2872">
        <v>2016</v>
      </c>
      <c r="F2872" s="9" t="s">
        <v>2923</v>
      </c>
      <c r="H2872" s="20" t="str">
        <f t="shared" si="44"/>
        <v>(nextval('obj_part_id_seq'), (select id from obj_building_v where zip||'|'||street||'|'||name||'|'||volume = '4950|Spitalstrasse 54a|Magazin, Museum|360.00'), 'P5', 7, 90, 2016,'Holz-/Metallfenster mit Sprossen und Fensterläden, Gitter im EG, Eingangstor aus Holz'),</v>
      </c>
    </row>
    <row r="2873" spans="1:8" x14ac:dyDescent="0.25">
      <c r="A2873" s="9" t="s">
        <v>2920</v>
      </c>
      <c r="B2873" s="9" t="s">
        <v>1110</v>
      </c>
      <c r="C2873">
        <v>6</v>
      </c>
      <c r="D2873">
        <v>80</v>
      </c>
      <c r="E2873">
        <v>2016</v>
      </c>
      <c r="F2873" s="9" t="s">
        <v>2924</v>
      </c>
      <c r="H2873" s="20" t="str">
        <f t="shared" si="44"/>
        <v>(nextval('obj_part_id_seq'), (select id from obj_building_v where zip||'|'||street||'|'||name||'|'||volume = '4950|Spitalstrasse 54a|Magazin, Museum|360.00'), 'P9', 6, 80, 2016,'Keine FI-Schalter, Beleuchtung'),</v>
      </c>
    </row>
    <row r="2874" spans="1:8" x14ac:dyDescent="0.25">
      <c r="A2874" s="9" t="s">
        <v>2920</v>
      </c>
      <c r="B2874" s="9" t="s">
        <v>1104</v>
      </c>
      <c r="C2874">
        <v>1</v>
      </c>
      <c r="D2874">
        <v>90</v>
      </c>
      <c r="E2874">
        <v>2016</v>
      </c>
      <c r="F2874" s="9" t="s">
        <v>2925</v>
      </c>
      <c r="H2874" s="20" t="str">
        <f t="shared" si="44"/>
        <v>(nextval('obj_part_id_seq'), (select id from obj_building_v where zip||'|'||street||'|'||name||'|'||volume = '4950|Spitalstrasse 54a|Magazin, Museum|360.00'), 'P6', 1, 90, 2016,'Elektroboiler in Küche'),</v>
      </c>
    </row>
    <row r="2875" spans="1:8" x14ac:dyDescent="0.25">
      <c r="A2875" s="9" t="s">
        <v>2920</v>
      </c>
      <c r="B2875" s="9" t="s">
        <v>1106</v>
      </c>
      <c r="C2875">
        <v>0</v>
      </c>
      <c r="D2875">
        <v>90</v>
      </c>
      <c r="E2875">
        <v>2016</v>
      </c>
      <c r="F2875" s="9"/>
      <c r="H2875" s="20" t="str">
        <f t="shared" si="44"/>
        <v>(nextval('obj_part_id_seq'), (select id from obj_building_v where zip||'|'||street||'|'||name||'|'||volume = '4950|Spitalstrasse 54a|Magazin, Museum|360.00'), 'P7', 0, 90, 2016,null),</v>
      </c>
    </row>
    <row r="2876" spans="1:8" x14ac:dyDescent="0.25">
      <c r="A2876" s="9" t="s">
        <v>2920</v>
      </c>
      <c r="B2876" s="9" t="s">
        <v>1108</v>
      </c>
      <c r="C2876">
        <v>2</v>
      </c>
      <c r="D2876">
        <v>90</v>
      </c>
      <c r="E2876">
        <v>2016</v>
      </c>
      <c r="F2876" s="9" t="s">
        <v>2926</v>
      </c>
      <c r="H2876" s="20" t="str">
        <f t="shared" si="44"/>
        <v>(nextval('obj_part_id_seq'), (select id from obj_building_v where zip||'|'||street||'|'||name||'|'||volume = '4950|Spitalstrasse 54a|Magazin, Museum|360.00'), 'P8', 2, 90, 2016,'ältere Armaturen im EG, jedoch keine Mängel bekannt'),</v>
      </c>
    </row>
    <row r="2877" spans="1:8" x14ac:dyDescent="0.25">
      <c r="A2877" s="9" t="s">
        <v>2920</v>
      </c>
      <c r="B2877" s="9" t="s">
        <v>1112</v>
      </c>
      <c r="C2877">
        <v>0</v>
      </c>
      <c r="D2877" t="s">
        <v>4080</v>
      </c>
      <c r="E2877">
        <v>2016</v>
      </c>
      <c r="F2877" s="9"/>
      <c r="H2877" s="20" t="str">
        <f t="shared" si="44"/>
        <v>(nextval('obj_part_id_seq'), (select id from obj_building_v where zip||'|'||street||'|'||name||'|'||volume = '4950|Spitalstrasse 54a|Magazin, Museum|360.00'), 'P10', 0, null, 2016,null),</v>
      </c>
    </row>
    <row r="2878" spans="1:8" x14ac:dyDescent="0.25">
      <c r="A2878" s="9" t="s">
        <v>2920</v>
      </c>
      <c r="B2878" s="9" t="s">
        <v>1138</v>
      </c>
      <c r="C2878">
        <v>8</v>
      </c>
      <c r="D2878">
        <v>85</v>
      </c>
      <c r="E2878">
        <v>2016</v>
      </c>
      <c r="F2878" s="9" t="s">
        <v>2927</v>
      </c>
      <c r="H2878" s="20" t="str">
        <f t="shared" si="44"/>
        <v>(nextval('obj_part_id_seq'), (select id from obj_building_v where zip||'|'||street||'|'||name||'|'||volume = '4950|Spitalstrasse 54a|Magazin, Museum|360.00'), 'P57', 8, 85, 2016,'Innentüren und Innentreppen aus Holz, Küche älteren Datums, jedoch intakt'),</v>
      </c>
    </row>
    <row r="2879" spans="1:8" x14ac:dyDescent="0.25">
      <c r="A2879" s="9" t="s">
        <v>2920</v>
      </c>
      <c r="B2879" s="9" t="s">
        <v>1140</v>
      </c>
      <c r="C2879">
        <v>3</v>
      </c>
      <c r="D2879">
        <v>90</v>
      </c>
      <c r="E2879">
        <v>2016</v>
      </c>
      <c r="F2879" s="9" t="s">
        <v>2928</v>
      </c>
      <c r="H2879" s="20" t="str">
        <f t="shared" si="44"/>
        <v>(nextval('obj_part_id_seq'), (select id from obj_building_v where zip||'|'||street||'|'||name||'|'||volume = '4950|Spitalstrasse 54a|Magazin, Museum|360.00'), 'P58', 3, 90, 2016,'B: Teppich, Keramik, W: Holz, Verputz, Keramik, D: Verputz'),</v>
      </c>
    </row>
    <row r="2880" spans="1:8" x14ac:dyDescent="0.25">
      <c r="A2880" s="9" t="s">
        <v>2920</v>
      </c>
      <c r="B2880" s="9" t="s">
        <v>1142</v>
      </c>
      <c r="C2880">
        <v>0</v>
      </c>
      <c r="D2880" t="s">
        <v>4080</v>
      </c>
      <c r="E2880">
        <v>2016</v>
      </c>
      <c r="F2880" s="9"/>
      <c r="H2880" s="20" t="str">
        <f t="shared" si="44"/>
        <v>(nextval('obj_part_id_seq'), (select id from obj_building_v where zip||'|'||street||'|'||name||'|'||volume = '4950|Spitalstrasse 54a|Magazin, Museum|360.00'), 'P60', 0, null, 2016,null),</v>
      </c>
    </row>
    <row r="2881" spans="1:8" x14ac:dyDescent="0.25">
      <c r="A2881" s="9" t="s">
        <v>2920</v>
      </c>
      <c r="B2881" s="9" t="s">
        <v>1143</v>
      </c>
      <c r="C2881">
        <v>0</v>
      </c>
      <c r="D2881" t="s">
        <v>4080</v>
      </c>
      <c r="E2881">
        <v>2016</v>
      </c>
      <c r="F2881" s="9"/>
      <c r="H2881" s="20" t="str">
        <f t="shared" si="44"/>
        <v>(nextval('obj_part_id_seq'), (select id from obj_building_v where zip||'|'||street||'|'||name||'|'||volume = '4950|Spitalstrasse 54a|Magazin, Museum|360.00'), 'P61', 0, null, 2016,null),</v>
      </c>
    </row>
    <row r="2882" spans="1:8" x14ac:dyDescent="0.25">
      <c r="A2882" s="9" t="s">
        <v>2920</v>
      </c>
      <c r="B2882" s="9" t="s">
        <v>1144</v>
      </c>
      <c r="C2882">
        <v>0</v>
      </c>
      <c r="D2882" t="s">
        <v>4080</v>
      </c>
      <c r="E2882">
        <v>2016</v>
      </c>
      <c r="F2882" s="9"/>
      <c r="H2882" s="20" t="str">
        <f t="shared" si="44"/>
        <v>(nextval('obj_part_id_seq'), (select id from obj_building_v where zip||'|'||street||'|'||name||'|'||volume = '4950|Spitalstrasse 54a|Magazin, Museum|360.00'), 'P62', 0, null, 2016,null),</v>
      </c>
    </row>
    <row r="2883" spans="1:8" x14ac:dyDescent="0.25">
      <c r="A2883" s="9" t="s">
        <v>2929</v>
      </c>
      <c r="B2883" s="9" t="s">
        <v>1095</v>
      </c>
      <c r="C2883">
        <v>35</v>
      </c>
      <c r="D2883">
        <v>85</v>
      </c>
      <c r="E2883">
        <v>2016</v>
      </c>
      <c r="F2883" s="9" t="s">
        <v>2930</v>
      </c>
      <c r="H2883" s="20" t="str">
        <f t="shared" si="44"/>
        <v>(nextval('obj_part_id_seq'), (select id from obj_building_v where zip||'|'||street||'|'||name||'|'||volume = '4950|Nyffel 26|Schulhaus Nyffel|4142.00'), 'P1', 35, 85, 2016,'Mauerwerk und Stahlbeton, örtliche Risse vorhanden'),</v>
      </c>
    </row>
    <row r="2884" spans="1:8" x14ac:dyDescent="0.25">
      <c r="A2884" s="9" t="s">
        <v>2929</v>
      </c>
      <c r="B2884" s="9" t="s">
        <v>1097</v>
      </c>
      <c r="C2884">
        <v>13</v>
      </c>
      <c r="D2884">
        <v>90</v>
      </c>
      <c r="E2884">
        <v>2016</v>
      </c>
      <c r="F2884" s="9" t="s">
        <v>2931</v>
      </c>
      <c r="H2884" s="20" t="str">
        <f t="shared" si="44"/>
        <v>(nextval('obj_part_id_seq'), (select id from obj_building_v where zip||'|'||street||'|'||name||'|'||volume = '4950|Nyffel 26|Schulhaus Nyffel|4142.00'), 'P2', 13, 90, 2016,'Satteldach mit asbesth. Eternit-Dachdeckung. Der Dachstock ist ein Kaltdach mit einem Unterdach aus Schindeln. Es sind keine Schäden ersichtlich.'),</v>
      </c>
    </row>
    <row r="2885" spans="1:8" x14ac:dyDescent="0.25">
      <c r="A2885" s="9" t="s">
        <v>2929</v>
      </c>
      <c r="B2885" s="9" t="s">
        <v>1099</v>
      </c>
      <c r="C2885">
        <v>0</v>
      </c>
      <c r="D2885" t="s">
        <v>4080</v>
      </c>
      <c r="E2885">
        <v>2016</v>
      </c>
      <c r="F2885" s="9"/>
      <c r="H2885" s="20" t="str">
        <f t="shared" ref="H2885:H2948" si="45">"(nextval('obj_part_id_seq'), (select id from obj_building_v where zip||'|'||street||'|'||name||'|'||volume = '"&amp;A2885&amp;"'), '"&amp;B2885&amp;"', "&amp;C2885&amp;", "&amp;D2885&amp;", "&amp;IF(ISBLANK(E2885),"null",E2885)&amp;","&amp;IF(ISBLANK(F2885),"null","'"&amp;F2885&amp;"'")&amp;"),"</f>
        <v>(nextval('obj_part_id_seq'), (select id from obj_building_v where zip||'|'||street||'|'||name||'|'||volume = '4950|Nyffel 26|Schulhaus Nyffel|4142.00'), 'P3', 0, null, 2016,null),</v>
      </c>
    </row>
    <row r="2886" spans="1:8" x14ac:dyDescent="0.25">
      <c r="A2886" s="9" t="s">
        <v>2929</v>
      </c>
      <c r="B2886" s="9" t="s">
        <v>1100</v>
      </c>
      <c r="C2886">
        <v>8</v>
      </c>
      <c r="D2886">
        <v>75</v>
      </c>
      <c r="E2886">
        <v>2016</v>
      </c>
      <c r="F2886" s="9" t="s">
        <v>2932</v>
      </c>
      <c r="H2886" s="20" t="str">
        <f t="shared" si="45"/>
        <v>(nextval('obj_part_id_seq'), (select id from obj_building_v where zip||'|'||street||'|'||name||'|'||volume = '4950|Nyffel 26|Schulhaus Nyffel|4142.00'), 'P4', 8, 75, 2016,'Mauerwerk verputzt, einzelne Abplatzungen und mehrere Risse vorhanden'),</v>
      </c>
    </row>
    <row r="2887" spans="1:8" x14ac:dyDescent="0.25">
      <c r="A2887" s="9" t="s">
        <v>2929</v>
      </c>
      <c r="B2887" s="9" t="s">
        <v>1102</v>
      </c>
      <c r="C2887">
        <v>8</v>
      </c>
      <c r="D2887">
        <v>80</v>
      </c>
      <c r="E2887">
        <v>2016</v>
      </c>
      <c r="F2887" s="9" t="s">
        <v>2933</v>
      </c>
      <c r="H2887" s="20" t="str">
        <f t="shared" si="45"/>
        <v>(nextval('obj_part_id_seq'), (select id from obj_building_v where zip||'|'||street||'|'||name||'|'||volume = '4950|Nyffel 26|Schulhaus Nyffel|4142.00'), 'P5', 8, 80, 2016,'Holz-/Metallfenster mit 3-fach Isolierverglasung und Rafflamellenstoren sowie einzelne Fenster aus Aluminium. Die Fenster wurden im 2004 saniert, die Fenster im Keller jedoch nicht. Einzelne Fenster sind verwittert. Die Eingangsfront ist undicht.'),</v>
      </c>
    </row>
    <row r="2888" spans="1:8" x14ac:dyDescent="0.25">
      <c r="A2888" s="9" t="s">
        <v>2929</v>
      </c>
      <c r="B2888" s="9" t="s">
        <v>1104</v>
      </c>
      <c r="C2888">
        <v>1</v>
      </c>
      <c r="D2888">
        <v>85</v>
      </c>
      <c r="E2888">
        <v>2016</v>
      </c>
      <c r="F2888" s="9" t="s">
        <v>2149</v>
      </c>
      <c r="H2888" s="20" t="str">
        <f t="shared" si="45"/>
        <v>(nextval('obj_part_id_seq'), (select id from obj_building_v where zip||'|'||street||'|'||name||'|'||volume = '4950|Nyffel 26|Schulhaus Nyffel|4142.00'), 'P6', 1, 85, 2016,'Ölheizung'),</v>
      </c>
    </row>
    <row r="2889" spans="1:8" x14ac:dyDescent="0.25">
      <c r="A2889" s="9" t="s">
        <v>2929</v>
      </c>
      <c r="B2889" s="9" t="s">
        <v>1106</v>
      </c>
      <c r="C2889">
        <v>2</v>
      </c>
      <c r="D2889">
        <v>90</v>
      </c>
      <c r="E2889">
        <v>2016</v>
      </c>
      <c r="F2889" s="9" t="s">
        <v>2934</v>
      </c>
      <c r="H2889" s="20" t="str">
        <f t="shared" si="45"/>
        <v>(nextval('obj_part_id_seq'), (select id from obj_building_v where zip||'|'||street||'|'||name||'|'||volume = '4950|Nyffel 26|Schulhaus Nyffel|4142.00'), 'P7', 2, 90, 2016,'Radiatoren mit Thermostaten, tw. ohne Thermostat'),</v>
      </c>
    </row>
    <row r="2890" spans="1:8" x14ac:dyDescent="0.25">
      <c r="A2890" s="9" t="s">
        <v>2929</v>
      </c>
      <c r="B2890" s="9" t="s">
        <v>1108</v>
      </c>
      <c r="C2890">
        <v>6</v>
      </c>
      <c r="D2890">
        <v>85</v>
      </c>
      <c r="E2890">
        <v>2016</v>
      </c>
      <c r="F2890" s="9" t="s">
        <v>2935</v>
      </c>
      <c r="H2890" s="20" t="str">
        <f t="shared" si="45"/>
        <v>(nextval('obj_part_id_seq'), (select id from obj_building_v where zip||'|'||street||'|'||name||'|'||volume = '4950|Nyffel 26|Schulhaus Nyffel|4142.00'), 'P8', 6, 85, 2016,'Die Leitungen sind nicht isoliert, z.T. ältere Apparate und Armaturen, jedoch intakt, Rostflecken sind im Lavabo des UG''s ersichtlich'),</v>
      </c>
    </row>
    <row r="2891" spans="1:8" x14ac:dyDescent="0.25">
      <c r="A2891" s="9" t="s">
        <v>2929</v>
      </c>
      <c r="B2891" s="9" t="s">
        <v>1110</v>
      </c>
      <c r="C2891">
        <v>6</v>
      </c>
      <c r="D2891">
        <v>85</v>
      </c>
      <c r="E2891">
        <v>2016</v>
      </c>
      <c r="F2891" s="9" t="s">
        <v>2936</v>
      </c>
      <c r="H2891" s="20" t="str">
        <f t="shared" si="45"/>
        <v>(nextval('obj_part_id_seq'), (select id from obj_building_v where zip||'|'||street||'|'||name||'|'||volume = '4950|Nyffel 26|Schulhaus Nyffel|4142.00'), 'P9', 6, 85, 2016,'Ältere Keramiksicherungen vorhanden, Elektrotableau möglicherweise mit asbesthaltiger Grundplatte'),</v>
      </c>
    </row>
    <row r="2892" spans="1:8" x14ac:dyDescent="0.25">
      <c r="A2892" s="9" t="s">
        <v>2929</v>
      </c>
      <c r="B2892" s="9" t="s">
        <v>1112</v>
      </c>
      <c r="C2892">
        <v>3</v>
      </c>
      <c r="D2892">
        <v>90</v>
      </c>
      <c r="E2892">
        <v>2016</v>
      </c>
      <c r="F2892" s="9"/>
      <c r="H2892" s="20" t="str">
        <f t="shared" si="45"/>
        <v>(nextval('obj_part_id_seq'), (select id from obj_building_v where zip||'|'||street||'|'||name||'|'||volume = '4950|Nyffel 26|Schulhaus Nyffel|4142.00'), 'P10', 3, 90, 2016,null),</v>
      </c>
    </row>
    <row r="2893" spans="1:8" x14ac:dyDescent="0.25">
      <c r="A2893" s="9" t="s">
        <v>2929</v>
      </c>
      <c r="B2893" s="9" t="s">
        <v>1114</v>
      </c>
      <c r="C2893">
        <v>8</v>
      </c>
      <c r="D2893">
        <v>85</v>
      </c>
      <c r="E2893">
        <v>2016</v>
      </c>
      <c r="F2893" s="9" t="s">
        <v>2937</v>
      </c>
      <c r="H2893" s="20" t="str">
        <f t="shared" si="45"/>
        <v>(nextval('obj_part_id_seq'), (select id from obj_building_v where zip||'|'||street||'|'||name||'|'||volume = '4950|Nyffel 26|Schulhaus Nyffel|4142.00'), 'P11', 8, 85, 2016,'Einbauschränke, Innentüren, Teeküche, Garderoben weisen Abnützungsspuren auf'),</v>
      </c>
    </row>
    <row r="2894" spans="1:8" x14ac:dyDescent="0.25">
      <c r="A2894" s="9" t="s">
        <v>2929</v>
      </c>
      <c r="B2894" s="9" t="s">
        <v>1114</v>
      </c>
      <c r="C2894">
        <v>10</v>
      </c>
      <c r="D2894">
        <v>80</v>
      </c>
      <c r="E2894">
        <v>2016</v>
      </c>
      <c r="F2894" s="9" t="s">
        <v>2938</v>
      </c>
      <c r="H2894" s="20" t="str">
        <f t="shared" si="45"/>
        <v>(nextval('obj_part_id_seq'), (select id from obj_building_v where zip||'|'||street||'|'||name||'|'||volume = '4950|Nyffel 26|Schulhaus Nyffel|4142.00'), 'P11', 10, 80, 2016,'Estrich: Der Dachboden ist gedämmt. B: Parkett, Klinker, Linoleum, Kork, W: verputzt, Glasfasertapeten, mehrere Risse ersichtlich, D: Holztäfer, Gipskartonplatten, Putz'),</v>
      </c>
    </row>
    <row r="2895" spans="1:8" x14ac:dyDescent="0.25">
      <c r="A2895" s="9" t="s">
        <v>2929</v>
      </c>
      <c r="B2895" s="9" t="s">
        <v>1116</v>
      </c>
      <c r="C2895">
        <v>0</v>
      </c>
      <c r="D2895" t="s">
        <v>4080</v>
      </c>
      <c r="E2895">
        <v>2016</v>
      </c>
      <c r="F2895" s="9"/>
      <c r="H2895" s="20" t="str">
        <f t="shared" si="45"/>
        <v>(nextval('obj_part_id_seq'), (select id from obj_building_v where zip||'|'||street||'|'||name||'|'||volume = '4950|Nyffel 26|Schulhaus Nyffel|4142.00'), 'P12', 0, null, 2016,null),</v>
      </c>
    </row>
    <row r="2896" spans="1:8" x14ac:dyDescent="0.25">
      <c r="A2896" s="9" t="s">
        <v>2939</v>
      </c>
      <c r="B2896" s="9" t="s">
        <v>1127</v>
      </c>
      <c r="C2896">
        <v>41</v>
      </c>
      <c r="D2896">
        <v>85</v>
      </c>
      <c r="E2896">
        <v>2016</v>
      </c>
      <c r="F2896" s="9" t="s">
        <v>2940</v>
      </c>
      <c r="H2896" s="20" t="str">
        <f t="shared" si="45"/>
        <v>(nextval('obj_part_id_seq'), (select id from obj_building_v where zip||'|'||street||'|'||name||'|'||volume = '4950|Bernstrasse 78|Schulhaus HPS Schüpbach|2600.00'), 'P48', 41, 85, 2016,'Mauerwerk mit Hourdisdecken und Holzstüzen, welche Verwitterungs- und Holzfrassspuren aufweisen, Velounterstand aus Holz'),</v>
      </c>
    </row>
    <row r="2897" spans="1:8" x14ac:dyDescent="0.25">
      <c r="A2897" s="9" t="s">
        <v>2939</v>
      </c>
      <c r="B2897" s="9" t="s">
        <v>1129</v>
      </c>
      <c r="C2897">
        <v>0</v>
      </c>
      <c r="D2897" t="s">
        <v>4080</v>
      </c>
      <c r="E2897">
        <v>2016</v>
      </c>
      <c r="F2897" s="9"/>
      <c r="H2897" s="20" t="str">
        <f t="shared" si="45"/>
        <v>(nextval('obj_part_id_seq'), (select id from obj_building_v where zip||'|'||street||'|'||name||'|'||volume = '4950|Bernstrasse 78|Schulhaus HPS Schüpbach|2600.00'), 'P49', 0, null, 2016,null),</v>
      </c>
    </row>
    <row r="2898" spans="1:8" x14ac:dyDescent="0.25">
      <c r="A2898" s="9" t="s">
        <v>2939</v>
      </c>
      <c r="B2898" s="9" t="s">
        <v>1097</v>
      </c>
      <c r="C2898">
        <v>8</v>
      </c>
      <c r="D2898">
        <v>90</v>
      </c>
      <c r="E2898">
        <v>2016</v>
      </c>
      <c r="F2898" s="9" t="s">
        <v>2941</v>
      </c>
      <c r="H2898" s="20" t="str">
        <f t="shared" si="45"/>
        <v>(nextval('obj_part_id_seq'), (select id from obj_building_v where zip||'|'||street||'|'||name||'|'||volume = '4950|Bernstrasse 78|Schulhaus HPS Schüpbach|2600.00'), 'P2', 8, 90, 2016,'Zeltdach mit Falzziegeln und Ochsenaugen'),</v>
      </c>
    </row>
    <row r="2899" spans="1:8" x14ac:dyDescent="0.25">
      <c r="A2899" s="9" t="s">
        <v>2939</v>
      </c>
      <c r="B2899" s="9" t="s">
        <v>1099</v>
      </c>
      <c r="C2899">
        <v>0</v>
      </c>
      <c r="D2899" t="s">
        <v>4080</v>
      </c>
      <c r="E2899">
        <v>2016</v>
      </c>
      <c r="F2899" s="9"/>
      <c r="H2899" s="20" t="str">
        <f t="shared" si="45"/>
        <v>(nextval('obj_part_id_seq'), (select id from obj_building_v where zip||'|'||street||'|'||name||'|'||volume = '4950|Bernstrasse 78|Schulhaus HPS Schüpbach|2600.00'), 'P3', 0, null, 2016,null),</v>
      </c>
    </row>
    <row r="2900" spans="1:8" x14ac:dyDescent="0.25">
      <c r="A2900" s="9" t="s">
        <v>2939</v>
      </c>
      <c r="B2900" s="9" t="s">
        <v>1100</v>
      </c>
      <c r="C2900">
        <v>7</v>
      </c>
      <c r="D2900">
        <v>85</v>
      </c>
      <c r="E2900">
        <v>2016</v>
      </c>
      <c r="F2900" s="9" t="s">
        <v>2942</v>
      </c>
      <c r="H2900" s="20" t="str">
        <f t="shared" si="45"/>
        <v>(nextval('obj_part_id_seq'), (select id from obj_building_v where zip||'|'||street||'|'||name||'|'||volume = '4950|Bernstrasse 78|Schulhaus HPS Schüpbach|2600.00'), 'P4', 7, 85, 2016,'Hauptgebäude: Eternitschindeln, mit Fries, Gewänden und Fensterbänken aus Holz, Anbau: Eternitschindeln'),</v>
      </c>
    </row>
    <row r="2901" spans="1:8" x14ac:dyDescent="0.25">
      <c r="A2901" s="9" t="s">
        <v>2939</v>
      </c>
      <c r="B2901" s="9" t="s">
        <v>1102</v>
      </c>
      <c r="C2901">
        <v>10</v>
      </c>
      <c r="D2901">
        <v>85</v>
      </c>
      <c r="E2901">
        <v>2016</v>
      </c>
      <c r="F2901" s="9" t="s">
        <v>2943</v>
      </c>
      <c r="H2901" s="20" t="str">
        <f t="shared" si="45"/>
        <v>(nextval('obj_part_id_seq'), (select id from obj_building_v where zip||'|'||street||'|'||name||'|'||volume = '4950|Bernstrasse 78|Schulhaus HPS Schüpbach|2600.00'), 'P5', 10, 85, 2016,'Holz-/Metallfenster 3-fach IV mit zwischenliegenden Sprossen und Stoffstoren, Eingangstüre mit alter Schliessung, aber dicht. Fensterbänke sind verwittert'),</v>
      </c>
    </row>
    <row r="2902" spans="1:8" x14ac:dyDescent="0.25">
      <c r="A2902" s="9" t="s">
        <v>2939</v>
      </c>
      <c r="B2902" s="9" t="s">
        <v>1164</v>
      </c>
      <c r="C2902">
        <v>6</v>
      </c>
      <c r="D2902">
        <v>70</v>
      </c>
      <c r="E2902">
        <v>2016</v>
      </c>
      <c r="F2902" s="9" t="s">
        <v>2944</v>
      </c>
      <c r="H2902" s="20" t="str">
        <f t="shared" si="45"/>
        <v>(nextval('obj_part_id_seq'), (select id from obj_building_v where zip||'|'||street||'|'||name||'|'||volume = '4950|Bernstrasse 78|Schulhaus HPS Schüpbach|2600.00'), 'P50', 6, 70, 2016,'Beleuchtung, relativ alt, Kühlanlagen'),</v>
      </c>
    </row>
    <row r="2903" spans="1:8" x14ac:dyDescent="0.25">
      <c r="A2903" s="9" t="s">
        <v>2939</v>
      </c>
      <c r="B2903" s="9" t="s">
        <v>1166</v>
      </c>
      <c r="C2903">
        <v>1</v>
      </c>
      <c r="D2903">
        <v>90</v>
      </c>
      <c r="E2903">
        <v>2016</v>
      </c>
      <c r="F2903" s="9" t="s">
        <v>2945</v>
      </c>
      <c r="H2903" s="20" t="str">
        <f t="shared" si="45"/>
        <v>(nextval('obj_part_id_seq'), (select id from obj_building_v where zip||'|'||street||'|'||name||'|'||volume = '4950|Bernstrasse 78|Schulhaus HPS Schüpbach|2600.00'), 'P51', 1, 90, 2016,'Brandmeldeanlage, EDV-Anlage'),</v>
      </c>
    </row>
    <row r="2904" spans="1:8" x14ac:dyDescent="0.25">
      <c r="A2904" s="9" t="s">
        <v>2939</v>
      </c>
      <c r="B2904" s="9" t="s">
        <v>1104</v>
      </c>
      <c r="C2904">
        <v>1</v>
      </c>
      <c r="D2904">
        <v>80</v>
      </c>
      <c r="E2904">
        <v>2016</v>
      </c>
      <c r="F2904" s="9" t="s">
        <v>2946</v>
      </c>
      <c r="H2904" s="20" t="str">
        <f t="shared" si="45"/>
        <v>(nextval('obj_part_id_seq'), (select id from obj_building_v where zip||'|'||street||'|'||name||'|'||volume = '4950|Bernstrasse 78|Schulhaus HPS Schüpbach|2600.00'), 'P6', 1, 80, 2016,'Ölheizung (Kessel ''85, Brenner neuer)'),</v>
      </c>
    </row>
    <row r="2905" spans="1:8" x14ac:dyDescent="0.25">
      <c r="A2905" s="9" t="s">
        <v>2939</v>
      </c>
      <c r="B2905" s="9" t="s">
        <v>1106</v>
      </c>
      <c r="C2905">
        <v>3</v>
      </c>
      <c r="D2905">
        <v>90</v>
      </c>
      <c r="E2905">
        <v>2016</v>
      </c>
      <c r="F2905" s="9" t="s">
        <v>1107</v>
      </c>
      <c r="H2905" s="20" t="str">
        <f t="shared" si="45"/>
        <v>(nextval('obj_part_id_seq'), (select id from obj_building_v where zip||'|'||street||'|'||name||'|'||volume = '4950|Bernstrasse 78|Schulhaus HPS Schüpbach|2600.00'), 'P7', 3, 90, 2016,'Radiatoren mit Thermostaten'),</v>
      </c>
    </row>
    <row r="2906" spans="1:8" x14ac:dyDescent="0.25">
      <c r="A2906" s="9" t="s">
        <v>2939</v>
      </c>
      <c r="B2906" s="9" t="s">
        <v>1108</v>
      </c>
      <c r="C2906">
        <v>4</v>
      </c>
      <c r="D2906">
        <v>90</v>
      </c>
      <c r="E2906">
        <v>2016</v>
      </c>
      <c r="F2906" s="9" t="s">
        <v>1218</v>
      </c>
      <c r="H2906" s="20" t="str">
        <f t="shared" si="45"/>
        <v>(nextval('obj_part_id_seq'), (select id from obj_building_v where zip||'|'||street||'|'||name||'|'||volume = '4950|Bernstrasse 78|Schulhaus HPS Schüpbach|2600.00'), 'P8', 4, 90, 2016,'Keine Mängel bekannt'),</v>
      </c>
    </row>
    <row r="2907" spans="1:8" x14ac:dyDescent="0.25">
      <c r="A2907" s="9" t="s">
        <v>2939</v>
      </c>
      <c r="B2907" s="9" t="s">
        <v>1138</v>
      </c>
      <c r="C2907">
        <v>11</v>
      </c>
      <c r="D2907">
        <v>90</v>
      </c>
      <c r="E2907">
        <v>2016</v>
      </c>
      <c r="F2907" s="9" t="s">
        <v>2947</v>
      </c>
      <c r="H2907" s="20" t="str">
        <f t="shared" si="45"/>
        <v>(nextval('obj_part_id_seq'), (select id from obj_building_v where zip||'|'||street||'|'||name||'|'||volume = '4950|Bernstrasse 78|Schulhaus HPS Schüpbach|2600.00'), 'P57', 11, 90, 2016,'Einbauschränke, Innentüren aus Holz, Garderoben, Kücheneinrichtung mit Steamer, Treppenlift'),</v>
      </c>
    </row>
    <row r="2908" spans="1:8" x14ac:dyDescent="0.25">
      <c r="A2908" s="9" t="s">
        <v>2939</v>
      </c>
      <c r="B2908" s="9" t="s">
        <v>1140</v>
      </c>
      <c r="C2908">
        <v>8</v>
      </c>
      <c r="D2908">
        <v>85</v>
      </c>
      <c r="E2908">
        <v>2016</v>
      </c>
      <c r="F2908" s="9" t="s">
        <v>2948</v>
      </c>
      <c r="H2908" s="20" t="str">
        <f t="shared" si="45"/>
        <v>(nextval('obj_part_id_seq'), (select id from obj_building_v where zip||'|'||street||'|'||name||'|'||volume = '4950|Bernstrasse 78|Schulhaus HPS Schüpbach|2600.00'), 'P58', 8, 85, 2016,'B: Linol, Keramikplatten, Parkett, Klötzliboden, W+D: Verputz,  Holzverkleidung, einzelne Risse im Putz ersichtlich'),</v>
      </c>
    </row>
    <row r="2909" spans="1:8" x14ac:dyDescent="0.25">
      <c r="A2909" s="9" t="s">
        <v>2939</v>
      </c>
      <c r="B2909" s="9" t="s">
        <v>1142</v>
      </c>
      <c r="C2909">
        <v>0</v>
      </c>
      <c r="D2909" t="s">
        <v>4080</v>
      </c>
      <c r="E2909">
        <v>2016</v>
      </c>
      <c r="F2909" s="9"/>
      <c r="H2909" s="20" t="str">
        <f t="shared" si="45"/>
        <v>(nextval('obj_part_id_seq'), (select id from obj_building_v where zip||'|'||street||'|'||name||'|'||volume = '4950|Bernstrasse 78|Schulhaus HPS Schüpbach|2600.00'), 'P60', 0, null, 2016,null),</v>
      </c>
    </row>
    <row r="2910" spans="1:8" x14ac:dyDescent="0.25">
      <c r="A2910" s="9" t="s">
        <v>2939</v>
      </c>
      <c r="B2910" s="9" t="s">
        <v>1143</v>
      </c>
      <c r="C2910">
        <v>0</v>
      </c>
      <c r="D2910" t="s">
        <v>4080</v>
      </c>
      <c r="E2910">
        <v>2016</v>
      </c>
      <c r="F2910" s="9"/>
      <c r="H2910" s="20" t="str">
        <f t="shared" si="45"/>
        <v>(nextval('obj_part_id_seq'), (select id from obj_building_v where zip||'|'||street||'|'||name||'|'||volume = '4950|Bernstrasse 78|Schulhaus HPS Schüpbach|2600.00'), 'P61', 0, null, 2016,null),</v>
      </c>
    </row>
    <row r="2911" spans="1:8" x14ac:dyDescent="0.25">
      <c r="A2911" s="9" t="s">
        <v>2939</v>
      </c>
      <c r="B2911" s="9" t="s">
        <v>1144</v>
      </c>
      <c r="C2911">
        <v>0</v>
      </c>
      <c r="D2911" t="s">
        <v>4080</v>
      </c>
      <c r="E2911">
        <v>2016</v>
      </c>
      <c r="F2911" s="9"/>
      <c r="H2911" s="20" t="str">
        <f t="shared" si="45"/>
        <v>(nextval('obj_part_id_seq'), (select id from obj_building_v where zip||'|'||street||'|'||name||'|'||volume = '4950|Bernstrasse 78|Schulhaus HPS Schüpbach|2600.00'), 'P62', 0, null, 2016,null),</v>
      </c>
    </row>
    <row r="2912" spans="1:8" x14ac:dyDescent="0.25">
      <c r="A2912" s="9" t="s">
        <v>2949</v>
      </c>
      <c r="B2912" s="9" t="s">
        <v>1127</v>
      </c>
      <c r="C2912">
        <v>8</v>
      </c>
      <c r="D2912">
        <v>90</v>
      </c>
      <c r="E2912">
        <v>2016</v>
      </c>
      <c r="F2912" s="9" t="s">
        <v>2950</v>
      </c>
      <c r="H2912" s="20" t="str">
        <f t="shared" si="45"/>
        <v>(nextval('obj_part_id_seq'), (select id from obj_building_v where zip||'|'||street||'|'||name||'|'||volume = '9471|Langäulistrasse 20|Werkhalle (Werkhof)|7188.00'), 'P48', 8, 90, 2016,'KS-Wände'),</v>
      </c>
    </row>
    <row r="2913" spans="1:8" x14ac:dyDescent="0.25">
      <c r="A2913" s="9" t="s">
        <v>2949</v>
      </c>
      <c r="B2913" s="9" t="s">
        <v>1129</v>
      </c>
      <c r="C2913">
        <v>26</v>
      </c>
      <c r="D2913">
        <v>90</v>
      </c>
      <c r="E2913">
        <v>2016</v>
      </c>
      <c r="F2913" s="9" t="s">
        <v>2951</v>
      </c>
      <c r="H2913" s="20" t="str">
        <f t="shared" si="45"/>
        <v>(nextval('obj_part_id_seq'), (select id from obj_building_v where zip||'|'||street||'|'||name||'|'||volume = '9471|Langäulistrasse 20|Werkhalle (Werkhof)|7188.00'), 'P49', 26, 90, 2016,'Stahlbau'),</v>
      </c>
    </row>
    <row r="2914" spans="1:8" x14ac:dyDescent="0.25">
      <c r="A2914" s="9" t="s">
        <v>2949</v>
      </c>
      <c r="B2914" s="9" t="s">
        <v>1097</v>
      </c>
      <c r="C2914">
        <v>7</v>
      </c>
      <c r="D2914">
        <v>90</v>
      </c>
      <c r="E2914">
        <v>2016</v>
      </c>
      <c r="F2914" s="9" t="s">
        <v>2952</v>
      </c>
      <c r="H2914" s="20" t="str">
        <f t="shared" si="45"/>
        <v>(nextval('obj_part_id_seq'), (select id from obj_building_v where zip||'|'||street||'|'||name||'|'||volume = '9471|Langäulistrasse 20|Werkhalle (Werkhof)|7188.00'), 'P2', 7, 90, 2016,'Vermutlich Metall-Sandwichkonstruktion, Vordach: Trapezwellbleche, keine Mängel bekannt'),</v>
      </c>
    </row>
    <row r="2915" spans="1:8" x14ac:dyDescent="0.25">
      <c r="A2915" s="9" t="s">
        <v>2949</v>
      </c>
      <c r="B2915" s="9" t="s">
        <v>1099</v>
      </c>
      <c r="C2915">
        <v>0</v>
      </c>
      <c r="D2915" t="s">
        <v>4080</v>
      </c>
      <c r="E2915">
        <v>2016</v>
      </c>
      <c r="F2915" s="9"/>
      <c r="H2915" s="20" t="str">
        <f t="shared" si="45"/>
        <v>(nextval('obj_part_id_seq'), (select id from obj_building_v where zip||'|'||street||'|'||name||'|'||volume = '9471|Langäulistrasse 20|Werkhalle (Werkhof)|7188.00'), 'P3', 0, null, 2016,null),</v>
      </c>
    </row>
    <row r="2916" spans="1:8" x14ac:dyDescent="0.25">
      <c r="A2916" s="9" t="s">
        <v>2949</v>
      </c>
      <c r="B2916" s="9" t="s">
        <v>1100</v>
      </c>
      <c r="C2916">
        <v>6</v>
      </c>
      <c r="D2916">
        <v>90</v>
      </c>
      <c r="E2916">
        <v>2016</v>
      </c>
      <c r="F2916" s="9" t="s">
        <v>2953</v>
      </c>
      <c r="H2916" s="20" t="str">
        <f t="shared" si="45"/>
        <v>(nextval('obj_part_id_seq'), (select id from obj_building_v where zip||'|'||street||'|'||name||'|'||volume = '9471|Langäulistrasse 20|Werkhalle (Werkhof)|7188.00'), 'P4', 6, 90, 2016,'Holzwerkstoffplatten, Eternitplatten und Blech'),</v>
      </c>
    </row>
    <row r="2917" spans="1:8" x14ac:dyDescent="0.25">
      <c r="A2917" s="9" t="s">
        <v>2949</v>
      </c>
      <c r="B2917" s="9" t="s">
        <v>1102</v>
      </c>
      <c r="C2917">
        <v>15</v>
      </c>
      <c r="D2917">
        <v>90</v>
      </c>
      <c r="E2917">
        <v>2016</v>
      </c>
      <c r="F2917" s="9" t="s">
        <v>2954</v>
      </c>
      <c r="H2917" s="20" t="str">
        <f t="shared" si="45"/>
        <v>(nextval('obj_part_id_seq'), (select id from obj_building_v where zip||'|'||street||'|'||name||'|'||volume = '9471|Langäulistrasse 20|Werkhalle (Werkhof)|7188.00'), 'P5', 15, 90, 2016,'Holzfenster, doppelverglast, PVC-Fenster, Rollläden und Rafflamellenstoren, in Halle: Aluminiumfenster 3-fach, Sektionaltor'),</v>
      </c>
    </row>
    <row r="2918" spans="1:8" x14ac:dyDescent="0.25">
      <c r="A2918" s="9" t="s">
        <v>2949</v>
      </c>
      <c r="B2918" s="9" t="s">
        <v>1110</v>
      </c>
      <c r="C2918">
        <v>9</v>
      </c>
      <c r="D2918">
        <v>90</v>
      </c>
      <c r="E2918">
        <v>2016</v>
      </c>
      <c r="F2918" s="9" t="s">
        <v>2955</v>
      </c>
      <c r="H2918" s="20" t="str">
        <f t="shared" si="45"/>
        <v>(nextval('obj_part_id_seq'), (select id from obj_building_v where zip||'|'||street||'|'||name||'|'||volume = '9471|Langäulistrasse 20|Werkhalle (Werkhof)|7188.00'), 'P9', 9, 90, 2016,'Beleuchtung, Brandmeldeanlagen, EDV-Anlage'),</v>
      </c>
    </row>
    <row r="2919" spans="1:8" x14ac:dyDescent="0.25">
      <c r="A2919" s="9" t="s">
        <v>2949</v>
      </c>
      <c r="B2919" s="9" t="s">
        <v>1104</v>
      </c>
      <c r="C2919">
        <v>1</v>
      </c>
      <c r="D2919">
        <v>90</v>
      </c>
      <c r="E2919">
        <v>2016</v>
      </c>
      <c r="F2919" s="9" t="s">
        <v>2956</v>
      </c>
      <c r="H2919" s="20" t="str">
        <f t="shared" si="45"/>
        <v>(nextval('obj_part_id_seq'), (select id from obj_building_v where zip||'|'||street||'|'||name||'|'||volume = '9471|Langäulistrasse 20|Werkhalle (Werkhof)|7188.00'), 'P6', 1, 90, 2016,'Fernwärme, Warmlufttrockner, Boiler'),</v>
      </c>
    </row>
    <row r="2920" spans="1:8" x14ac:dyDescent="0.25">
      <c r="A2920" s="9" t="s">
        <v>2949</v>
      </c>
      <c r="B2920" s="9" t="s">
        <v>1106</v>
      </c>
      <c r="C2920">
        <v>4</v>
      </c>
      <c r="D2920">
        <v>90</v>
      </c>
      <c r="E2920">
        <v>2016</v>
      </c>
      <c r="F2920" s="9" t="s">
        <v>2957</v>
      </c>
      <c r="H2920" s="20" t="str">
        <f t="shared" si="45"/>
        <v>(nextval('obj_part_id_seq'), (select id from obj_building_v where zip||'|'||street||'|'||name||'|'||volume = '9471|Langäulistrasse 20|Werkhalle (Werkhof)|7188.00'), 'P7', 4, 90, 2016,'Bodenheizung, Halle: Warmluft'),</v>
      </c>
    </row>
    <row r="2921" spans="1:8" x14ac:dyDescent="0.25">
      <c r="A2921" s="9" t="s">
        <v>2949</v>
      </c>
      <c r="B2921" s="9" t="s">
        <v>1403</v>
      </c>
      <c r="C2921">
        <v>2</v>
      </c>
      <c r="D2921">
        <v>90</v>
      </c>
      <c r="E2921">
        <v>2016</v>
      </c>
      <c r="F2921" s="9" t="s">
        <v>2958</v>
      </c>
      <c r="H2921" s="20" t="str">
        <f t="shared" si="45"/>
        <v>(nextval('obj_part_id_seq'), (select id from obj_building_v where zip||'|'||street||'|'||name||'|'||volume = '9471|Langäulistrasse 20|Werkhalle (Werkhof)|7188.00'), 'P52', 2, 90, 2016,'Abzugsanlagen, Entfeuchtungsgerät'),</v>
      </c>
    </row>
    <row r="2922" spans="1:8" x14ac:dyDescent="0.25">
      <c r="A2922" s="9" t="s">
        <v>2949</v>
      </c>
      <c r="B2922" s="9" t="s">
        <v>1404</v>
      </c>
      <c r="C2922">
        <v>3</v>
      </c>
      <c r="D2922">
        <v>90</v>
      </c>
      <c r="E2922">
        <v>2016</v>
      </c>
      <c r="F2922" s="9" t="s">
        <v>2064</v>
      </c>
      <c r="H2922" s="20" t="str">
        <f t="shared" si="45"/>
        <v>(nextval('obj_part_id_seq'), (select id from obj_building_v where zip||'|'||street||'|'||name||'|'||volume = '9471|Langäulistrasse 20|Werkhalle (Werkhof)|7188.00'), 'P53', 3, 90, 2016,'Lüftungskanäle'),</v>
      </c>
    </row>
    <row r="2923" spans="1:8" x14ac:dyDescent="0.25">
      <c r="A2923" s="9" t="s">
        <v>2949</v>
      </c>
      <c r="B2923" s="9" t="s">
        <v>1108</v>
      </c>
      <c r="C2923">
        <v>4</v>
      </c>
      <c r="D2923">
        <v>90</v>
      </c>
      <c r="E2923">
        <v>2016</v>
      </c>
      <c r="F2923" s="9" t="s">
        <v>1850</v>
      </c>
      <c r="H2923" s="20" t="str">
        <f t="shared" si="45"/>
        <v>(nextval('obj_part_id_seq'), (select id from obj_building_v where zip||'|'||street||'|'||name||'|'||volume = '9471|Langäulistrasse 20|Werkhalle (Werkhof)|7188.00'), 'P8', 4, 90, 2016,'keine Mängel bekannt'),</v>
      </c>
    </row>
    <row r="2924" spans="1:8" x14ac:dyDescent="0.25">
      <c r="A2924" s="9" t="s">
        <v>2949</v>
      </c>
      <c r="B2924" s="9" t="s">
        <v>1155</v>
      </c>
      <c r="C2924">
        <v>2</v>
      </c>
      <c r="D2924">
        <v>90</v>
      </c>
      <c r="E2924">
        <v>2016</v>
      </c>
      <c r="F2924" s="9" t="s">
        <v>2959</v>
      </c>
      <c r="H2924" s="20" t="str">
        <f t="shared" si="45"/>
        <v>(nextval('obj_part_id_seq'), (select id from obj_building_v where zip||'|'||street||'|'||name||'|'||volume = '9471|Langäulistrasse 20|Werkhalle (Werkhof)|7188.00'), 'P56', 2, 90, 2016,'Kananlage mit mot. Seilwinde'),</v>
      </c>
    </row>
    <row r="2925" spans="1:8" x14ac:dyDescent="0.25">
      <c r="A2925" s="9" t="s">
        <v>2949</v>
      </c>
      <c r="B2925" s="9" t="s">
        <v>1138</v>
      </c>
      <c r="C2925">
        <v>8</v>
      </c>
      <c r="D2925">
        <v>90</v>
      </c>
      <c r="E2925">
        <v>2016</v>
      </c>
      <c r="F2925" s="9" t="s">
        <v>2960</v>
      </c>
      <c r="H2925" s="20" t="str">
        <f t="shared" si="45"/>
        <v>(nextval('obj_part_id_seq'), (select id from obj_building_v where zip||'|'||street||'|'||name||'|'||volume = '9471|Langäulistrasse 20|Werkhalle (Werkhof)|7188.00'), 'P57', 8, 90, 2016,'Innentüren, Stahltreppe'),</v>
      </c>
    </row>
    <row r="2926" spans="1:8" x14ac:dyDescent="0.25">
      <c r="A2926" s="9" t="s">
        <v>2949</v>
      </c>
      <c r="B2926" s="9" t="s">
        <v>1140</v>
      </c>
      <c r="C2926">
        <v>5</v>
      </c>
      <c r="D2926">
        <v>90</v>
      </c>
      <c r="E2926">
        <v>2016</v>
      </c>
      <c r="F2926" s="9" t="s">
        <v>2961</v>
      </c>
      <c r="H2926" s="20" t="str">
        <f t="shared" si="45"/>
        <v>(nextval('obj_part_id_seq'), (select id from obj_building_v where zip||'|'||street||'|'||name||'|'||volume = '9471|Langäulistrasse 20|Werkhalle (Werkhof)|7188.00'), 'P58', 5, 90, 2016,'B: Keramik, Holz, Hartbeton, gestrichen\nD: Holz, Hallendecke\nW: Verputz, Keramik, Holz, Rohbeton'),</v>
      </c>
    </row>
    <row r="2927" spans="1:8" x14ac:dyDescent="0.25">
      <c r="A2927" s="9" t="s">
        <v>2949</v>
      </c>
      <c r="B2927" s="9" t="s">
        <v>1142</v>
      </c>
      <c r="C2927">
        <v>0</v>
      </c>
      <c r="D2927" t="s">
        <v>4080</v>
      </c>
      <c r="E2927">
        <v>2016</v>
      </c>
      <c r="F2927" s="9"/>
      <c r="H2927" s="20" t="str">
        <f t="shared" si="45"/>
        <v>(nextval('obj_part_id_seq'), (select id from obj_building_v where zip||'|'||street||'|'||name||'|'||volume = '9471|Langäulistrasse 20|Werkhalle (Werkhof)|7188.00'), 'P60', 0, null, 2016,null),</v>
      </c>
    </row>
    <row r="2928" spans="1:8" x14ac:dyDescent="0.25">
      <c r="A2928" s="9" t="s">
        <v>2949</v>
      </c>
      <c r="B2928" s="9" t="s">
        <v>1143</v>
      </c>
      <c r="C2928">
        <v>0</v>
      </c>
      <c r="D2928" t="s">
        <v>4080</v>
      </c>
      <c r="E2928">
        <v>2016</v>
      </c>
      <c r="F2928" s="9"/>
      <c r="H2928" s="20" t="str">
        <f t="shared" si="45"/>
        <v>(nextval('obj_part_id_seq'), (select id from obj_building_v where zip||'|'||street||'|'||name||'|'||volume = '9471|Langäulistrasse 20|Werkhalle (Werkhof)|7188.00'), 'P61', 0, null, 2016,null),</v>
      </c>
    </row>
    <row r="2929" spans="1:8" x14ac:dyDescent="0.25">
      <c r="A2929" s="9" t="s">
        <v>2949</v>
      </c>
      <c r="B2929" s="9" t="s">
        <v>1144</v>
      </c>
      <c r="C2929">
        <v>0</v>
      </c>
      <c r="D2929" t="s">
        <v>4080</v>
      </c>
      <c r="E2929">
        <v>2016</v>
      </c>
      <c r="F2929" s="9"/>
      <c r="H2929" s="20" t="str">
        <f t="shared" si="45"/>
        <v>(nextval('obj_part_id_seq'), (select id from obj_building_v where zip||'|'||street||'|'||name||'|'||volume = '9471|Langäulistrasse 20|Werkhalle (Werkhof)|7188.00'), 'P62', 0, null, 2016,null),</v>
      </c>
    </row>
    <row r="2930" spans="1:8" x14ac:dyDescent="0.25">
      <c r="A2930" s="9" t="s">
        <v>2962</v>
      </c>
      <c r="B2930" s="9" t="s">
        <v>1127</v>
      </c>
      <c r="C2930">
        <v>38</v>
      </c>
      <c r="D2930">
        <v>90</v>
      </c>
      <c r="E2930">
        <v>2016</v>
      </c>
      <c r="F2930" s="9" t="s">
        <v>2963</v>
      </c>
      <c r="H2930" s="20" t="str">
        <f t="shared" si="45"/>
        <v>(nextval('obj_part_id_seq'), (select id from obj_building_v where zip||'|'||street||'|'||name||'|'||volume = '4950|Bahnhofstrasse 2|Mehrzweckgebäude|700.00'), 'P48', 38, 90, 2016,'Mauerwerk, Hourdis- und Holzbalkendecken'),</v>
      </c>
    </row>
    <row r="2931" spans="1:8" x14ac:dyDescent="0.25">
      <c r="A2931" s="9" t="s">
        <v>2962</v>
      </c>
      <c r="B2931" s="9" t="s">
        <v>1129</v>
      </c>
      <c r="C2931">
        <v>0</v>
      </c>
      <c r="D2931" t="s">
        <v>4080</v>
      </c>
      <c r="E2931">
        <v>2016</v>
      </c>
      <c r="F2931" s="9"/>
      <c r="H2931" s="20" t="str">
        <f t="shared" si="45"/>
        <v>(nextval('obj_part_id_seq'), (select id from obj_building_v where zip||'|'||street||'|'||name||'|'||volume = '4950|Bahnhofstrasse 2|Mehrzweckgebäude|700.00'), 'P49', 0, null, 2016,null),</v>
      </c>
    </row>
    <row r="2932" spans="1:8" x14ac:dyDescent="0.25">
      <c r="A2932" s="9" t="s">
        <v>2962</v>
      </c>
      <c r="B2932" s="9" t="s">
        <v>1097</v>
      </c>
      <c r="C2932">
        <v>8</v>
      </c>
      <c r="D2932">
        <v>90</v>
      </c>
      <c r="E2932">
        <v>2016</v>
      </c>
      <c r="F2932" s="9" t="s">
        <v>2964</v>
      </c>
      <c r="H2932" s="20" t="str">
        <f t="shared" si="45"/>
        <v>(nextval('obj_part_id_seq'), (select id from obj_building_v where zip||'|'||street||'|'||name||'|'||volume = '4950|Bahnhofstrasse 2|Mehrzweckgebäude|700.00'), 'P2', 8, 90, 2016,'Eternitschindeldach, Turm: Kupferblechdach'),</v>
      </c>
    </row>
    <row r="2933" spans="1:8" x14ac:dyDescent="0.25">
      <c r="A2933" s="9" t="s">
        <v>2962</v>
      </c>
      <c r="B2933" s="9" t="s">
        <v>1099</v>
      </c>
      <c r="C2933">
        <v>0</v>
      </c>
      <c r="D2933" t="s">
        <v>4080</v>
      </c>
      <c r="E2933">
        <v>2016</v>
      </c>
      <c r="F2933" s="9"/>
      <c r="H2933" s="20" t="str">
        <f t="shared" si="45"/>
        <v>(nextval('obj_part_id_seq'), (select id from obj_building_v where zip||'|'||street||'|'||name||'|'||volume = '4950|Bahnhofstrasse 2|Mehrzweckgebäude|700.00'), 'P3', 0, null, 2016,null),</v>
      </c>
    </row>
    <row r="2934" spans="1:8" x14ac:dyDescent="0.25">
      <c r="A2934" s="9" t="s">
        <v>2962</v>
      </c>
      <c r="B2934" s="9" t="s">
        <v>1100</v>
      </c>
      <c r="C2934">
        <v>7</v>
      </c>
      <c r="D2934">
        <v>90</v>
      </c>
      <c r="E2934">
        <v>2016</v>
      </c>
      <c r="F2934" s="9" t="s">
        <v>2965</v>
      </c>
      <c r="H2934" s="20" t="str">
        <f t="shared" si="45"/>
        <v>(nextval('obj_part_id_seq'), (select id from obj_building_v where zip||'|'||street||'|'||name||'|'||volume = '4950|Bahnhofstrasse 2|Mehrzweckgebäude|700.00'), 'P4', 7, 90, 2016,'Mauerwerk, verputzt und gestrichen'),</v>
      </c>
    </row>
    <row r="2935" spans="1:8" x14ac:dyDescent="0.25">
      <c r="A2935" s="9" t="s">
        <v>2962</v>
      </c>
      <c r="B2935" s="9" t="s">
        <v>1102</v>
      </c>
      <c r="C2935">
        <v>11</v>
      </c>
      <c r="D2935">
        <v>90</v>
      </c>
      <c r="E2935">
        <v>2016</v>
      </c>
      <c r="F2935" s="9" t="s">
        <v>2966</v>
      </c>
      <c r="H2935" s="20" t="str">
        <f t="shared" si="45"/>
        <v>(nextval('obj_part_id_seq'), (select id from obj_building_v where zip||'|'||street||'|'||name||'|'||volume = '4950|Bahnhofstrasse 2|Mehrzweckgebäude|700.00'), 'P5', 11, 90, 2016,'Holzmetallfenster aus dem Jahr 2011 mit Rollläden'),</v>
      </c>
    </row>
    <row r="2936" spans="1:8" x14ac:dyDescent="0.25">
      <c r="A2936" s="9" t="s">
        <v>2962</v>
      </c>
      <c r="B2936" s="9" t="s">
        <v>1110</v>
      </c>
      <c r="C2936">
        <v>4</v>
      </c>
      <c r="D2936">
        <v>85</v>
      </c>
      <c r="E2936">
        <v>2016</v>
      </c>
      <c r="F2936" s="9" t="s">
        <v>2967</v>
      </c>
      <c r="H2936" s="20" t="str">
        <f t="shared" si="45"/>
        <v>(nextval('obj_part_id_seq'), (select id from obj_building_v where zip||'|'||street||'|'||name||'|'||volume = '4950|Bahnhofstrasse 2|Mehrzweckgebäude|700.00'), 'P9', 4, 85, 2016,'teilweise alte Keramiksicherungen vorhanden'),</v>
      </c>
    </row>
    <row r="2937" spans="1:8" x14ac:dyDescent="0.25">
      <c r="A2937" s="9" t="s">
        <v>2962</v>
      </c>
      <c r="B2937" s="9" t="s">
        <v>1104</v>
      </c>
      <c r="C2937">
        <v>1</v>
      </c>
      <c r="D2937">
        <v>90</v>
      </c>
      <c r="E2937">
        <v>2016</v>
      </c>
      <c r="F2937" s="9" t="s">
        <v>2968</v>
      </c>
      <c r="H2937" s="20" t="str">
        <f t="shared" si="45"/>
        <v>(nextval('obj_part_id_seq'), (select id from obj_building_v where zip||'|'||street||'|'||name||'|'||volume = '4950|Bahnhofstrasse 2|Mehrzweckgebäude|700.00'), 'P6', 1, 90, 2016,'Fernwärme, Oelheizung in einem Zimmer'),</v>
      </c>
    </row>
    <row r="2938" spans="1:8" x14ac:dyDescent="0.25">
      <c r="A2938" s="9" t="s">
        <v>2962</v>
      </c>
      <c r="B2938" s="9" t="s">
        <v>1106</v>
      </c>
      <c r="C2938">
        <v>3</v>
      </c>
      <c r="D2938">
        <v>90</v>
      </c>
      <c r="E2938">
        <v>2016</v>
      </c>
      <c r="F2938" s="9" t="s">
        <v>1107</v>
      </c>
      <c r="H2938" s="20" t="str">
        <f t="shared" si="45"/>
        <v>(nextval('obj_part_id_seq'), (select id from obj_building_v where zip||'|'||street||'|'||name||'|'||volume = '4950|Bahnhofstrasse 2|Mehrzweckgebäude|700.00'), 'P7', 3, 90, 2016,'Radiatoren mit Thermostaten'),</v>
      </c>
    </row>
    <row r="2939" spans="1:8" x14ac:dyDescent="0.25">
      <c r="A2939" s="9" t="s">
        <v>2962</v>
      </c>
      <c r="B2939" s="9" t="s">
        <v>1135</v>
      </c>
      <c r="C2939">
        <v>3</v>
      </c>
      <c r="D2939">
        <v>80</v>
      </c>
      <c r="E2939">
        <v>2016</v>
      </c>
      <c r="F2939" s="9" t="s">
        <v>2969</v>
      </c>
      <c r="H2939" s="20" t="str">
        <f t="shared" si="45"/>
        <v>(nextval('obj_part_id_seq'), (select id from obj_building_v where zip||'|'||street||'|'||name||'|'||volume = '4950|Bahnhofstrasse 2|Mehrzweckgebäude|700.00'), 'P54', 3, 80, 2016,'alt aber funktionstüchtig'),</v>
      </c>
    </row>
    <row r="2940" spans="1:8" x14ac:dyDescent="0.25">
      <c r="A2940" s="9" t="s">
        <v>2962</v>
      </c>
      <c r="B2940" s="9" t="s">
        <v>1137</v>
      </c>
      <c r="C2940">
        <v>4</v>
      </c>
      <c r="D2940">
        <v>90</v>
      </c>
      <c r="E2940">
        <v>2016</v>
      </c>
      <c r="F2940" s="9" t="s">
        <v>1218</v>
      </c>
      <c r="H2940" s="20" t="str">
        <f t="shared" si="45"/>
        <v>(nextval('obj_part_id_seq'), (select id from obj_building_v where zip||'|'||street||'|'||name||'|'||volume = '4950|Bahnhofstrasse 2|Mehrzweckgebäude|700.00'), 'P55', 4, 90, 2016,'Keine Mängel bekannt'),</v>
      </c>
    </row>
    <row r="2941" spans="1:8" x14ac:dyDescent="0.25">
      <c r="A2941" s="9" t="s">
        <v>2962</v>
      </c>
      <c r="B2941" s="9" t="s">
        <v>1155</v>
      </c>
      <c r="C2941">
        <v>0</v>
      </c>
      <c r="D2941" t="s">
        <v>4080</v>
      </c>
      <c r="E2941">
        <v>2016</v>
      </c>
      <c r="F2941" s="9"/>
      <c r="H2941" s="20" t="str">
        <f t="shared" si="45"/>
        <v>(nextval('obj_part_id_seq'), (select id from obj_building_v where zip||'|'||street||'|'||name||'|'||volume = '4950|Bahnhofstrasse 2|Mehrzweckgebäude|700.00'), 'P56', 0, null, 2016,null),</v>
      </c>
    </row>
    <row r="2942" spans="1:8" x14ac:dyDescent="0.25">
      <c r="A2942" s="9" t="s">
        <v>2962</v>
      </c>
      <c r="B2942" s="9" t="s">
        <v>1138</v>
      </c>
      <c r="C2942">
        <v>9</v>
      </c>
      <c r="D2942">
        <v>80</v>
      </c>
      <c r="E2942">
        <v>2016</v>
      </c>
      <c r="F2942" s="9" t="s">
        <v>2970</v>
      </c>
      <c r="H2942" s="20" t="str">
        <f t="shared" si="45"/>
        <v>(nextval('obj_part_id_seq'), (select id from obj_building_v where zip||'|'||street||'|'||name||'|'||volume = '4950|Bahnhofstrasse 2|Mehrzweckgebäude|700.00'), 'P57', 9, 80, 2016,'Türen renovationsbedürftig'),</v>
      </c>
    </row>
    <row r="2943" spans="1:8" x14ac:dyDescent="0.25">
      <c r="A2943" s="9" t="s">
        <v>2962</v>
      </c>
      <c r="B2943" s="9" t="s">
        <v>1140</v>
      </c>
      <c r="C2943">
        <v>8</v>
      </c>
      <c r="D2943">
        <v>75</v>
      </c>
      <c r="E2943">
        <v>2016</v>
      </c>
      <c r="F2943" s="9" t="s">
        <v>2971</v>
      </c>
      <c r="H2943" s="20" t="str">
        <f t="shared" si="45"/>
        <v>(nextval('obj_part_id_seq'), (select id from obj_building_v where zip||'|'||street||'|'||name||'|'||volume = '4950|Bahnhofstrasse 2|Mehrzweckgebäude|700.00'), 'P58', 8, 75, 2016,'Boden aus Linol, Keramik, Teppich, \nWände und Decke verputzt. Wandanstrich und Böden abgenutzt (ausser EG)'),</v>
      </c>
    </row>
    <row r="2944" spans="1:8" x14ac:dyDescent="0.25">
      <c r="A2944" s="9" t="s">
        <v>2962</v>
      </c>
      <c r="B2944" s="9" t="s">
        <v>1157</v>
      </c>
      <c r="C2944">
        <v>4</v>
      </c>
      <c r="D2944">
        <v>90</v>
      </c>
      <c r="E2944">
        <v>2016</v>
      </c>
      <c r="F2944" s="9" t="s">
        <v>2972</v>
      </c>
      <c r="H2944" s="20" t="str">
        <f t="shared" si="45"/>
        <v>(nextval('obj_part_id_seq'), (select id from obj_building_v where zip||'|'||street||'|'||name||'|'||volume = '4950|Bahnhofstrasse 2|Mehrzweckgebäude|700.00'), 'P59', 4, 90, 2016,'Die Einbauküche im EG ist in einem guten Zustand.'),</v>
      </c>
    </row>
    <row r="2945" spans="1:8" x14ac:dyDescent="0.25">
      <c r="A2945" s="9" t="s">
        <v>2962</v>
      </c>
      <c r="B2945" s="9" t="s">
        <v>1142</v>
      </c>
      <c r="C2945">
        <v>0</v>
      </c>
      <c r="D2945" t="s">
        <v>4080</v>
      </c>
      <c r="E2945">
        <v>2016</v>
      </c>
      <c r="F2945" s="9"/>
      <c r="H2945" s="20" t="str">
        <f t="shared" si="45"/>
        <v>(nextval('obj_part_id_seq'), (select id from obj_building_v where zip||'|'||street||'|'||name||'|'||volume = '4950|Bahnhofstrasse 2|Mehrzweckgebäude|700.00'), 'P60', 0, null, 2016,null),</v>
      </c>
    </row>
    <row r="2946" spans="1:8" x14ac:dyDescent="0.25">
      <c r="A2946" s="9" t="s">
        <v>2962</v>
      </c>
      <c r="B2946" s="9" t="s">
        <v>1143</v>
      </c>
      <c r="C2946">
        <v>0</v>
      </c>
      <c r="D2946" t="s">
        <v>4080</v>
      </c>
      <c r="E2946">
        <v>2016</v>
      </c>
      <c r="F2946" s="9"/>
      <c r="H2946" s="20" t="str">
        <f t="shared" si="45"/>
        <v>(nextval('obj_part_id_seq'), (select id from obj_building_v where zip||'|'||street||'|'||name||'|'||volume = '4950|Bahnhofstrasse 2|Mehrzweckgebäude|700.00'), 'P61', 0, null, 2016,null),</v>
      </c>
    </row>
    <row r="2947" spans="1:8" x14ac:dyDescent="0.25">
      <c r="A2947" s="9" t="s">
        <v>2962</v>
      </c>
      <c r="B2947" s="9" t="s">
        <v>1144</v>
      </c>
      <c r="C2947">
        <v>0</v>
      </c>
      <c r="D2947" t="s">
        <v>4080</v>
      </c>
      <c r="E2947">
        <v>2016</v>
      </c>
      <c r="F2947" s="9"/>
      <c r="H2947" s="20" t="str">
        <f t="shared" si="45"/>
        <v>(nextval('obj_part_id_seq'), (select id from obj_building_v where zip||'|'||street||'|'||name||'|'||volume = '4950|Bahnhofstrasse 2|Mehrzweckgebäude|700.00'), 'P62', 0, null, 2016,null),</v>
      </c>
    </row>
    <row r="2948" spans="1:8" x14ac:dyDescent="0.25">
      <c r="A2948" s="9" t="s">
        <v>2973</v>
      </c>
      <c r="B2948" s="9" t="s">
        <v>1127</v>
      </c>
      <c r="C2948">
        <v>31</v>
      </c>
      <c r="D2948">
        <v>90</v>
      </c>
      <c r="E2948">
        <v>2016</v>
      </c>
      <c r="F2948" s="9" t="s">
        <v>2168</v>
      </c>
      <c r="H2948" s="20" t="str">
        <f t="shared" si="45"/>
        <v>(nextval('obj_part_id_seq'), (select id from obj_building_v where zip||'|'||street||'|'||name||'|'||volume = '4950|Marktgasse 2|Verwaltungsgebäude|6300.00'), 'P48', 31, 90, 2016,'Mauerwerk'),</v>
      </c>
    </row>
    <row r="2949" spans="1:8" x14ac:dyDescent="0.25">
      <c r="A2949" s="9" t="s">
        <v>2973</v>
      </c>
      <c r="B2949" s="9" t="s">
        <v>1129</v>
      </c>
      <c r="C2949">
        <v>0</v>
      </c>
      <c r="D2949" t="s">
        <v>4080</v>
      </c>
      <c r="E2949">
        <v>2016</v>
      </c>
      <c r="F2949" s="9"/>
      <c r="H2949" s="20" t="str">
        <f t="shared" ref="H2949:H3012" si="46">"(nextval('obj_part_id_seq'), (select id from obj_building_v where zip||'|'||street||'|'||name||'|'||volume = '"&amp;A2949&amp;"'), '"&amp;B2949&amp;"', "&amp;C2949&amp;", "&amp;D2949&amp;", "&amp;IF(ISBLANK(E2949),"null",E2949)&amp;","&amp;IF(ISBLANK(F2949),"null","'"&amp;F2949&amp;"'")&amp;"),"</f>
        <v>(nextval('obj_part_id_seq'), (select id from obj_building_v where zip||'|'||street||'|'||name||'|'||volume = '4950|Marktgasse 2|Verwaltungsgebäude|6300.00'), 'P49', 0, null, 2016,null),</v>
      </c>
    </row>
    <row r="2950" spans="1:8" x14ac:dyDescent="0.25">
      <c r="A2950" s="9" t="s">
        <v>2973</v>
      </c>
      <c r="B2950" s="9" t="s">
        <v>1097</v>
      </c>
      <c r="C2950">
        <v>5</v>
      </c>
      <c r="D2950">
        <v>85</v>
      </c>
      <c r="E2950">
        <v>2016</v>
      </c>
      <c r="F2950" s="9" t="s">
        <v>2974</v>
      </c>
      <c r="H2950" s="20" t="str">
        <f t="shared" si="46"/>
        <v>(nextval('obj_part_id_seq'), (select id from obj_building_v where zip||'|'||street||'|'||name||'|'||volume = '4950|Marktgasse 2|Verwaltungsgebäude|6300.00'), 'P2', 5, 85, 2016,'Walmdach mit Dachgaupen, trocken, teilweise Wasserflecken ersichtlich'),</v>
      </c>
    </row>
    <row r="2951" spans="1:8" x14ac:dyDescent="0.25">
      <c r="A2951" s="9" t="s">
        <v>2973</v>
      </c>
      <c r="B2951" s="9" t="s">
        <v>1099</v>
      </c>
      <c r="C2951">
        <v>0</v>
      </c>
      <c r="D2951" t="s">
        <v>4080</v>
      </c>
      <c r="E2951">
        <v>2016</v>
      </c>
      <c r="F2951" s="9"/>
      <c r="H2951" s="20" t="str">
        <f t="shared" si="46"/>
        <v>(nextval('obj_part_id_seq'), (select id from obj_building_v where zip||'|'||street||'|'||name||'|'||volume = '4950|Marktgasse 2|Verwaltungsgebäude|6300.00'), 'P3', 0, null, 2016,null),</v>
      </c>
    </row>
    <row r="2952" spans="1:8" x14ac:dyDescent="0.25">
      <c r="A2952" s="9" t="s">
        <v>2973</v>
      </c>
      <c r="B2952" s="9" t="s">
        <v>1100</v>
      </c>
      <c r="C2952">
        <v>11</v>
      </c>
      <c r="D2952">
        <v>90</v>
      </c>
      <c r="E2952">
        <v>2016</v>
      </c>
      <c r="F2952" s="9" t="s">
        <v>2975</v>
      </c>
      <c r="H2952" s="20" t="str">
        <f t="shared" si="46"/>
        <v>(nextval('obj_part_id_seq'), (select id from obj_building_v where zip||'|'||street||'|'||name||'|'||volume = '4950|Marktgasse 2|Verwaltungsgebäude|6300.00'), 'P4', 11, 90, 2016,'vorgehängte Natursteinfassade'),</v>
      </c>
    </row>
    <row r="2953" spans="1:8" x14ac:dyDescent="0.25">
      <c r="A2953" s="9" t="s">
        <v>2973</v>
      </c>
      <c r="B2953" s="9" t="s">
        <v>1102</v>
      </c>
      <c r="C2953">
        <v>10</v>
      </c>
      <c r="D2953">
        <v>90</v>
      </c>
      <c r="E2953">
        <v>2016</v>
      </c>
      <c r="F2953" s="9" t="s">
        <v>2976</v>
      </c>
      <c r="H2953" s="20" t="str">
        <f t="shared" si="46"/>
        <v>(nextval('obj_part_id_seq'), (select id from obj_building_v where zip||'|'||street||'|'||name||'|'||volume = '4950|Marktgasse 2|Verwaltungsgebäude|6300.00'), 'P5', 10, 90, 2016,'Holz-/Metallfenster ohne Isolierverglasung, mit Rolladen, im 1. Stock\nelektr. Storen., Holzrahmentüren'),</v>
      </c>
    </row>
    <row r="2954" spans="1:8" x14ac:dyDescent="0.25">
      <c r="A2954" s="9" t="s">
        <v>2973</v>
      </c>
      <c r="B2954" s="9" t="s">
        <v>1164</v>
      </c>
      <c r="C2954">
        <v>10</v>
      </c>
      <c r="D2954">
        <v>90</v>
      </c>
      <c r="E2954">
        <v>2016</v>
      </c>
      <c r="F2954" s="9" t="s">
        <v>2977</v>
      </c>
      <c r="H2954" s="20" t="str">
        <f t="shared" si="46"/>
        <v>(nextval('obj_part_id_seq'), (select id from obj_building_v where zip||'|'||street||'|'||name||'|'||volume = '4950|Marktgasse 2|Verwaltungsgebäude|6300.00'), 'P50', 10, 90, 2016,'Ausreichende Absicherung, Sirene Zivilschutz'),</v>
      </c>
    </row>
    <row r="2955" spans="1:8" x14ac:dyDescent="0.25">
      <c r="A2955" s="9" t="s">
        <v>2973</v>
      </c>
      <c r="B2955" s="9" t="s">
        <v>1166</v>
      </c>
      <c r="C2955">
        <v>2</v>
      </c>
      <c r="D2955">
        <v>90</v>
      </c>
      <c r="E2955">
        <v>2016</v>
      </c>
      <c r="F2955" s="9" t="s">
        <v>2978</v>
      </c>
      <c r="H2955" s="20" t="str">
        <f t="shared" si="46"/>
        <v>(nextval('obj_part_id_seq'), (select id from obj_building_v where zip||'|'||street||'|'||name||'|'||volume = '4950|Marktgasse 2|Verwaltungsgebäude|6300.00'), 'P51', 2, 90, 2016,'Telefon, EDV'),</v>
      </c>
    </row>
    <row r="2956" spans="1:8" x14ac:dyDescent="0.25">
      <c r="A2956" s="9" t="s">
        <v>2973</v>
      </c>
      <c r="B2956" s="9" t="s">
        <v>1104</v>
      </c>
      <c r="C2956">
        <v>2</v>
      </c>
      <c r="D2956">
        <v>90</v>
      </c>
      <c r="E2956">
        <v>2016</v>
      </c>
      <c r="F2956" s="9" t="s">
        <v>2979</v>
      </c>
      <c r="H2956" s="20" t="str">
        <f t="shared" si="46"/>
        <v>(nextval('obj_part_id_seq'), (select id from obj_building_v where zip||'|'||street||'|'||name||'|'||volume = '4950|Marktgasse 2|Verwaltungsgebäude|6300.00'), 'P6', 2, 90, 2016,'Fernwärme, Warmwasserspeicher'),</v>
      </c>
    </row>
    <row r="2957" spans="1:8" x14ac:dyDescent="0.25">
      <c r="A2957" s="9" t="s">
        <v>2973</v>
      </c>
      <c r="B2957" s="9" t="s">
        <v>1106</v>
      </c>
      <c r="C2957">
        <v>4</v>
      </c>
      <c r="D2957">
        <v>90</v>
      </c>
      <c r="E2957">
        <v>2016</v>
      </c>
      <c r="F2957" s="9" t="s">
        <v>2980</v>
      </c>
      <c r="H2957" s="20" t="str">
        <f t="shared" si="46"/>
        <v>(nextval('obj_part_id_seq'), (select id from obj_building_v where zip||'|'||street||'|'||name||'|'||volume = '4950|Marktgasse 2|Verwaltungsgebäude|6300.00'), 'P7', 4, 90, 2016,'Radiatoren mitr Thermostaten'),</v>
      </c>
    </row>
    <row r="2958" spans="1:8" x14ac:dyDescent="0.25">
      <c r="A2958" s="9" t="s">
        <v>2973</v>
      </c>
      <c r="B2958" s="9" t="s">
        <v>1403</v>
      </c>
      <c r="C2958">
        <v>0</v>
      </c>
      <c r="D2958" t="s">
        <v>4080</v>
      </c>
      <c r="E2958">
        <v>2016</v>
      </c>
      <c r="F2958" s="9"/>
      <c r="H2958" s="20" t="str">
        <f t="shared" si="46"/>
        <v>(nextval('obj_part_id_seq'), (select id from obj_building_v where zip||'|'||street||'|'||name||'|'||volume = '4950|Marktgasse 2|Verwaltungsgebäude|6300.00'), 'P52', 0, null, 2016,null),</v>
      </c>
    </row>
    <row r="2959" spans="1:8" x14ac:dyDescent="0.25">
      <c r="A2959" s="9" t="s">
        <v>2973</v>
      </c>
      <c r="B2959" s="9" t="s">
        <v>1404</v>
      </c>
      <c r="C2959">
        <v>0</v>
      </c>
      <c r="D2959" t="s">
        <v>4080</v>
      </c>
      <c r="E2959">
        <v>2016</v>
      </c>
      <c r="F2959" s="9"/>
      <c r="H2959" s="20" t="str">
        <f t="shared" si="46"/>
        <v>(nextval('obj_part_id_seq'), (select id from obj_building_v where zip||'|'||street||'|'||name||'|'||volume = '4950|Marktgasse 2|Verwaltungsgebäude|6300.00'), 'P53', 0, null, 2016,null),</v>
      </c>
    </row>
    <row r="2960" spans="1:8" x14ac:dyDescent="0.25">
      <c r="A2960" s="9" t="s">
        <v>2973</v>
      </c>
      <c r="B2960" s="9" t="s">
        <v>1108</v>
      </c>
      <c r="C2960">
        <v>4</v>
      </c>
      <c r="D2960">
        <v>80</v>
      </c>
      <c r="E2960">
        <v>2016</v>
      </c>
      <c r="F2960" s="9" t="s">
        <v>2981</v>
      </c>
      <c r="H2960" s="20" t="str">
        <f t="shared" si="46"/>
        <v>(nextval('obj_part_id_seq'), (select id from obj_building_v where zip||'|'||street||'|'||name||'|'||volume = '4950|Marktgasse 2|Verwaltungsgebäude|6300.00'), 'P8', 4, 80, 2016,'Wasserenthärtungsanlage, Apparate funktionstüchtig, tw. keine Mischventile\nvorhanden'),</v>
      </c>
    </row>
    <row r="2961" spans="1:8" x14ac:dyDescent="0.25">
      <c r="A2961" s="9" t="s">
        <v>2973</v>
      </c>
      <c r="B2961" s="9" t="s">
        <v>1155</v>
      </c>
      <c r="C2961">
        <v>2</v>
      </c>
      <c r="D2961">
        <v>90</v>
      </c>
      <c r="E2961">
        <v>2016</v>
      </c>
      <c r="F2961" s="9" t="s">
        <v>2982</v>
      </c>
      <c r="H2961" s="20" t="str">
        <f t="shared" si="46"/>
        <v>(nextval('obj_part_id_seq'), (select id from obj_building_v where zip||'|'||street||'|'||name||'|'||volume = '4950|Marktgasse 2|Verwaltungsgebäude|6300.00'), 'P56', 2, 90, 2016,'Personenaufzug, keine Mängel bekannt'),</v>
      </c>
    </row>
    <row r="2962" spans="1:8" x14ac:dyDescent="0.25">
      <c r="A2962" s="9" t="s">
        <v>2973</v>
      </c>
      <c r="B2962" s="9" t="s">
        <v>1138</v>
      </c>
      <c r="C2962">
        <v>13</v>
      </c>
      <c r="D2962">
        <v>80</v>
      </c>
      <c r="E2962">
        <v>2016</v>
      </c>
      <c r="F2962" s="9" t="s">
        <v>2983</v>
      </c>
      <c r="H2962" s="20" t="str">
        <f t="shared" si="46"/>
        <v>(nextval('obj_part_id_seq'), (select id from obj_building_v where zip||'|'||street||'|'||name||'|'||volume = '4950|Marktgasse 2|Verwaltungsgebäude|6300.00'), 'P57', 13, 80, 2016,'Einbauschränke, Innentüren, Fensterbänke, Teeküche, innere Verglasungen'),</v>
      </c>
    </row>
    <row r="2963" spans="1:8" x14ac:dyDescent="0.25">
      <c r="A2963" s="9" t="s">
        <v>2973</v>
      </c>
      <c r="B2963" s="9" t="s">
        <v>1140</v>
      </c>
      <c r="C2963">
        <v>6</v>
      </c>
      <c r="D2963">
        <v>85</v>
      </c>
      <c r="E2963">
        <v>2016</v>
      </c>
      <c r="F2963" s="9" t="s">
        <v>2984</v>
      </c>
      <c r="H2963" s="20" t="str">
        <f t="shared" si="46"/>
        <v>(nextval('obj_part_id_seq'), (select id from obj_building_v where zip||'|'||street||'|'||name||'|'||volume = '4950|Marktgasse 2|Verwaltungsgebäude|6300.00'), 'P58', 6, 85, 2016,'Treppenhaus und Gänge: B: Klinker, Naturstein und Teppich W: Natursteinpl. D: Gips, im 2. Stock: W: Naturstein, Saal: Boden und Wände aus Holz, WC: Keramik, 3. Stock: Linolboden,\nW: Glasfasertapete, D: gestrichen; diverse Risse in Putz und Tapete, WC:Böde'),</v>
      </c>
    </row>
    <row r="2964" spans="1:8" x14ac:dyDescent="0.25">
      <c r="A2964" s="9" t="s">
        <v>2973</v>
      </c>
      <c r="B2964" s="9" t="s">
        <v>1142</v>
      </c>
      <c r="C2964">
        <v>0</v>
      </c>
      <c r="D2964" t="s">
        <v>4080</v>
      </c>
      <c r="E2964">
        <v>2016</v>
      </c>
      <c r="F2964" s="9"/>
      <c r="H2964" s="20" t="str">
        <f t="shared" si="46"/>
        <v>(nextval('obj_part_id_seq'), (select id from obj_building_v where zip||'|'||street||'|'||name||'|'||volume = '4950|Marktgasse 2|Verwaltungsgebäude|6300.00'), 'P60', 0, null, 2016,null),</v>
      </c>
    </row>
    <row r="2965" spans="1:8" x14ac:dyDescent="0.25">
      <c r="A2965" s="9" t="s">
        <v>2973</v>
      </c>
      <c r="B2965" s="9" t="s">
        <v>1143</v>
      </c>
      <c r="C2965">
        <v>0</v>
      </c>
      <c r="D2965" t="s">
        <v>4080</v>
      </c>
      <c r="E2965">
        <v>2016</v>
      </c>
      <c r="F2965" s="9"/>
      <c r="H2965" s="20" t="str">
        <f t="shared" si="46"/>
        <v>(nextval('obj_part_id_seq'), (select id from obj_building_v where zip||'|'||street||'|'||name||'|'||volume = '4950|Marktgasse 2|Verwaltungsgebäude|6300.00'), 'P61', 0, null, 2016,null),</v>
      </c>
    </row>
    <row r="2966" spans="1:8" x14ac:dyDescent="0.25">
      <c r="A2966" s="9" t="s">
        <v>2973</v>
      </c>
      <c r="B2966" s="9" t="s">
        <v>1144</v>
      </c>
      <c r="C2966">
        <v>0</v>
      </c>
      <c r="D2966" t="s">
        <v>4080</v>
      </c>
      <c r="E2966">
        <v>2016</v>
      </c>
      <c r="F2966" s="9"/>
      <c r="H2966" s="20" t="str">
        <f t="shared" si="46"/>
        <v>(nextval('obj_part_id_seq'), (select id from obj_building_v where zip||'|'||street||'|'||name||'|'||volume = '4950|Marktgasse 2|Verwaltungsgebäude|6300.00'), 'P62', 0, null, 2016,null),</v>
      </c>
    </row>
    <row r="2967" spans="1:8" x14ac:dyDescent="0.25">
      <c r="A2967" s="9" t="s">
        <v>2985</v>
      </c>
      <c r="B2967" s="9" t="s">
        <v>1127</v>
      </c>
      <c r="C2967">
        <v>32</v>
      </c>
      <c r="D2967">
        <v>90</v>
      </c>
      <c r="E2967">
        <v>2016</v>
      </c>
      <c r="F2967" s="9" t="s">
        <v>2512</v>
      </c>
      <c r="H2967" s="20" t="str">
        <f t="shared" si="46"/>
        <v>(nextval('obj_part_id_seq'), (select id from obj_building_v where zip||'|'||street||'|'||name||'|'||volume = '4950|Marktgasse 4|Geschäftshaus|2020.00'), 'P48', 32, 90, 2016,'Mauerwerk, rückseitig Riegelbau mit Ausfachungen aus Klinkersteinen'),</v>
      </c>
    </row>
    <row r="2968" spans="1:8" x14ac:dyDescent="0.25">
      <c r="A2968" s="9" t="s">
        <v>2985</v>
      </c>
      <c r="B2968" s="9" t="s">
        <v>1129</v>
      </c>
      <c r="C2968">
        <v>0</v>
      </c>
      <c r="D2968" t="s">
        <v>4080</v>
      </c>
      <c r="E2968">
        <v>2016</v>
      </c>
      <c r="F2968" s="9"/>
      <c r="H2968" s="20" t="str">
        <f t="shared" si="46"/>
        <v>(nextval('obj_part_id_seq'), (select id from obj_building_v where zip||'|'||street||'|'||name||'|'||volume = '4950|Marktgasse 4|Geschäftshaus|2020.00'), 'P49', 0, null, 2016,null),</v>
      </c>
    </row>
    <row r="2969" spans="1:8" x14ac:dyDescent="0.25">
      <c r="A2969" s="9" t="s">
        <v>2985</v>
      </c>
      <c r="B2969" s="9" t="s">
        <v>1097</v>
      </c>
      <c r="C2969">
        <v>13</v>
      </c>
      <c r="D2969">
        <v>90</v>
      </c>
      <c r="E2969">
        <v>2016</v>
      </c>
      <c r="F2969" s="9" t="s">
        <v>2986</v>
      </c>
      <c r="H2969" s="20" t="str">
        <f t="shared" si="46"/>
        <v>(nextval('obj_part_id_seq'), (select id from obj_building_v where zip||'|'||street||'|'||name||'|'||volume = '4950|Marktgasse 4|Geschäftshaus|2020.00'), 'P2', 13, 90, 2016,'Satteldach'),</v>
      </c>
    </row>
    <row r="2970" spans="1:8" x14ac:dyDescent="0.25">
      <c r="A2970" s="9" t="s">
        <v>2985</v>
      </c>
      <c r="B2970" s="9" t="s">
        <v>1099</v>
      </c>
      <c r="C2970">
        <v>0</v>
      </c>
      <c r="D2970" t="s">
        <v>4080</v>
      </c>
      <c r="E2970">
        <v>2016</v>
      </c>
      <c r="F2970" s="9"/>
      <c r="H2970" s="20" t="str">
        <f t="shared" si="46"/>
        <v>(nextval('obj_part_id_seq'), (select id from obj_building_v where zip||'|'||street||'|'||name||'|'||volume = '4950|Marktgasse 4|Geschäftshaus|2020.00'), 'P3', 0, null, 2016,null),</v>
      </c>
    </row>
    <row r="2971" spans="1:8" x14ac:dyDescent="0.25">
      <c r="A2971" s="9" t="s">
        <v>2985</v>
      </c>
      <c r="B2971" s="9" t="s">
        <v>1100</v>
      </c>
      <c r="C2971">
        <v>8</v>
      </c>
      <c r="D2971">
        <v>90</v>
      </c>
      <c r="E2971">
        <v>2016</v>
      </c>
      <c r="F2971" s="9" t="s">
        <v>2514</v>
      </c>
      <c r="H2971" s="20" t="str">
        <f t="shared" si="46"/>
        <v>(nextval('obj_part_id_seq'), (select id from obj_building_v where zip||'|'||street||'|'||name||'|'||volume = '4950|Marktgasse 4|Geschäftshaus|2020.00'), 'P4', 8, 90, 2016,'Mauerwerk verputzt, im EG mit Natursteinen, Fachwerk mit Ausfachungen aus Klinkersteinen rückseitig'),</v>
      </c>
    </row>
    <row r="2972" spans="1:8" x14ac:dyDescent="0.25">
      <c r="A2972" s="9" t="s">
        <v>2985</v>
      </c>
      <c r="B2972" s="9" t="s">
        <v>1102</v>
      </c>
      <c r="C2972">
        <v>6</v>
      </c>
      <c r="D2972">
        <v>90</v>
      </c>
      <c r="E2972">
        <v>2016</v>
      </c>
      <c r="F2972" s="9" t="s">
        <v>2987</v>
      </c>
      <c r="H2972" s="20" t="str">
        <f t="shared" si="46"/>
        <v>(nextval('obj_part_id_seq'), (select id from obj_building_v where zip||'|'||street||'|'||name||'|'||volume = '4950|Marktgasse 4|Geschäftshaus|2020.00'), 'P5', 6, 90, 2016,'Holzfenster ohne Isolierverglasung mit Rollladen, vor wenigen Jahren erneuert\nIm Saal Holzmetallfenster mit Rolladen.Elektrische Storen im 1. Stock'),</v>
      </c>
    </row>
    <row r="2973" spans="1:8" x14ac:dyDescent="0.25">
      <c r="A2973" s="9" t="s">
        <v>2985</v>
      </c>
      <c r="B2973" s="9" t="s">
        <v>1164</v>
      </c>
      <c r="C2973">
        <v>8</v>
      </c>
      <c r="D2973">
        <v>90</v>
      </c>
      <c r="E2973">
        <v>2016</v>
      </c>
      <c r="F2973" s="9" t="s">
        <v>2988</v>
      </c>
      <c r="H2973" s="20" t="str">
        <f t="shared" si="46"/>
        <v>(nextval('obj_part_id_seq'), (select id from obj_building_v where zip||'|'||street||'|'||name||'|'||volume = '4950|Marktgasse 4|Geschäftshaus|2020.00'), 'P50', 8, 90, 2016,'Beleuchtung, EDV-Anlagen'),</v>
      </c>
    </row>
    <row r="2974" spans="1:8" x14ac:dyDescent="0.25">
      <c r="A2974" s="9" t="s">
        <v>2985</v>
      </c>
      <c r="B2974" s="9" t="s">
        <v>1166</v>
      </c>
      <c r="C2974">
        <v>3</v>
      </c>
      <c r="D2974">
        <v>90</v>
      </c>
      <c r="E2974">
        <v>2016</v>
      </c>
      <c r="F2974" s="9" t="s">
        <v>2978</v>
      </c>
      <c r="H2974" s="20" t="str">
        <f t="shared" si="46"/>
        <v>(nextval('obj_part_id_seq'), (select id from obj_building_v where zip||'|'||street||'|'||name||'|'||volume = '4950|Marktgasse 4|Geschäftshaus|2020.00'), 'P51', 3, 90, 2016,'Telefon, EDV'),</v>
      </c>
    </row>
    <row r="2975" spans="1:8" x14ac:dyDescent="0.25">
      <c r="A2975" s="9" t="s">
        <v>2985</v>
      </c>
      <c r="B2975" s="9" t="s">
        <v>1104</v>
      </c>
      <c r="C2975">
        <v>1</v>
      </c>
      <c r="D2975">
        <v>90</v>
      </c>
      <c r="E2975">
        <v>2016</v>
      </c>
      <c r="F2975" s="9" t="s">
        <v>1235</v>
      </c>
      <c r="H2975" s="20" t="str">
        <f t="shared" si="46"/>
        <v>(nextval('obj_part_id_seq'), (select id from obj_building_v where zip||'|'||street||'|'||name||'|'||volume = '4950|Marktgasse 4|Geschäftshaus|2020.00'), 'P6', 1, 90, 2016,'Fernwärme'),</v>
      </c>
    </row>
    <row r="2976" spans="1:8" x14ac:dyDescent="0.25">
      <c r="A2976" s="9" t="s">
        <v>2985</v>
      </c>
      <c r="B2976" s="9" t="s">
        <v>1106</v>
      </c>
      <c r="C2976">
        <v>1</v>
      </c>
      <c r="D2976">
        <v>90</v>
      </c>
      <c r="E2976">
        <v>2016</v>
      </c>
      <c r="F2976" s="9" t="s">
        <v>1107</v>
      </c>
      <c r="H2976" s="20" t="str">
        <f t="shared" si="46"/>
        <v>(nextval('obj_part_id_seq'), (select id from obj_building_v where zip||'|'||street||'|'||name||'|'||volume = '4950|Marktgasse 4|Geschäftshaus|2020.00'), 'P7', 1, 90, 2016,'Radiatoren mit Thermostaten'),</v>
      </c>
    </row>
    <row r="2977" spans="1:8" x14ac:dyDescent="0.25">
      <c r="A2977" s="9" t="s">
        <v>2985</v>
      </c>
      <c r="B2977" s="9" t="s">
        <v>1403</v>
      </c>
      <c r="C2977">
        <v>8</v>
      </c>
      <c r="D2977">
        <v>90</v>
      </c>
      <c r="E2977">
        <v>2016</v>
      </c>
      <c r="F2977" s="9"/>
      <c r="H2977" s="20" t="str">
        <f t="shared" si="46"/>
        <v>(nextval('obj_part_id_seq'), (select id from obj_building_v where zip||'|'||street||'|'||name||'|'||volume = '4950|Marktgasse 4|Geschäftshaus|2020.00'), 'P52', 8, 90, 2016,null),</v>
      </c>
    </row>
    <row r="2978" spans="1:8" x14ac:dyDescent="0.25">
      <c r="A2978" s="9" t="s">
        <v>2985</v>
      </c>
      <c r="B2978" s="9" t="s">
        <v>1404</v>
      </c>
      <c r="C2978">
        <v>4</v>
      </c>
      <c r="D2978">
        <v>90</v>
      </c>
      <c r="E2978">
        <v>2016</v>
      </c>
      <c r="F2978" s="9"/>
      <c r="H2978" s="20" t="str">
        <f t="shared" si="46"/>
        <v>(nextval('obj_part_id_seq'), (select id from obj_building_v where zip||'|'||street||'|'||name||'|'||volume = '4950|Marktgasse 4|Geschäftshaus|2020.00'), 'P53', 4, 90, 2016,null),</v>
      </c>
    </row>
    <row r="2979" spans="1:8" x14ac:dyDescent="0.25">
      <c r="A2979" s="9" t="s">
        <v>2985</v>
      </c>
      <c r="B2979" s="9" t="s">
        <v>1108</v>
      </c>
      <c r="C2979">
        <v>3</v>
      </c>
      <c r="D2979">
        <v>90</v>
      </c>
      <c r="E2979">
        <v>2016</v>
      </c>
      <c r="F2979" s="9" t="s">
        <v>2989</v>
      </c>
      <c r="H2979" s="20" t="str">
        <f t="shared" si="46"/>
        <v>(nextval('obj_part_id_seq'), (select id from obj_building_v where zip||'|'||street||'|'||name||'|'||volume = '4950|Marktgasse 4|Geschäftshaus|2020.00'), 'P8', 3, 90, 2016,'insgesamt in gutem Zustand'),</v>
      </c>
    </row>
    <row r="2980" spans="1:8" x14ac:dyDescent="0.25">
      <c r="A2980" s="9" t="s">
        <v>2985</v>
      </c>
      <c r="B2980" s="9" t="s">
        <v>1155</v>
      </c>
      <c r="C2980">
        <v>0</v>
      </c>
      <c r="D2980" t="s">
        <v>4080</v>
      </c>
      <c r="E2980">
        <v>2016</v>
      </c>
      <c r="F2980" s="9"/>
      <c r="H2980" s="20" t="str">
        <f t="shared" si="46"/>
        <v>(nextval('obj_part_id_seq'), (select id from obj_building_v where zip||'|'||street||'|'||name||'|'||volume = '4950|Marktgasse 4|Geschäftshaus|2020.00'), 'P56', 0, null, 2016,null),</v>
      </c>
    </row>
    <row r="2981" spans="1:8" x14ac:dyDescent="0.25">
      <c r="A2981" s="9" t="s">
        <v>2985</v>
      </c>
      <c r="B2981" s="9" t="s">
        <v>1138</v>
      </c>
      <c r="C2981">
        <v>8</v>
      </c>
      <c r="D2981">
        <v>90</v>
      </c>
      <c r="E2981">
        <v>2016</v>
      </c>
      <c r="F2981" s="9" t="s">
        <v>2990</v>
      </c>
      <c r="H2981" s="20" t="str">
        <f t="shared" si="46"/>
        <v>(nextval('obj_part_id_seq'), (select id from obj_building_v where zip||'|'||street||'|'||name||'|'||volume = '4950|Marktgasse 4|Geschäftshaus|2020.00'), 'P57', 8, 90, 2016,'Einbauschränke, Innentüren-Holzrahmentüren, Teeküche, innere Verglasung'),</v>
      </c>
    </row>
    <row r="2982" spans="1:8" x14ac:dyDescent="0.25">
      <c r="A2982" s="9" t="s">
        <v>2985</v>
      </c>
      <c r="B2982" s="9" t="s">
        <v>1140</v>
      </c>
      <c r="C2982">
        <v>5</v>
      </c>
      <c r="D2982">
        <v>90</v>
      </c>
      <c r="E2982">
        <v>2016</v>
      </c>
      <c r="F2982" s="9" t="s">
        <v>2991</v>
      </c>
      <c r="H2982" s="20" t="str">
        <f t="shared" si="46"/>
        <v>(nextval('obj_part_id_seq'), (select id from obj_building_v where zip||'|'||street||'|'||name||'|'||volume = '4950|Marktgasse 4|Geschäftshaus|2020.00'), 'P58', 5, 90, 2016,'B: Keramik,linol,Boden, Parkett W: Verputz,Glassfasadtapete gestrichen,Naturstein  D: Verputz'),</v>
      </c>
    </row>
    <row r="2983" spans="1:8" x14ac:dyDescent="0.25">
      <c r="A2983" s="9" t="s">
        <v>2985</v>
      </c>
      <c r="B2983" s="9" t="s">
        <v>1142</v>
      </c>
      <c r="C2983">
        <v>0</v>
      </c>
      <c r="D2983" t="s">
        <v>4080</v>
      </c>
      <c r="E2983">
        <v>2016</v>
      </c>
      <c r="F2983" s="9"/>
      <c r="H2983" s="20" t="str">
        <f t="shared" si="46"/>
        <v>(nextval('obj_part_id_seq'), (select id from obj_building_v where zip||'|'||street||'|'||name||'|'||volume = '4950|Marktgasse 4|Geschäftshaus|2020.00'), 'P60', 0, null, 2016,null),</v>
      </c>
    </row>
    <row r="2984" spans="1:8" x14ac:dyDescent="0.25">
      <c r="A2984" s="9" t="s">
        <v>2985</v>
      </c>
      <c r="B2984" s="9" t="s">
        <v>1143</v>
      </c>
      <c r="C2984">
        <v>0</v>
      </c>
      <c r="D2984" t="s">
        <v>4080</v>
      </c>
      <c r="E2984">
        <v>2016</v>
      </c>
      <c r="F2984" s="9"/>
      <c r="H2984" s="20" t="str">
        <f t="shared" si="46"/>
        <v>(nextval('obj_part_id_seq'), (select id from obj_building_v where zip||'|'||street||'|'||name||'|'||volume = '4950|Marktgasse 4|Geschäftshaus|2020.00'), 'P61', 0, null, 2016,null),</v>
      </c>
    </row>
    <row r="2985" spans="1:8" x14ac:dyDescent="0.25">
      <c r="A2985" s="9" t="s">
        <v>2985</v>
      </c>
      <c r="B2985" s="9" t="s">
        <v>1144</v>
      </c>
      <c r="C2985">
        <v>0</v>
      </c>
      <c r="D2985" t="s">
        <v>4080</v>
      </c>
      <c r="E2985">
        <v>2016</v>
      </c>
      <c r="F2985" s="9"/>
      <c r="H2985" s="20" t="str">
        <f t="shared" si="46"/>
        <v>(nextval('obj_part_id_seq'), (select id from obj_building_v where zip||'|'||street||'|'||name||'|'||volume = '4950|Marktgasse 4|Geschäftshaus|2020.00'), 'P62', 0, null, 2016,null),</v>
      </c>
    </row>
    <row r="2986" spans="1:8" x14ac:dyDescent="0.25">
      <c r="A2986" s="9" t="s">
        <v>2992</v>
      </c>
      <c r="B2986" s="9" t="s">
        <v>1095</v>
      </c>
      <c r="C2986">
        <v>27</v>
      </c>
      <c r="D2986">
        <v>100</v>
      </c>
      <c r="E2986">
        <v>2010</v>
      </c>
      <c r="F2986" s="9" t="s">
        <v>1096</v>
      </c>
      <c r="H2986" s="20" t="str">
        <f t="shared" si="46"/>
        <v>(nextval('obj_part_id_seq'), (select id from obj_building_v where zip||'|'||street||'|'||name||'|'||volume = '8253|Schulstrasse 5|Sanierung Schulhaus Zentrum|13886.00'), 'P1', 27, 100, 2010,'Stahlbetondecken, Mauerwerk'),</v>
      </c>
    </row>
    <row r="2987" spans="1:8" x14ac:dyDescent="0.25">
      <c r="A2987" s="9" t="s">
        <v>2992</v>
      </c>
      <c r="B2987" s="9" t="s">
        <v>1097</v>
      </c>
      <c r="C2987">
        <v>4</v>
      </c>
      <c r="D2987">
        <v>100</v>
      </c>
      <c r="E2987">
        <v>2010</v>
      </c>
      <c r="F2987" s="9" t="s">
        <v>1098</v>
      </c>
      <c r="H2987" s="20" t="str">
        <f t="shared" si="46"/>
        <v>(nextval('obj_part_id_seq'), (select id from obj_building_v where zip||'|'||street||'|'||name||'|'||volume = '8253|Schulstrasse 5|Sanierung Schulhaus Zentrum|13886.00'), 'P2', 4, 100, 2010,'Ziegeleindeckung, schadhaft'),</v>
      </c>
    </row>
    <row r="2988" spans="1:8" x14ac:dyDescent="0.25">
      <c r="A2988" s="9" t="s">
        <v>2992</v>
      </c>
      <c r="B2988" s="9" t="s">
        <v>1099</v>
      </c>
      <c r="C2988">
        <v>0</v>
      </c>
      <c r="D2988" t="s">
        <v>4080</v>
      </c>
      <c r="E2988">
        <v>2010</v>
      </c>
      <c r="F2988" s="9"/>
      <c r="H2988" s="20" t="str">
        <f t="shared" si="46"/>
        <v>(nextval('obj_part_id_seq'), (select id from obj_building_v where zip||'|'||street||'|'||name||'|'||volume = '8253|Schulstrasse 5|Sanierung Schulhaus Zentrum|13886.00'), 'P3', 0, null, 2010,null),</v>
      </c>
    </row>
    <row r="2989" spans="1:8" x14ac:dyDescent="0.25">
      <c r="A2989" s="9" t="s">
        <v>2992</v>
      </c>
      <c r="B2989" s="9" t="s">
        <v>1100</v>
      </c>
      <c r="C2989">
        <v>6</v>
      </c>
      <c r="D2989">
        <v>100</v>
      </c>
      <c r="E2989">
        <v>2010</v>
      </c>
      <c r="F2989" s="9" t="s">
        <v>1101</v>
      </c>
      <c r="H2989" s="20" t="str">
        <f t="shared" si="46"/>
        <v>(nextval('obj_part_id_seq'), (select id from obj_building_v where zip||'|'||street||'|'||name||'|'||volume = '8253|Schulstrasse 5|Sanierung Schulhaus Zentrum|13886.00'), 'P4', 6, 100, 2010,'Doppelschaliges Mauerwerk, verputzt'),</v>
      </c>
    </row>
    <row r="2990" spans="1:8" x14ac:dyDescent="0.25">
      <c r="A2990" s="9" t="s">
        <v>2992</v>
      </c>
      <c r="B2990" s="9" t="s">
        <v>1102</v>
      </c>
      <c r="C2990">
        <v>12</v>
      </c>
      <c r="D2990">
        <v>100</v>
      </c>
      <c r="E2990">
        <v>2010</v>
      </c>
      <c r="F2990" s="9" t="s">
        <v>1103</v>
      </c>
      <c r="H2990" s="20" t="str">
        <f t="shared" si="46"/>
        <v>(nextval('obj_part_id_seq'), (select id from obj_building_v where zip||'|'||street||'|'||name||'|'||volume = '8253|Schulstrasse 5|Sanierung Schulhaus Zentrum|13886.00'), 'P5', 12, 100, 2010,'Holzfenster, Eingangstüren Stahl'),</v>
      </c>
    </row>
    <row r="2991" spans="1:8" x14ac:dyDescent="0.25">
      <c r="A2991" s="9" t="s">
        <v>2992</v>
      </c>
      <c r="B2991" s="9" t="s">
        <v>1104</v>
      </c>
      <c r="C2991">
        <v>1</v>
      </c>
      <c r="D2991">
        <v>100</v>
      </c>
      <c r="E2991">
        <v>2010</v>
      </c>
      <c r="F2991" s="9" t="s">
        <v>1105</v>
      </c>
      <c r="H2991" s="20" t="str">
        <f t="shared" si="46"/>
        <v>(nextval('obj_part_id_seq'), (select id from obj_building_v where zip||'|'||street||'|'||name||'|'||volume = '8253|Schulstrasse 5|Sanierung Schulhaus Zentrum|13886.00'), 'P6', 1, 100, 2010,'Fernwärme vom Nachbargebäude (altes SH, san.)'),</v>
      </c>
    </row>
    <row r="2992" spans="1:8" x14ac:dyDescent="0.25">
      <c r="A2992" s="9" t="s">
        <v>2992</v>
      </c>
      <c r="B2992" s="9" t="s">
        <v>1106</v>
      </c>
      <c r="C2992">
        <v>4</v>
      </c>
      <c r="D2992">
        <v>100</v>
      </c>
      <c r="E2992">
        <v>2010</v>
      </c>
      <c r="F2992" s="9" t="s">
        <v>1107</v>
      </c>
      <c r="H2992" s="20" t="str">
        <f t="shared" si="46"/>
        <v>(nextval('obj_part_id_seq'), (select id from obj_building_v where zip||'|'||street||'|'||name||'|'||volume = '8253|Schulstrasse 5|Sanierung Schulhaus Zentrum|13886.00'), 'P7', 4, 100, 2010,'Radiatoren mit Thermostaten'),</v>
      </c>
    </row>
    <row r="2993" spans="1:8" x14ac:dyDescent="0.25">
      <c r="A2993" s="9" t="s">
        <v>2992</v>
      </c>
      <c r="B2993" s="9" t="s">
        <v>1108</v>
      </c>
      <c r="C2993">
        <v>5</v>
      </c>
      <c r="D2993">
        <v>100</v>
      </c>
      <c r="E2993">
        <v>2010</v>
      </c>
      <c r="F2993" s="9" t="s">
        <v>1109</v>
      </c>
      <c r="H2993" s="20" t="str">
        <f t="shared" si="46"/>
        <v>(nextval('obj_part_id_seq'), (select id from obj_building_v where zip||'|'||street||'|'||name||'|'||volume = '8253|Schulstrasse 5|Sanierung Schulhaus Zentrum|13886.00'), 'P8', 5, 100, 2010,'Abwasserleitungen aus Gusseisen, stellenweise saniert'),</v>
      </c>
    </row>
    <row r="2994" spans="1:8" x14ac:dyDescent="0.25">
      <c r="A2994" s="9" t="s">
        <v>2992</v>
      </c>
      <c r="B2994" s="9" t="s">
        <v>1110</v>
      </c>
      <c r="C2994">
        <v>10</v>
      </c>
      <c r="D2994">
        <v>100</v>
      </c>
      <c r="E2994">
        <v>2010</v>
      </c>
      <c r="F2994" s="9" t="s">
        <v>1111</v>
      </c>
      <c r="H2994" s="20" t="str">
        <f t="shared" si="46"/>
        <v>(nextval('obj_part_id_seq'), (select id from obj_building_v where zip||'|'||street||'|'||name||'|'||volume = '8253|Schulstrasse 5|Sanierung Schulhaus Zentrum|13886.00'), 'P9', 10, 100, 2010,'Beleuchtung Klassenzimmer ca. 15-jährig'),</v>
      </c>
    </row>
    <row r="2995" spans="1:8" x14ac:dyDescent="0.25">
      <c r="A2995" s="9" t="s">
        <v>2992</v>
      </c>
      <c r="B2995" s="9" t="s">
        <v>1112</v>
      </c>
      <c r="C2995">
        <v>6</v>
      </c>
      <c r="D2995">
        <v>100</v>
      </c>
      <c r="E2995">
        <v>2010</v>
      </c>
      <c r="F2995" s="9" t="s">
        <v>1113</v>
      </c>
      <c r="H2995" s="20" t="str">
        <f t="shared" si="46"/>
        <v>(nextval('obj_part_id_seq'), (select id from obj_building_v where zip||'|'||street||'|'||name||'|'||volume = '8253|Schulstrasse 5|Sanierung Schulhaus Zentrum|13886.00'), 'P10', 6, 100, 2010,'Lüftung im Saal DG'),</v>
      </c>
    </row>
    <row r="2996" spans="1:8" x14ac:dyDescent="0.25">
      <c r="A2996" s="9" t="s">
        <v>2992</v>
      </c>
      <c r="B2996" s="9" t="s">
        <v>1114</v>
      </c>
      <c r="C2996">
        <v>25</v>
      </c>
      <c r="D2996">
        <v>100</v>
      </c>
      <c r="E2996">
        <v>2010</v>
      </c>
      <c r="F2996" s="9" t="s">
        <v>1115</v>
      </c>
      <c r="H2996" s="20" t="str">
        <f t="shared" si="46"/>
        <v>(nextval('obj_part_id_seq'), (select id from obj_building_v where zip||'|'||street||'|'||name||'|'||volume = '8253|Schulstrasse 5|Sanierung Schulhaus Zentrum|13886.00'), 'P11', 25, 100, 2010,'Üblicher Innenausbau mit Linolböden, Treppenhaus Naturstein'),</v>
      </c>
    </row>
    <row r="2997" spans="1:8" x14ac:dyDescent="0.25">
      <c r="A2997" s="9" t="s">
        <v>2992</v>
      </c>
      <c r="B2997" s="9" t="s">
        <v>1114</v>
      </c>
      <c r="C2997">
        <v>0</v>
      </c>
      <c r="D2997" t="s">
        <v>4080</v>
      </c>
      <c r="E2997">
        <v>2010</v>
      </c>
      <c r="F2997" s="9"/>
      <c r="H2997" s="20" t="str">
        <f t="shared" si="46"/>
        <v>(nextval('obj_part_id_seq'), (select id from obj_building_v where zip||'|'||street||'|'||name||'|'||volume = '8253|Schulstrasse 5|Sanierung Schulhaus Zentrum|13886.00'), 'P11', 0, null, 2010,null),</v>
      </c>
    </row>
    <row r="2998" spans="1:8" x14ac:dyDescent="0.25">
      <c r="A2998" s="9" t="s">
        <v>2992</v>
      </c>
      <c r="B2998" s="9" t="s">
        <v>1116</v>
      </c>
      <c r="C2998">
        <v>0</v>
      </c>
      <c r="D2998" t="s">
        <v>4080</v>
      </c>
      <c r="E2998">
        <v>2010</v>
      </c>
      <c r="F2998" s="9"/>
      <c r="H2998" s="20" t="str">
        <f t="shared" si="46"/>
        <v>(nextval('obj_part_id_seq'), (select id from obj_building_v where zip||'|'||street||'|'||name||'|'||volume = '8253|Schulstrasse 5|Sanierung Schulhaus Zentrum|13886.00'), 'P12', 0, null, 2010,null),</v>
      </c>
    </row>
    <row r="2999" spans="1:8" x14ac:dyDescent="0.25">
      <c r="A2999" s="9" t="s">
        <v>2993</v>
      </c>
      <c r="B2999" s="9" t="s">
        <v>1127</v>
      </c>
      <c r="C2999">
        <v>27</v>
      </c>
      <c r="D2999">
        <v>80</v>
      </c>
      <c r="E2999">
        <v>2015</v>
      </c>
      <c r="F2999" s="9" t="s">
        <v>2994</v>
      </c>
      <c r="H2999" s="20" t="str">
        <f t="shared" si="46"/>
        <v>(nextval('obj_part_id_seq'), (select id from obj_building_v where zip||'|'||street||'|'||name||'|'||volume = '8476|Unterdorf 8|Schulhaus und Kindergarten|5910.00'), 'P48', 27, 80, 2015,'Mauerwerk, verputzt, Betonsockel, KS-Mauerwerk, massiv mit Holzbalkendecken, im Altbau Riss im DG, Dachstuhl i.O.'),</v>
      </c>
    </row>
    <row r="3000" spans="1:8" x14ac:dyDescent="0.25">
      <c r="A3000" s="9" t="s">
        <v>2993</v>
      </c>
      <c r="B3000" s="9" t="s">
        <v>1129</v>
      </c>
      <c r="C3000">
        <v>0</v>
      </c>
      <c r="D3000" t="s">
        <v>4080</v>
      </c>
      <c r="E3000">
        <v>2015</v>
      </c>
      <c r="F3000" s="9"/>
      <c r="H3000" s="20" t="str">
        <f t="shared" si="46"/>
        <v>(nextval('obj_part_id_seq'), (select id from obj_building_v where zip||'|'||street||'|'||name||'|'||volume = '8476|Unterdorf 8|Schulhaus und Kindergarten|5910.00'), 'P49', 0, null, 2015,null),</v>
      </c>
    </row>
    <row r="3001" spans="1:8" x14ac:dyDescent="0.25">
      <c r="A3001" s="9" t="s">
        <v>2993</v>
      </c>
      <c r="B3001" s="9" t="s">
        <v>1097</v>
      </c>
      <c r="C3001">
        <v>20</v>
      </c>
      <c r="D3001">
        <v>85</v>
      </c>
      <c r="E3001">
        <v>2015</v>
      </c>
      <c r="F3001" s="9" t="s">
        <v>2995</v>
      </c>
      <c r="H3001" s="20" t="str">
        <f t="shared" si="46"/>
        <v>(nextval('obj_part_id_seq'), (select id from obj_building_v where zip||'|'||street||'|'||name||'|'||volume = '8476|Unterdorf 8|Schulhaus und Kindergarten|5910.00'), 'P2', 20, 85, 2015,'Ziegeldach, Pergola: neue Stoffstoren (gleiche wie in Turnhalle Bahnhofstr. 7), Neubau Verbindungsgang (Dez ''17)'),</v>
      </c>
    </row>
    <row r="3002" spans="1:8" x14ac:dyDescent="0.25">
      <c r="A3002" s="9" t="s">
        <v>2993</v>
      </c>
      <c r="B3002" s="9" t="s">
        <v>1099</v>
      </c>
      <c r="C3002">
        <v>0</v>
      </c>
      <c r="D3002" t="s">
        <v>4080</v>
      </c>
      <c r="E3002">
        <v>2015</v>
      </c>
      <c r="F3002" s="9"/>
      <c r="H3002" s="20" t="str">
        <f t="shared" si="46"/>
        <v>(nextval('obj_part_id_seq'), (select id from obj_building_v where zip||'|'||street||'|'||name||'|'||volume = '8476|Unterdorf 8|Schulhaus und Kindergarten|5910.00'), 'P3', 0, null, 2015,null),</v>
      </c>
    </row>
    <row r="3003" spans="1:8" x14ac:dyDescent="0.25">
      <c r="A3003" s="9" t="s">
        <v>2993</v>
      </c>
      <c r="B3003" s="9" t="s">
        <v>1100</v>
      </c>
      <c r="C3003">
        <v>8</v>
      </c>
      <c r="D3003">
        <v>85</v>
      </c>
      <c r="E3003">
        <v>2015</v>
      </c>
      <c r="F3003" s="9" t="s">
        <v>2996</v>
      </c>
      <c r="H3003" s="20" t="str">
        <f t="shared" si="46"/>
        <v>(nextval('obj_part_id_seq'), (select id from obj_building_v where zip||'|'||street||'|'||name||'|'||volume = '8476|Unterdorf 8|Schulhaus und Kindergarten|5910.00'), 'P4', 8, 85, 2015,'RIss im Altbau'),</v>
      </c>
    </row>
    <row r="3004" spans="1:8" x14ac:dyDescent="0.25">
      <c r="A3004" s="9" t="s">
        <v>2993</v>
      </c>
      <c r="B3004" s="9" t="s">
        <v>1102</v>
      </c>
      <c r="C3004">
        <v>14</v>
      </c>
      <c r="D3004">
        <v>80</v>
      </c>
      <c r="E3004">
        <v>2015</v>
      </c>
      <c r="F3004" s="9" t="s">
        <v>2997</v>
      </c>
      <c r="H3004" s="20" t="str">
        <f t="shared" si="46"/>
        <v>(nextval('obj_part_id_seq'), (select id from obj_building_v where zip||'|'||street||'|'||name||'|'||volume = '8476|Unterdorf 8|Schulhaus und Kindergarten|5910.00'), 'P5', 14, 80, 2015,'Holzfenster, im Altbau 3-fach Verglasung mit Aluläden -&gt; Dichtungen schlecht, im Neubau IV-Verglasung 2-fach mit Rafflamellenstoren, Metalltüre 3/89, innere Verdunkelung im Kindergarten, Aussentüre aus Metall/Glas'),</v>
      </c>
    </row>
    <row r="3005" spans="1:8" x14ac:dyDescent="0.25">
      <c r="A3005" s="9" t="s">
        <v>2993</v>
      </c>
      <c r="B3005" s="9" t="s">
        <v>1164</v>
      </c>
      <c r="C3005">
        <v>5</v>
      </c>
      <c r="D3005">
        <v>90</v>
      </c>
      <c r="E3005">
        <v>2015</v>
      </c>
      <c r="F3005" s="9" t="s">
        <v>2998</v>
      </c>
      <c r="H3005" s="20" t="str">
        <f t="shared" si="46"/>
        <v>(nextval('obj_part_id_seq'), (select id from obj_building_v where zip||'|'||street||'|'||name||'|'||volume = '8476|Unterdorf 8|Schulhaus und Kindergarten|5910.00'), 'P50', 5, 90, 2015,'Unterverteilungen mit neuen Sicherungen'),</v>
      </c>
    </row>
    <row r="3006" spans="1:8" x14ac:dyDescent="0.25">
      <c r="A3006" s="9" t="s">
        <v>2993</v>
      </c>
      <c r="B3006" s="9" t="s">
        <v>1166</v>
      </c>
      <c r="C3006">
        <v>1</v>
      </c>
      <c r="D3006">
        <v>90</v>
      </c>
      <c r="E3006">
        <v>2015</v>
      </c>
      <c r="F3006" s="9" t="s">
        <v>2999</v>
      </c>
      <c r="H3006" s="20" t="str">
        <f t="shared" si="46"/>
        <v>(nextval('obj_part_id_seq'), (select id from obj_building_v where zip||'|'||street||'|'||name||'|'||volume = '8476|Unterdorf 8|Schulhaus und Kindergarten|5910.00'), 'P51', 1, 90, 2015,'EDV, Gong, Erneuerung IT'),</v>
      </c>
    </row>
    <row r="3007" spans="1:8" x14ac:dyDescent="0.25">
      <c r="A3007" s="9" t="s">
        <v>2993</v>
      </c>
      <c r="B3007" s="9" t="s">
        <v>1104</v>
      </c>
      <c r="C3007">
        <v>1</v>
      </c>
      <c r="D3007">
        <v>90</v>
      </c>
      <c r="E3007">
        <v>2015</v>
      </c>
      <c r="F3007" s="9" t="s">
        <v>3000</v>
      </c>
      <c r="H3007" s="20" t="str">
        <f t="shared" si="46"/>
        <v>(nextval('obj_part_id_seq'), (select id from obj_building_v where zip||'|'||street||'|'||name||'|'||volume = '8476|Unterdorf 8|Schulhaus und Kindergarten|5910.00'), 'P6', 1, 90, 2015,'Fernwärme, Wärmeaustauscher, Boiler'),</v>
      </c>
    </row>
    <row r="3008" spans="1:8" x14ac:dyDescent="0.25">
      <c r="A3008" s="9" t="s">
        <v>2993</v>
      </c>
      <c r="B3008" s="9" t="s">
        <v>1106</v>
      </c>
      <c r="C3008">
        <v>1</v>
      </c>
      <c r="D3008">
        <v>85</v>
      </c>
      <c r="E3008">
        <v>2015</v>
      </c>
      <c r="F3008" s="9" t="s">
        <v>3001</v>
      </c>
      <c r="H3008" s="20" t="str">
        <f t="shared" si="46"/>
        <v>(nextval('obj_part_id_seq'), (select id from obj_building_v where zip||'|'||street||'|'||name||'|'||volume = '8476|Unterdorf 8|Schulhaus und Kindergarten|5910.00'), 'P7', 1, 85, 2015,'Radiatoren mit Thermostaten, tw. ferngesteuert'),</v>
      </c>
    </row>
    <row r="3009" spans="1:8" x14ac:dyDescent="0.25">
      <c r="A3009" s="9" t="s">
        <v>2993</v>
      </c>
      <c r="B3009" s="9" t="s">
        <v>1108</v>
      </c>
      <c r="C3009">
        <v>3</v>
      </c>
      <c r="D3009">
        <v>85</v>
      </c>
      <c r="E3009">
        <v>2015</v>
      </c>
      <c r="F3009" s="9" t="s">
        <v>3002</v>
      </c>
      <c r="H3009" s="20" t="str">
        <f t="shared" si="46"/>
        <v>(nextval('obj_part_id_seq'), (select id from obj_building_v where zip||'|'||street||'|'||name||'|'||volume = '8476|Unterdorf 8|Schulhaus und Kindergarten|5910.00'), 'P8', 3, 85, 2015,'Santäreapparate tw. älter aber funktionstüchtig und gepflegt, Sanitär-Leitungen: keine Mängel bekannt, WW-Leitungen isoliert, Lavabos und Wand neu gefliest (''15)'),</v>
      </c>
    </row>
    <row r="3010" spans="1:8" x14ac:dyDescent="0.25">
      <c r="A3010" s="9" t="s">
        <v>2993</v>
      </c>
      <c r="B3010" s="9" t="s">
        <v>1138</v>
      </c>
      <c r="C3010">
        <v>17</v>
      </c>
      <c r="D3010">
        <v>75</v>
      </c>
      <c r="E3010">
        <v>2015</v>
      </c>
      <c r="F3010" s="9" t="s">
        <v>3003</v>
      </c>
      <c r="H3010" s="20" t="str">
        <f t="shared" si="46"/>
        <v>(nextval('obj_part_id_seq'), (select id from obj_building_v where zip||'|'||street||'|'||name||'|'||volume = '8476|Unterdorf 8|Schulhaus und Kindergarten|5910.00'), 'P57', 17, 75, 2015,'Einbauschränke, Arbeitssimse, Kleinküche, Riss im Grundputz, DG Altbau: Dämmung im Estrich/DG mangelhaft'),</v>
      </c>
    </row>
    <row r="3011" spans="1:8" x14ac:dyDescent="0.25">
      <c r="A3011" s="9" t="s">
        <v>2993</v>
      </c>
      <c r="B3011" s="9" t="s">
        <v>1140</v>
      </c>
      <c r="C3011">
        <v>3</v>
      </c>
      <c r="D3011">
        <v>85</v>
      </c>
      <c r="E3011">
        <v>2015</v>
      </c>
      <c r="F3011" s="9" t="s">
        <v>3004</v>
      </c>
      <c r="H3011" s="20" t="str">
        <f t="shared" si="46"/>
        <v>(nextval('obj_part_id_seq'), (select id from obj_building_v where zip||'|'||street||'|'||name||'|'||volume = '8476|Unterdorf 8|Schulhaus und Kindergarten|5910.00'), 'P58', 3, 85, 2015,'B: Laminat, Linol, PVC, Keramik W: Verputz D: Gips, Akustikdecken im EG, Anbau (''95): B: Linol W: Verputz D: Holz'),</v>
      </c>
    </row>
    <row r="3012" spans="1:8" x14ac:dyDescent="0.25">
      <c r="A3012" s="9" t="s">
        <v>2993</v>
      </c>
      <c r="B3012" s="9" t="s">
        <v>1142</v>
      </c>
      <c r="C3012">
        <v>0</v>
      </c>
      <c r="D3012" t="s">
        <v>4080</v>
      </c>
      <c r="E3012">
        <v>2015</v>
      </c>
      <c r="F3012" s="9"/>
      <c r="H3012" s="20" t="str">
        <f t="shared" si="46"/>
        <v>(nextval('obj_part_id_seq'), (select id from obj_building_v where zip||'|'||street||'|'||name||'|'||volume = '8476|Unterdorf 8|Schulhaus und Kindergarten|5910.00'), 'P60', 0, null, 2015,null),</v>
      </c>
    </row>
    <row r="3013" spans="1:8" x14ac:dyDescent="0.25">
      <c r="A3013" s="9" t="s">
        <v>2993</v>
      </c>
      <c r="B3013" s="9" t="s">
        <v>1143</v>
      </c>
      <c r="C3013">
        <v>0</v>
      </c>
      <c r="D3013" t="s">
        <v>4080</v>
      </c>
      <c r="E3013">
        <v>2015</v>
      </c>
      <c r="F3013" s="9"/>
      <c r="H3013" s="20" t="str">
        <f t="shared" ref="H3013:H3076" si="47">"(nextval('obj_part_id_seq'), (select id from obj_building_v where zip||'|'||street||'|'||name||'|'||volume = '"&amp;A3013&amp;"'), '"&amp;B3013&amp;"', "&amp;C3013&amp;", "&amp;D3013&amp;", "&amp;IF(ISBLANK(E3013),"null",E3013)&amp;","&amp;IF(ISBLANK(F3013),"null","'"&amp;F3013&amp;"'")&amp;"),"</f>
        <v>(nextval('obj_part_id_seq'), (select id from obj_building_v where zip||'|'||street||'|'||name||'|'||volume = '8476|Unterdorf 8|Schulhaus und Kindergarten|5910.00'), 'P61', 0, null, 2015,null),</v>
      </c>
    </row>
    <row r="3014" spans="1:8" x14ac:dyDescent="0.25">
      <c r="A3014" s="9" t="s">
        <v>2993</v>
      </c>
      <c r="B3014" s="9" t="s">
        <v>1144</v>
      </c>
      <c r="C3014">
        <v>0</v>
      </c>
      <c r="D3014" t="s">
        <v>4080</v>
      </c>
      <c r="E3014">
        <v>2015</v>
      </c>
      <c r="F3014" s="9"/>
      <c r="H3014" s="20" t="str">
        <f t="shared" si="47"/>
        <v>(nextval('obj_part_id_seq'), (select id from obj_building_v where zip||'|'||street||'|'||name||'|'||volume = '8476|Unterdorf 8|Schulhaus und Kindergarten|5910.00'), 'P62', 0, null, 2015,null),</v>
      </c>
    </row>
    <row r="3015" spans="1:8" x14ac:dyDescent="0.25">
      <c r="A3015" s="9" t="s">
        <v>3005</v>
      </c>
      <c r="B3015" s="9" t="s">
        <v>1127</v>
      </c>
      <c r="C3015">
        <v>27</v>
      </c>
      <c r="D3015">
        <v>80</v>
      </c>
      <c r="E3015">
        <v>2015</v>
      </c>
      <c r="F3015" s="9" t="s">
        <v>3006</v>
      </c>
      <c r="H3015" s="20" t="str">
        <f t="shared" si="47"/>
        <v>(nextval('obj_part_id_seq'), (select id from obj_building_v where zip||'|'||street||'|'||name||'|'||volume = '8444|Dorfstrasse 39|Kindergarten|2933.00'), 'P48', 27, 80, 2015,'Mauerwerk mit Holzbalkendecken, Dachstuhl weist Spuren von Holzfrass aus'),</v>
      </c>
    </row>
    <row r="3016" spans="1:8" x14ac:dyDescent="0.25">
      <c r="A3016" s="9" t="s">
        <v>3005</v>
      </c>
      <c r="B3016" s="9" t="s">
        <v>1129</v>
      </c>
      <c r="C3016">
        <v>0</v>
      </c>
      <c r="D3016" t="s">
        <v>4080</v>
      </c>
      <c r="E3016">
        <v>2015</v>
      </c>
      <c r="F3016" s="9"/>
      <c r="H3016" s="20" t="str">
        <f t="shared" si="47"/>
        <v>(nextval('obj_part_id_seq'), (select id from obj_building_v where zip||'|'||street||'|'||name||'|'||volume = '8444|Dorfstrasse 39|Kindergarten|2933.00'), 'P49', 0, null, 2015,null),</v>
      </c>
    </row>
    <row r="3017" spans="1:8" x14ac:dyDescent="0.25">
      <c r="A3017" s="9" t="s">
        <v>3005</v>
      </c>
      <c r="B3017" s="9" t="s">
        <v>1097</v>
      </c>
      <c r="C3017">
        <v>20</v>
      </c>
      <c r="D3017">
        <v>85</v>
      </c>
      <c r="E3017">
        <v>2015</v>
      </c>
      <c r="F3017" s="9" t="s">
        <v>3007</v>
      </c>
      <c r="H3017" s="20" t="str">
        <f t="shared" si="47"/>
        <v>(nextval('obj_part_id_seq'), (select id from obj_building_v where zip||'|'||street||'|'||name||'|'||volume = '8444|Dorfstrasse 39|Kindergarten|2933.00'), 'P2', 20, 85, 2015,'Mansardenwalm- und Satteldach mit Biberschwanzziegel, Dachraum tw. isoliert, Untersichten ohne Mängel'),</v>
      </c>
    </row>
    <row r="3018" spans="1:8" x14ac:dyDescent="0.25">
      <c r="A3018" s="9" t="s">
        <v>3005</v>
      </c>
      <c r="B3018" s="9" t="s">
        <v>1099</v>
      </c>
      <c r="C3018">
        <v>0</v>
      </c>
      <c r="D3018" t="s">
        <v>4080</v>
      </c>
      <c r="E3018">
        <v>2015</v>
      </c>
      <c r="F3018" s="9"/>
      <c r="H3018" s="20" t="str">
        <f t="shared" si="47"/>
        <v>(nextval('obj_part_id_seq'), (select id from obj_building_v where zip||'|'||street||'|'||name||'|'||volume = '8444|Dorfstrasse 39|Kindergarten|2933.00'), 'P3', 0, null, 2015,null),</v>
      </c>
    </row>
    <row r="3019" spans="1:8" x14ac:dyDescent="0.25">
      <c r="A3019" s="9" t="s">
        <v>3005</v>
      </c>
      <c r="B3019" s="9" t="s">
        <v>1100</v>
      </c>
      <c r="C3019">
        <v>8</v>
      </c>
      <c r="D3019">
        <v>90</v>
      </c>
      <c r="E3019">
        <v>2015</v>
      </c>
      <c r="F3019" s="9" t="s">
        <v>1716</v>
      </c>
      <c r="H3019" s="20" t="str">
        <f t="shared" si="47"/>
        <v>(nextval('obj_part_id_seq'), (select id from obj_building_v where zip||'|'||street||'|'||name||'|'||volume = '8444|Dorfstrasse 39|Kindergarten|2933.00'), 'P4', 8, 90, 2015,'Mauerwerk, verputzt'),</v>
      </c>
    </row>
    <row r="3020" spans="1:8" x14ac:dyDescent="0.25">
      <c r="A3020" s="9" t="s">
        <v>3005</v>
      </c>
      <c r="B3020" s="9" t="s">
        <v>1102</v>
      </c>
      <c r="C3020">
        <v>14</v>
      </c>
      <c r="D3020">
        <v>85</v>
      </c>
      <c r="E3020">
        <v>2015</v>
      </c>
      <c r="F3020" s="9" t="s">
        <v>3008</v>
      </c>
      <c r="H3020" s="20" t="str">
        <f t="shared" si="47"/>
        <v>(nextval('obj_part_id_seq'), (select id from obj_building_v where zip||'|'||street||'|'||name||'|'||volume = '8444|Dorfstrasse 39|Kindergarten|2933.00'), 'P5', 14, 85, 2015,'Holzfenster mit IV-Verglasungen und Holzläden, Aussentüre aus Holz mit Glaseinsatz'),</v>
      </c>
    </row>
    <row r="3021" spans="1:8" x14ac:dyDescent="0.25">
      <c r="A3021" s="9" t="s">
        <v>3005</v>
      </c>
      <c r="B3021" s="9" t="s">
        <v>1110</v>
      </c>
      <c r="C3021">
        <v>4</v>
      </c>
      <c r="D3021">
        <v>85</v>
      </c>
      <c r="E3021">
        <v>2015</v>
      </c>
      <c r="F3021" s="9" t="s">
        <v>3009</v>
      </c>
      <c r="H3021" s="20" t="str">
        <f t="shared" si="47"/>
        <v>(nextval('obj_part_id_seq'), (select id from obj_building_v where zip||'|'||street||'|'||name||'|'||volume = '8444|Dorfstrasse 39|Kindergarten|2933.00'), 'P9', 4, 85, 2015,'Tw. alte Keramiksicherungen, Beleuchtung'),</v>
      </c>
    </row>
    <row r="3022" spans="1:8" x14ac:dyDescent="0.25">
      <c r="A3022" s="9" t="s">
        <v>3005</v>
      </c>
      <c r="B3022" s="9" t="s">
        <v>1104</v>
      </c>
      <c r="C3022">
        <v>0</v>
      </c>
      <c r="D3022">
        <v>90</v>
      </c>
      <c r="E3022">
        <v>2015</v>
      </c>
      <c r="F3022" s="9" t="s">
        <v>3010</v>
      </c>
      <c r="H3022" s="20" t="str">
        <f t="shared" si="47"/>
        <v>(nextval('obj_part_id_seq'), (select id from obj_building_v where zip||'|'||street||'|'||name||'|'||volume = '8444|Dorfstrasse 39|Kindergarten|2933.00'), 'P6', 0, 90, 2015,'Fernwärme, WW: Boiler'),</v>
      </c>
    </row>
    <row r="3023" spans="1:8" x14ac:dyDescent="0.25">
      <c r="A3023" s="9" t="s">
        <v>3005</v>
      </c>
      <c r="B3023" s="9" t="s">
        <v>1106</v>
      </c>
      <c r="C3023">
        <v>3</v>
      </c>
      <c r="D3023">
        <v>90</v>
      </c>
      <c r="E3023">
        <v>2015</v>
      </c>
      <c r="F3023" s="9" t="s">
        <v>1107</v>
      </c>
      <c r="H3023" s="20" t="str">
        <f t="shared" si="47"/>
        <v>(nextval('obj_part_id_seq'), (select id from obj_building_v where zip||'|'||street||'|'||name||'|'||volume = '8444|Dorfstrasse 39|Kindergarten|2933.00'), 'P7', 3, 90, 2015,'Radiatoren mit Thermostaten'),</v>
      </c>
    </row>
    <row r="3024" spans="1:8" x14ac:dyDescent="0.25">
      <c r="A3024" s="9" t="s">
        <v>3005</v>
      </c>
      <c r="B3024" s="9" t="s">
        <v>1135</v>
      </c>
      <c r="C3024">
        <v>1</v>
      </c>
      <c r="D3024">
        <v>90</v>
      </c>
      <c r="E3024">
        <v>2015</v>
      </c>
      <c r="F3024" s="9" t="s">
        <v>3011</v>
      </c>
      <c r="H3024" s="20" t="str">
        <f t="shared" si="47"/>
        <v>(nextval('obj_part_id_seq'), (select id from obj_building_v where zip||'|'||street||'|'||name||'|'||volume = '8444|Dorfstrasse 39|Kindergarten|2933.00'), 'P54', 1, 90, 2015,'Armaturen im Badezimmer und Putzraum ohne Mischventile, sonstige Apparate und Armaturen zeitgemäss und funktionstüchtig'),</v>
      </c>
    </row>
    <row r="3025" spans="1:8" x14ac:dyDescent="0.25">
      <c r="A3025" s="9" t="s">
        <v>3005</v>
      </c>
      <c r="B3025" s="9" t="s">
        <v>1137</v>
      </c>
      <c r="C3025">
        <v>3</v>
      </c>
      <c r="D3025">
        <v>90</v>
      </c>
      <c r="E3025">
        <v>2015</v>
      </c>
      <c r="F3025" s="9" t="s">
        <v>3012</v>
      </c>
      <c r="H3025" s="20" t="str">
        <f t="shared" si="47"/>
        <v>(nextval('obj_part_id_seq'), (select id from obj_building_v where zip||'|'||street||'|'||name||'|'||volume = '8444|Dorfstrasse 39|Kindergarten|2933.00'), 'P55', 3, 90, 2015,'Keine Mängel erkennbar'),</v>
      </c>
    </row>
    <row r="3026" spans="1:8" x14ac:dyDescent="0.25">
      <c r="A3026" s="9" t="s">
        <v>3005</v>
      </c>
      <c r="B3026" s="9" t="s">
        <v>1138</v>
      </c>
      <c r="C3026">
        <v>17</v>
      </c>
      <c r="D3026">
        <v>90</v>
      </c>
      <c r="E3026">
        <v>2015</v>
      </c>
      <c r="F3026" s="9" t="s">
        <v>3013</v>
      </c>
      <c r="H3026" s="20" t="str">
        <f t="shared" si="47"/>
        <v>(nextval('obj_part_id_seq'), (select id from obj_building_v where zip||'|'||street||'|'||name||'|'||volume = '8444|Dorfstrasse 39|Kindergarten|2933.00'), 'P57', 17, 90, 2015,'Innentüren aus Holz, Einbauschränke, Innentreppen tw. aus Holz und tw. aus Kunststeinplatten, Garderobe, Küche, Fenstersimse aus Holz'),</v>
      </c>
    </row>
    <row r="3027" spans="1:8" x14ac:dyDescent="0.25">
      <c r="A3027" s="9" t="s">
        <v>3005</v>
      </c>
      <c r="B3027" s="9" t="s">
        <v>1140</v>
      </c>
      <c r="C3027">
        <v>3</v>
      </c>
      <c r="D3027">
        <v>85</v>
      </c>
      <c r="E3027">
        <v>2015</v>
      </c>
      <c r="F3027" s="9" t="s">
        <v>3014</v>
      </c>
      <c r="H3027" s="20" t="str">
        <f t="shared" si="47"/>
        <v>(nextval('obj_part_id_seq'), (select id from obj_building_v where zip||'|'||street||'|'||name||'|'||volume = '8444|Dorfstrasse 39|Kindergarten|2933.00'), 'P58', 3, 85, 2015,'B: Kugelgarnteppich, Kunststein, Linol, PVC, Zementüberzug im UG, Holzboden im Dachgeschoss\n, W: Verputz, mehrere Risse ersichtlich, Abplatzung des Putzes im Spielzimmer, Keramik, tw. mit Holz verkleidet, D: Holz, Holzbalken im UG, Verputz'),</v>
      </c>
    </row>
    <row r="3028" spans="1:8" x14ac:dyDescent="0.25">
      <c r="A3028" s="9" t="s">
        <v>3005</v>
      </c>
      <c r="B3028" s="9" t="s">
        <v>1142</v>
      </c>
      <c r="C3028">
        <v>0</v>
      </c>
      <c r="D3028" t="s">
        <v>4080</v>
      </c>
      <c r="E3028">
        <v>2015</v>
      </c>
      <c r="F3028" s="9"/>
      <c r="H3028" s="20" t="str">
        <f t="shared" si="47"/>
        <v>(nextval('obj_part_id_seq'), (select id from obj_building_v where zip||'|'||street||'|'||name||'|'||volume = '8444|Dorfstrasse 39|Kindergarten|2933.00'), 'P60', 0, null, 2015,null),</v>
      </c>
    </row>
    <row r="3029" spans="1:8" x14ac:dyDescent="0.25">
      <c r="A3029" s="9" t="s">
        <v>3005</v>
      </c>
      <c r="B3029" s="9" t="s">
        <v>1143</v>
      </c>
      <c r="C3029">
        <v>0</v>
      </c>
      <c r="D3029" t="s">
        <v>4080</v>
      </c>
      <c r="E3029">
        <v>2015</v>
      </c>
      <c r="F3029" s="9"/>
      <c r="H3029" s="20" t="str">
        <f t="shared" si="47"/>
        <v>(nextval('obj_part_id_seq'), (select id from obj_building_v where zip||'|'||street||'|'||name||'|'||volume = '8444|Dorfstrasse 39|Kindergarten|2933.00'), 'P61', 0, null, 2015,null),</v>
      </c>
    </row>
    <row r="3030" spans="1:8" x14ac:dyDescent="0.25">
      <c r="A3030" s="9" t="s">
        <v>3005</v>
      </c>
      <c r="B3030" s="9" t="s">
        <v>1144</v>
      </c>
      <c r="C3030">
        <v>0</v>
      </c>
      <c r="D3030" t="s">
        <v>4080</v>
      </c>
      <c r="E3030">
        <v>2015</v>
      </c>
      <c r="F3030" s="9"/>
      <c r="H3030" s="20" t="str">
        <f t="shared" si="47"/>
        <v>(nextval('obj_part_id_seq'), (select id from obj_building_v where zip||'|'||street||'|'||name||'|'||volume = '8444|Dorfstrasse 39|Kindergarten|2933.00'), 'P62', 0, null, 2015,null),</v>
      </c>
    </row>
    <row r="3031" spans="1:8" x14ac:dyDescent="0.25">
      <c r="A3031" s="9" t="s">
        <v>3015</v>
      </c>
      <c r="B3031" s="9" t="s">
        <v>1127</v>
      </c>
      <c r="C3031">
        <v>10</v>
      </c>
      <c r="D3031">
        <v>90</v>
      </c>
      <c r="E3031">
        <v>2016</v>
      </c>
      <c r="F3031" s="9" t="s">
        <v>3016</v>
      </c>
      <c r="H3031" s="20" t="str">
        <f t="shared" si="47"/>
        <v>(nextval('obj_part_id_seq'), (select id from obj_building_v where zip||'|'||street||'|'||name||'|'||volume = '4950|Buchenweg 5|Wohnhaus / Scheune|3350.00'), 'P48', 10, 90, 2016,'Naturstein-Gewölbe im Keller, grösstenteils trocken, Houdisdecken über Keller'),</v>
      </c>
    </row>
    <row r="3032" spans="1:8" x14ac:dyDescent="0.25">
      <c r="A3032" s="9" t="s">
        <v>3015</v>
      </c>
      <c r="B3032" s="9" t="s">
        <v>1129</v>
      </c>
      <c r="C3032">
        <v>20</v>
      </c>
      <c r="D3032">
        <v>90</v>
      </c>
      <c r="E3032">
        <v>2016</v>
      </c>
      <c r="F3032" s="9" t="s">
        <v>2909</v>
      </c>
      <c r="H3032" s="20" t="str">
        <f t="shared" si="47"/>
        <v>(nextval('obj_part_id_seq'), (select id from obj_building_v where zip||'|'||street||'|'||name||'|'||volume = '4950|Buchenweg 5|Wohnhaus / Scheune|3350.00'), 'P49', 20, 90, 2016,'Holzkonstruktion'),</v>
      </c>
    </row>
    <row r="3033" spans="1:8" x14ac:dyDescent="0.25">
      <c r="A3033" s="9" t="s">
        <v>3015</v>
      </c>
      <c r="B3033" s="9" t="s">
        <v>1097</v>
      </c>
      <c r="C3033">
        <v>13</v>
      </c>
      <c r="D3033">
        <v>80</v>
      </c>
      <c r="E3033">
        <v>2016</v>
      </c>
      <c r="F3033" s="9" t="s">
        <v>3017</v>
      </c>
      <c r="H3033" s="20" t="str">
        <f t="shared" si="47"/>
        <v>(nextval('obj_part_id_seq'), (select id from obj_building_v where zip||'|'||street||'|'||name||'|'||volume = '4950|Buchenweg 5|Wohnhaus / Scheune|3350.00'), 'P2', 13, 80, 2016,'Mansardendach mit Falzziegeln ohne Unterdach'),</v>
      </c>
    </row>
    <row r="3034" spans="1:8" x14ac:dyDescent="0.25">
      <c r="A3034" s="9" t="s">
        <v>3015</v>
      </c>
      <c r="B3034" s="9" t="s">
        <v>1099</v>
      </c>
      <c r="C3034">
        <v>0</v>
      </c>
      <c r="D3034" t="s">
        <v>4080</v>
      </c>
      <c r="E3034">
        <v>2016</v>
      </c>
      <c r="F3034" s="9"/>
      <c r="H3034" s="20" t="str">
        <f t="shared" si="47"/>
        <v>(nextval('obj_part_id_seq'), (select id from obj_building_v where zip||'|'||street||'|'||name||'|'||volume = '4950|Buchenweg 5|Wohnhaus / Scheune|3350.00'), 'P3', 0, null, 2016,null),</v>
      </c>
    </row>
    <row r="3035" spans="1:8" x14ac:dyDescent="0.25">
      <c r="A3035" s="9" t="s">
        <v>3015</v>
      </c>
      <c r="B3035" s="9" t="s">
        <v>1100</v>
      </c>
      <c r="C3035">
        <v>8</v>
      </c>
      <c r="D3035">
        <v>75</v>
      </c>
      <c r="E3035">
        <v>2016</v>
      </c>
      <c r="F3035" s="9" t="s">
        <v>3018</v>
      </c>
      <c r="H3035" s="20" t="str">
        <f t="shared" si="47"/>
        <v>(nextval('obj_part_id_seq'), (select id from obj_building_v where zip||'|'||street||'|'||name||'|'||volume = '4950|Buchenweg 5|Wohnhaus / Scheune|3350.00'), 'P4', 8, 75, 2016,'Holzschindeln und -bretter, tw. stark verwittert, verglaster Laubengang'),</v>
      </c>
    </row>
    <row r="3036" spans="1:8" x14ac:dyDescent="0.25">
      <c r="A3036" s="9" t="s">
        <v>3015</v>
      </c>
      <c r="B3036" s="9" t="s">
        <v>1102</v>
      </c>
      <c r="C3036">
        <v>13</v>
      </c>
      <c r="D3036">
        <v>80</v>
      </c>
      <c r="E3036">
        <v>2016</v>
      </c>
      <c r="F3036" s="9" t="s">
        <v>3019</v>
      </c>
      <c r="H3036" s="20" t="str">
        <f t="shared" si="47"/>
        <v>(nextval('obj_part_id_seq'), (select id from obj_building_v where zip||'|'||street||'|'||name||'|'||volume = '4950|Buchenweg 5|Wohnhaus / Scheune|3350.00'), 'P5', 13, 80, 2016,'Holzfenster mit Fensterläden, tw. verwittert, doppelverglast, keine Isolierverglasung, Aussentüre aus Holz mit alter Schliessung, Scheunentor'),</v>
      </c>
    </row>
    <row r="3037" spans="1:8" x14ac:dyDescent="0.25">
      <c r="A3037" s="9" t="s">
        <v>3015</v>
      </c>
      <c r="B3037" s="9" t="s">
        <v>1110</v>
      </c>
      <c r="C3037">
        <v>3</v>
      </c>
      <c r="D3037">
        <v>85</v>
      </c>
      <c r="E3037">
        <v>2016</v>
      </c>
      <c r="F3037" s="9" t="s">
        <v>3020</v>
      </c>
      <c r="H3037" s="20" t="str">
        <f t="shared" si="47"/>
        <v>(nextval('obj_part_id_seq'), (select id from obj_building_v where zip||'|'||street||'|'||name||'|'||volume = '4950|Buchenweg 5|Wohnhaus / Scheune|3350.00'), 'P9', 3, 85, 2016,'Alte Keramiksicherungen vorhanden, Aufputzleitungen, Elektrotableau möglicherweise mit asbesthaltiger Grundplatte'),</v>
      </c>
    </row>
    <row r="3038" spans="1:8" x14ac:dyDescent="0.25">
      <c r="A3038" s="9" t="s">
        <v>3015</v>
      </c>
      <c r="B3038" s="9" t="s">
        <v>1104</v>
      </c>
      <c r="C3038">
        <v>4</v>
      </c>
      <c r="D3038">
        <v>90</v>
      </c>
      <c r="E3038">
        <v>2016</v>
      </c>
      <c r="F3038" s="9" t="s">
        <v>3021</v>
      </c>
      <c r="H3038" s="20" t="str">
        <f t="shared" si="47"/>
        <v>(nextval('obj_part_id_seq'), (select id from obj_building_v where zip||'|'||street||'|'||name||'|'||volume = '4950|Buchenweg 5|Wohnhaus / Scheune|3350.00'), 'P6', 4, 90, 2016,'Gasheizung mit freistehendem Gastank im Garten, Boiler in Küche, Kachelofen im Wohnzimmer, sep. Ofen in Küche'),</v>
      </c>
    </row>
    <row r="3039" spans="1:8" x14ac:dyDescent="0.25">
      <c r="A3039" s="9" t="s">
        <v>3015</v>
      </c>
      <c r="B3039" s="9" t="s">
        <v>1106</v>
      </c>
      <c r="C3039">
        <v>3</v>
      </c>
      <c r="D3039">
        <v>90</v>
      </c>
      <c r="E3039">
        <v>2016</v>
      </c>
      <c r="F3039" s="9" t="s">
        <v>1107</v>
      </c>
      <c r="H3039" s="20" t="str">
        <f t="shared" si="47"/>
        <v>(nextval('obj_part_id_seq'), (select id from obj_building_v where zip||'|'||street||'|'||name||'|'||volume = '4950|Buchenweg 5|Wohnhaus / Scheune|3350.00'), 'P7', 3, 90, 2016,'Radiatoren mit Thermostaten'),</v>
      </c>
    </row>
    <row r="3040" spans="1:8" x14ac:dyDescent="0.25">
      <c r="A3040" s="9" t="s">
        <v>3015</v>
      </c>
      <c r="B3040" s="9" t="s">
        <v>1135</v>
      </c>
      <c r="C3040">
        <v>2</v>
      </c>
      <c r="D3040">
        <v>85</v>
      </c>
      <c r="E3040">
        <v>2016</v>
      </c>
      <c r="F3040" s="9" t="s">
        <v>3022</v>
      </c>
      <c r="H3040" s="20" t="str">
        <f t="shared" si="47"/>
        <v>(nextval('obj_part_id_seq'), (select id from obj_building_v where zip||'|'||street||'|'||name||'|'||volume = '4950|Buchenweg 5|Wohnhaus / Scheune|3350.00'), 'P54', 2, 85, 2016,'Neue WM in Küche. Armaturen: tw. keine Mischventile vorhanden'),</v>
      </c>
    </row>
    <row r="3041" spans="1:8" x14ac:dyDescent="0.25">
      <c r="A3041" s="9" t="s">
        <v>3015</v>
      </c>
      <c r="B3041" s="9" t="s">
        <v>1137</v>
      </c>
      <c r="C3041">
        <v>4</v>
      </c>
      <c r="D3041">
        <v>90</v>
      </c>
      <c r="E3041">
        <v>2016</v>
      </c>
      <c r="F3041" s="9" t="s">
        <v>3023</v>
      </c>
      <c r="H3041" s="20" t="str">
        <f t="shared" si="47"/>
        <v>(nextval('obj_part_id_seq'), (select id from obj_building_v where zip||'|'||street||'|'||name||'|'||volume = '4950|Buchenweg 5|Wohnhaus / Scheune|3350.00'), 'P55', 4, 90, 2016,'Isoliert und i.O.'),</v>
      </c>
    </row>
    <row r="3042" spans="1:8" x14ac:dyDescent="0.25">
      <c r="A3042" s="9" t="s">
        <v>3015</v>
      </c>
      <c r="B3042" s="9" t="s">
        <v>1138</v>
      </c>
      <c r="C3042">
        <v>10</v>
      </c>
      <c r="D3042">
        <v>90</v>
      </c>
      <c r="E3042">
        <v>2016</v>
      </c>
      <c r="F3042" s="9" t="s">
        <v>3024</v>
      </c>
      <c r="H3042" s="20" t="str">
        <f t="shared" si="47"/>
        <v>(nextval('obj_part_id_seq'), (select id from obj_building_v where zip||'|'||street||'|'||name||'|'||volume = '4950|Buchenweg 5|Wohnhaus / Scheune|3350.00'), 'P57', 10, 90, 2016,'Holztüren und Holztrennwände'),</v>
      </c>
    </row>
    <row r="3043" spans="1:8" x14ac:dyDescent="0.25">
      <c r="A3043" s="9" t="s">
        <v>3015</v>
      </c>
      <c r="B3043" s="9" t="s">
        <v>1140</v>
      </c>
      <c r="C3043">
        <v>6</v>
      </c>
      <c r="D3043">
        <v>85</v>
      </c>
      <c r="E3043">
        <v>2016</v>
      </c>
      <c r="F3043" s="9" t="s">
        <v>3025</v>
      </c>
      <c r="H3043" s="20" t="str">
        <f t="shared" si="47"/>
        <v>(nextval('obj_part_id_seq'), (select id from obj_building_v where zip||'|'||street||'|'||name||'|'||volume = '4950|Buchenweg 5|Wohnhaus / Scheune|3350.00'), 'P58', 6, 85, 2016,'B: Keramik, Laminat, Teppich, Parkett W: Holz, Verputz D: Verputz, Holz'),</v>
      </c>
    </row>
    <row r="3044" spans="1:8" x14ac:dyDescent="0.25">
      <c r="A3044" s="9" t="s">
        <v>3015</v>
      </c>
      <c r="B3044" s="9" t="s">
        <v>1157</v>
      </c>
      <c r="C3044">
        <v>4</v>
      </c>
      <c r="D3044">
        <v>80</v>
      </c>
      <c r="E3044">
        <v>2016</v>
      </c>
      <c r="F3044" s="9" t="s">
        <v>3026</v>
      </c>
      <c r="H3044" s="20" t="str">
        <f t="shared" si="47"/>
        <v>(nextval('obj_part_id_seq'), (select id from obj_building_v where zip||'|'||street||'|'||name||'|'||volume = '4950|Buchenweg 5|Wohnhaus / Scheune|3350.00'), 'P59', 4, 80, 2016,'Freistehende, ältere Küchenapparate: Backofen, Glaskeramikherd, Kühlschrank'),</v>
      </c>
    </row>
    <row r="3045" spans="1:8" x14ac:dyDescent="0.25">
      <c r="A3045" s="9" t="s">
        <v>3015</v>
      </c>
      <c r="B3045" s="9" t="s">
        <v>1142</v>
      </c>
      <c r="C3045">
        <v>0</v>
      </c>
      <c r="D3045" t="s">
        <v>4080</v>
      </c>
      <c r="E3045">
        <v>2016</v>
      </c>
      <c r="F3045" s="9"/>
      <c r="H3045" s="20" t="str">
        <f t="shared" si="47"/>
        <v>(nextval('obj_part_id_seq'), (select id from obj_building_v where zip||'|'||street||'|'||name||'|'||volume = '4950|Buchenweg 5|Wohnhaus / Scheune|3350.00'), 'P60', 0, null, 2016,null),</v>
      </c>
    </row>
    <row r="3046" spans="1:8" x14ac:dyDescent="0.25">
      <c r="A3046" s="9" t="s">
        <v>3015</v>
      </c>
      <c r="B3046" s="9" t="s">
        <v>1143</v>
      </c>
      <c r="C3046">
        <v>0</v>
      </c>
      <c r="D3046" t="s">
        <v>4080</v>
      </c>
      <c r="E3046">
        <v>2016</v>
      </c>
      <c r="F3046" s="9"/>
      <c r="H3046" s="20" t="str">
        <f t="shared" si="47"/>
        <v>(nextval('obj_part_id_seq'), (select id from obj_building_v where zip||'|'||street||'|'||name||'|'||volume = '4950|Buchenweg 5|Wohnhaus / Scheune|3350.00'), 'P61', 0, null, 2016,null),</v>
      </c>
    </row>
    <row r="3047" spans="1:8" x14ac:dyDescent="0.25">
      <c r="A3047" s="9" t="s">
        <v>3015</v>
      </c>
      <c r="B3047" s="9" t="s">
        <v>1144</v>
      </c>
      <c r="C3047">
        <v>0</v>
      </c>
      <c r="D3047" t="s">
        <v>4080</v>
      </c>
      <c r="E3047">
        <v>2016</v>
      </c>
      <c r="F3047" s="9"/>
      <c r="H3047" s="20" t="str">
        <f t="shared" si="47"/>
        <v>(nextval('obj_part_id_seq'), (select id from obj_building_v where zip||'|'||street||'|'||name||'|'||volume = '4950|Buchenweg 5|Wohnhaus / Scheune|3350.00'), 'P62', 0, null, 2016,null),</v>
      </c>
    </row>
    <row r="3048" spans="1:8" x14ac:dyDescent="0.25">
      <c r="A3048" s="9" t="s">
        <v>3027</v>
      </c>
      <c r="B3048" s="9" t="s">
        <v>1127</v>
      </c>
      <c r="C3048">
        <v>33</v>
      </c>
      <c r="D3048">
        <v>90</v>
      </c>
      <c r="E3048">
        <v>2016</v>
      </c>
      <c r="F3048" s="9" t="s">
        <v>3028</v>
      </c>
      <c r="H3048" s="20" t="str">
        <f t="shared" si="47"/>
        <v>(nextval('obj_part_id_seq'), (select id from obj_building_v where zip||'|'||street||'|'||name||'|'||volume = '4950|Hoffmattstrasse 3|Feuerwehrmagazin|3300.00'), 'P48', 33, 90, 2016,'Mauerwerk, Stahlstützen, Houdisdecken mit Stampfbeton'),</v>
      </c>
    </row>
    <row r="3049" spans="1:8" x14ac:dyDescent="0.25">
      <c r="A3049" s="9" t="s">
        <v>3027</v>
      </c>
      <c r="B3049" s="9" t="s">
        <v>1129</v>
      </c>
      <c r="C3049">
        <v>0</v>
      </c>
      <c r="D3049" t="s">
        <v>4080</v>
      </c>
      <c r="E3049">
        <v>2016</v>
      </c>
      <c r="F3049" s="9"/>
      <c r="H3049" s="20" t="str">
        <f t="shared" si="47"/>
        <v>(nextval('obj_part_id_seq'), (select id from obj_building_v where zip||'|'||street||'|'||name||'|'||volume = '4950|Hoffmattstrasse 3|Feuerwehrmagazin|3300.00'), 'P49', 0, null, 2016,null),</v>
      </c>
    </row>
    <row r="3050" spans="1:8" x14ac:dyDescent="0.25">
      <c r="A3050" s="9" t="s">
        <v>3027</v>
      </c>
      <c r="B3050" s="9" t="s">
        <v>1097</v>
      </c>
      <c r="C3050">
        <v>10</v>
      </c>
      <c r="D3050">
        <v>80</v>
      </c>
      <c r="E3050">
        <v>2016</v>
      </c>
      <c r="F3050" s="9" t="s">
        <v>3029</v>
      </c>
      <c r="H3050" s="20" t="str">
        <f t="shared" si="47"/>
        <v>(nextval('obj_part_id_seq'), (select id from obj_building_v where zip||'|'||street||'|'||name||'|'||volume = '4950|Hoffmattstrasse 3|Feuerwehrmagazin|3300.00'), 'P2', 10, 80, 2016,'Krüppelwalmdach mit Biberschwanzziegel, kein Unterdach, Holzwerk trocken, Auf dem Dachboden Spuren eines Wassereintritts'),</v>
      </c>
    </row>
    <row r="3051" spans="1:8" x14ac:dyDescent="0.25">
      <c r="A3051" s="9" t="s">
        <v>3027</v>
      </c>
      <c r="B3051" s="9" t="s">
        <v>1099</v>
      </c>
      <c r="C3051">
        <v>0</v>
      </c>
      <c r="D3051" t="s">
        <v>4080</v>
      </c>
      <c r="E3051">
        <v>2016</v>
      </c>
      <c r="F3051" s="9"/>
      <c r="H3051" s="20" t="str">
        <f t="shared" si="47"/>
        <v>(nextval('obj_part_id_seq'), (select id from obj_building_v where zip||'|'||street||'|'||name||'|'||volume = '4950|Hoffmattstrasse 3|Feuerwehrmagazin|3300.00'), 'P3', 0, null, 2016,null),</v>
      </c>
    </row>
    <row r="3052" spans="1:8" x14ac:dyDescent="0.25">
      <c r="A3052" s="9" t="s">
        <v>3027</v>
      </c>
      <c r="B3052" s="9" t="s">
        <v>1100</v>
      </c>
      <c r="C3052">
        <v>5</v>
      </c>
      <c r="D3052">
        <v>80</v>
      </c>
      <c r="E3052">
        <v>2016</v>
      </c>
      <c r="F3052" s="9" t="s">
        <v>3030</v>
      </c>
      <c r="H3052" s="20" t="str">
        <f t="shared" si="47"/>
        <v>(nextval('obj_part_id_seq'), (select id from obj_building_v where zip||'|'||street||'|'||name||'|'||volume = '4950|Hoffmattstrasse 3|Feuerwehrmagazin|3300.00'), 'P4', 5, 80, 2016,'Mauerwerk, verputzt, grösserer Riss im Putz und Sockel, tw. mit Schindeln verkleidet'),</v>
      </c>
    </row>
    <row r="3053" spans="1:8" x14ac:dyDescent="0.25">
      <c r="A3053" s="9" t="s">
        <v>3027</v>
      </c>
      <c r="B3053" s="9" t="s">
        <v>1102</v>
      </c>
      <c r="C3053">
        <v>15</v>
      </c>
      <c r="D3053">
        <v>90</v>
      </c>
      <c r="E3053">
        <v>2016</v>
      </c>
      <c r="F3053" s="9" t="s">
        <v>3031</v>
      </c>
      <c r="H3053" s="20" t="str">
        <f t="shared" si="47"/>
        <v>(nextval('obj_part_id_seq'), (select id from obj_building_v where zip||'|'||street||'|'||name||'|'||volume = '4950|Hoffmattstrasse 3|Feuerwehrmagazin|3300.00'), 'P5', 15, 90, 2016,'Sektionaltore, Aussentüren aus Metall, 3-fach-IV-Holz-/Metallfenster, alte Holzfenster in Garage, Oblichter'),</v>
      </c>
    </row>
    <row r="3054" spans="1:8" x14ac:dyDescent="0.25">
      <c r="A3054" s="9" t="s">
        <v>3027</v>
      </c>
      <c r="B3054" s="9" t="s">
        <v>1110</v>
      </c>
      <c r="C3054">
        <v>9</v>
      </c>
      <c r="D3054">
        <v>90</v>
      </c>
      <c r="E3054">
        <v>2016</v>
      </c>
      <c r="F3054" s="9" t="s">
        <v>3032</v>
      </c>
      <c r="H3054" s="20" t="str">
        <f t="shared" si="47"/>
        <v>(nextval('obj_part_id_seq'), (select id from obj_building_v where zip||'|'||street||'|'||name||'|'||volume = '4950|Hoffmattstrasse 3|Feuerwehrmagazin|3300.00'), 'P9', 9, 90, 2016,'Neuwertig, IF-Schutzschalter vorh., Ladestation, Beleuchtung'),</v>
      </c>
    </row>
    <row r="3055" spans="1:8" x14ac:dyDescent="0.25">
      <c r="A3055" s="9" t="s">
        <v>3027</v>
      </c>
      <c r="B3055" s="9" t="s">
        <v>1104</v>
      </c>
      <c r="C3055">
        <v>1</v>
      </c>
      <c r="D3055">
        <v>90</v>
      </c>
      <c r="E3055">
        <v>2016</v>
      </c>
      <c r="F3055" s="9" t="s">
        <v>3033</v>
      </c>
      <c r="H3055" s="20" t="str">
        <f t="shared" si="47"/>
        <v>(nextval('obj_part_id_seq'), (select id from obj_building_v where zip||'|'||street||'|'||name||'|'||volume = '4950|Hoffmattstrasse 3|Feuerwehrmagazin|3300.00'), 'P6', 1, 90, 2016,'Fernwärme, Elektroboiler'),</v>
      </c>
    </row>
    <row r="3056" spans="1:8" x14ac:dyDescent="0.25">
      <c r="A3056" s="9" t="s">
        <v>3027</v>
      </c>
      <c r="B3056" s="9" t="s">
        <v>1106</v>
      </c>
      <c r="C3056">
        <v>4</v>
      </c>
      <c r="D3056">
        <v>90</v>
      </c>
      <c r="E3056">
        <v>2016</v>
      </c>
      <c r="F3056" s="9" t="s">
        <v>3034</v>
      </c>
      <c r="H3056" s="20" t="str">
        <f t="shared" si="47"/>
        <v>(nextval('obj_part_id_seq'), (select id from obj_building_v where zip||'|'||street||'|'||name||'|'||volume = '4950|Hoffmattstrasse 3|Feuerwehrmagazin|3300.00'), 'P7', 4, 90, 2016,'Radiatoren mit Thermostaten und Bodenheizung'),</v>
      </c>
    </row>
    <row r="3057" spans="1:8" x14ac:dyDescent="0.25">
      <c r="A3057" s="9" t="s">
        <v>3027</v>
      </c>
      <c r="B3057" s="9" t="s">
        <v>1403</v>
      </c>
      <c r="C3057">
        <v>3</v>
      </c>
      <c r="D3057">
        <v>90</v>
      </c>
      <c r="E3057">
        <v>2016</v>
      </c>
      <c r="F3057" s="9" t="s">
        <v>3035</v>
      </c>
      <c r="H3057" s="20" t="str">
        <f t="shared" si="47"/>
        <v>(nextval('obj_part_id_seq'), (select id from obj_building_v where zip||'|'||street||'|'||name||'|'||volume = '4950|Hoffmattstrasse 3|Feuerwehrmagazin|3300.00'), 'P52', 3, 90, 2016,'Lüftung, Schlauchtrocknungsanlage, Druckluftanlage'),</v>
      </c>
    </row>
    <row r="3058" spans="1:8" x14ac:dyDescent="0.25">
      <c r="A3058" s="9" t="s">
        <v>3027</v>
      </c>
      <c r="B3058" s="9" t="s">
        <v>1404</v>
      </c>
      <c r="C3058">
        <v>3</v>
      </c>
      <c r="D3058">
        <v>90</v>
      </c>
      <c r="E3058">
        <v>2016</v>
      </c>
      <c r="F3058" s="9" t="s">
        <v>2064</v>
      </c>
      <c r="H3058" s="20" t="str">
        <f t="shared" si="47"/>
        <v>(nextval('obj_part_id_seq'), (select id from obj_building_v where zip||'|'||street||'|'||name||'|'||volume = '4950|Hoffmattstrasse 3|Feuerwehrmagazin|3300.00'), 'P53', 3, 90, 2016,'Lüftungskanäle'),</v>
      </c>
    </row>
    <row r="3059" spans="1:8" x14ac:dyDescent="0.25">
      <c r="A3059" s="9" t="s">
        <v>3027</v>
      </c>
      <c r="B3059" s="9" t="s">
        <v>1108</v>
      </c>
      <c r="C3059">
        <v>4</v>
      </c>
      <c r="D3059">
        <v>90</v>
      </c>
      <c r="E3059">
        <v>2016</v>
      </c>
      <c r="F3059" s="9" t="s">
        <v>3036</v>
      </c>
      <c r="H3059" s="20" t="str">
        <f t="shared" si="47"/>
        <v>(nextval('obj_part_id_seq'), (select id from obj_building_v where zip||'|'||street||'|'||name||'|'||volume = '4950|Hoffmattstrasse 3|Feuerwehrmagazin|3300.00'), 'P8', 4, 90, 2016,'Duschen, Sanitärapparate ohne Mängel, Feuerlöschposten, WM'),</v>
      </c>
    </row>
    <row r="3060" spans="1:8" x14ac:dyDescent="0.25">
      <c r="A3060" s="9" t="s">
        <v>3027</v>
      </c>
      <c r="B3060" s="9" t="s">
        <v>1155</v>
      </c>
      <c r="C3060">
        <v>0</v>
      </c>
      <c r="D3060" t="s">
        <v>4080</v>
      </c>
      <c r="E3060">
        <v>2016</v>
      </c>
      <c r="F3060" s="9"/>
      <c r="H3060" s="20" t="str">
        <f t="shared" si="47"/>
        <v>(nextval('obj_part_id_seq'), (select id from obj_building_v where zip||'|'||street||'|'||name||'|'||volume = '4950|Hoffmattstrasse 3|Feuerwehrmagazin|3300.00'), 'P56', 0, null, 2016,null),</v>
      </c>
    </row>
    <row r="3061" spans="1:8" x14ac:dyDescent="0.25">
      <c r="A3061" s="9" t="s">
        <v>3027</v>
      </c>
      <c r="B3061" s="9" t="s">
        <v>1138</v>
      </c>
      <c r="C3061">
        <v>8</v>
      </c>
      <c r="D3061">
        <v>90</v>
      </c>
      <c r="E3061">
        <v>2016</v>
      </c>
      <c r="F3061" s="9" t="s">
        <v>3037</v>
      </c>
      <c r="H3061" s="20" t="str">
        <f t="shared" si="47"/>
        <v>(nextval('obj_part_id_seq'), (select id from obj_building_v where zip||'|'||street||'|'||name||'|'||volume = '4950|Hoffmattstrasse 3|Feuerwehrmagazin|3300.00'), 'P57', 8, 90, 2016,'Garderoben, Schalfstellen, Einbauschränke, Innentreppe aus Holz'),</v>
      </c>
    </row>
    <row r="3062" spans="1:8" x14ac:dyDescent="0.25">
      <c r="A3062" s="9" t="s">
        <v>3027</v>
      </c>
      <c r="B3062" s="9" t="s">
        <v>1140</v>
      </c>
      <c r="C3062">
        <v>5</v>
      </c>
      <c r="D3062">
        <v>90</v>
      </c>
      <c r="E3062">
        <v>2016</v>
      </c>
      <c r="F3062" s="9" t="s">
        <v>3038</v>
      </c>
      <c r="H3062" s="20" t="str">
        <f t="shared" si="47"/>
        <v>(nextval('obj_part_id_seq'), (select id from obj_building_v where zip||'|'||street||'|'||name||'|'||volume = '4950|Hoffmattstrasse 3|Feuerwehrmagazin|3300.00'), 'P58', 5, 90, 2016,'B: Keramik, Linol (''01), Kunststein, W+D: Abrieb, gestrichen, in Garage: heruntergehängte Gipsdecke'),</v>
      </c>
    </row>
    <row r="3063" spans="1:8" x14ac:dyDescent="0.25">
      <c r="A3063" s="9" t="s">
        <v>3027</v>
      </c>
      <c r="B3063" s="9" t="s">
        <v>1142</v>
      </c>
      <c r="C3063">
        <v>0</v>
      </c>
      <c r="D3063" t="s">
        <v>4080</v>
      </c>
      <c r="E3063">
        <v>2016</v>
      </c>
      <c r="F3063" s="9"/>
      <c r="H3063" s="20" t="str">
        <f t="shared" si="47"/>
        <v>(nextval('obj_part_id_seq'), (select id from obj_building_v where zip||'|'||street||'|'||name||'|'||volume = '4950|Hoffmattstrasse 3|Feuerwehrmagazin|3300.00'), 'P60', 0, null, 2016,null),</v>
      </c>
    </row>
    <row r="3064" spans="1:8" x14ac:dyDescent="0.25">
      <c r="A3064" s="9" t="s">
        <v>3027</v>
      </c>
      <c r="B3064" s="9" t="s">
        <v>1143</v>
      </c>
      <c r="C3064">
        <v>0</v>
      </c>
      <c r="D3064" t="s">
        <v>4080</v>
      </c>
      <c r="E3064">
        <v>2016</v>
      </c>
      <c r="F3064" s="9"/>
      <c r="H3064" s="20" t="str">
        <f t="shared" si="47"/>
        <v>(nextval('obj_part_id_seq'), (select id from obj_building_v where zip||'|'||street||'|'||name||'|'||volume = '4950|Hoffmattstrasse 3|Feuerwehrmagazin|3300.00'), 'P61', 0, null, 2016,null),</v>
      </c>
    </row>
    <row r="3065" spans="1:8" x14ac:dyDescent="0.25">
      <c r="A3065" s="9" t="s">
        <v>3027</v>
      </c>
      <c r="B3065" s="9" t="s">
        <v>1144</v>
      </c>
      <c r="C3065">
        <v>0</v>
      </c>
      <c r="D3065" t="s">
        <v>4080</v>
      </c>
      <c r="E3065">
        <v>2016</v>
      </c>
      <c r="F3065" s="9"/>
      <c r="H3065" s="20" t="str">
        <f t="shared" si="47"/>
        <v>(nextval('obj_part_id_seq'), (select id from obj_building_v where zip||'|'||street||'|'||name||'|'||volume = '4950|Hoffmattstrasse 3|Feuerwehrmagazin|3300.00'), 'P62', 0, null, 2016,null),</v>
      </c>
    </row>
    <row r="3066" spans="1:8" x14ac:dyDescent="0.25">
      <c r="A3066" s="9" t="s">
        <v>3039</v>
      </c>
      <c r="B3066" s="9" t="s">
        <v>1127</v>
      </c>
      <c r="C3066">
        <v>32</v>
      </c>
      <c r="D3066">
        <v>90</v>
      </c>
      <c r="E3066">
        <v>2016</v>
      </c>
      <c r="F3066" s="9" t="s">
        <v>3040</v>
      </c>
      <c r="H3066" s="20" t="str">
        <f t="shared" si="47"/>
        <v>(nextval('obj_part_id_seq'), (select id from obj_building_v where zip||'|'||street||'|'||name||'|'||volume = '4950|Oberdorfstrasse 11c|Alte Turnhalle|1630.00'), 'P48', 32, 90, 2016,'Holzkonstruktion mit Aussteifungen aus Mauerwerk'),</v>
      </c>
    </row>
    <row r="3067" spans="1:8" x14ac:dyDescent="0.25">
      <c r="A3067" s="9" t="s">
        <v>3039</v>
      </c>
      <c r="B3067" s="9" t="s">
        <v>1129</v>
      </c>
      <c r="C3067">
        <v>0</v>
      </c>
      <c r="D3067" t="s">
        <v>4080</v>
      </c>
      <c r="E3067">
        <v>2016</v>
      </c>
      <c r="F3067" s="9"/>
      <c r="H3067" s="20" t="str">
        <f t="shared" si="47"/>
        <v>(nextval('obj_part_id_seq'), (select id from obj_building_v where zip||'|'||street||'|'||name||'|'||volume = '4950|Oberdorfstrasse 11c|Alte Turnhalle|1630.00'), 'P49', 0, null, 2016,null),</v>
      </c>
    </row>
    <row r="3068" spans="1:8" x14ac:dyDescent="0.25">
      <c r="A3068" s="9" t="s">
        <v>3039</v>
      </c>
      <c r="B3068" s="9" t="s">
        <v>1097</v>
      </c>
      <c r="C3068">
        <v>13</v>
      </c>
      <c r="D3068">
        <v>90</v>
      </c>
      <c r="E3068">
        <v>2016</v>
      </c>
      <c r="F3068" s="9" t="s">
        <v>3041</v>
      </c>
      <c r="H3068" s="20" t="str">
        <f t="shared" si="47"/>
        <v>(nextval('obj_part_id_seq'), (select id from obj_building_v where zip||'|'||street||'|'||name||'|'||volume = '4950|Oberdorfstrasse 11c|Alte Turnhalle|1630.00'), 'P2', 13, 90, 2016,'Satteldach, Falzziegel, tw. vermoost'),</v>
      </c>
    </row>
    <row r="3069" spans="1:8" x14ac:dyDescent="0.25">
      <c r="A3069" s="9" t="s">
        <v>3039</v>
      </c>
      <c r="B3069" s="9" t="s">
        <v>1099</v>
      </c>
      <c r="C3069">
        <v>0</v>
      </c>
      <c r="D3069" t="s">
        <v>4080</v>
      </c>
      <c r="E3069">
        <v>2016</v>
      </c>
      <c r="F3069" s="9"/>
      <c r="H3069" s="20" t="str">
        <f t="shared" si="47"/>
        <v>(nextval('obj_part_id_seq'), (select id from obj_building_v where zip||'|'||street||'|'||name||'|'||volume = '4950|Oberdorfstrasse 11c|Alte Turnhalle|1630.00'), 'P3', 0, null, 2016,null),</v>
      </c>
    </row>
    <row r="3070" spans="1:8" x14ac:dyDescent="0.25">
      <c r="A3070" s="9" t="s">
        <v>3039</v>
      </c>
      <c r="B3070" s="9" t="s">
        <v>1100</v>
      </c>
      <c r="C3070">
        <v>6</v>
      </c>
      <c r="D3070">
        <v>80</v>
      </c>
      <c r="E3070">
        <v>2016</v>
      </c>
      <c r="F3070" s="9" t="s">
        <v>3042</v>
      </c>
      <c r="H3070" s="20" t="str">
        <f t="shared" si="47"/>
        <v>(nextval('obj_part_id_seq'), (select id from obj_building_v where zip||'|'||street||'|'||name||'|'||volume = '4950|Oberdorfstrasse 11c|Alte Turnhalle|1630.00'), 'P4', 6, 80, 2016,'verputzt und gestrichen, Risse im Putz, Ausbesserungen;\neine Seite Verkleidung mit Täferung, tw. verwittert'),</v>
      </c>
    </row>
    <row r="3071" spans="1:8" x14ac:dyDescent="0.25">
      <c r="A3071" s="9" t="s">
        <v>3039</v>
      </c>
      <c r="B3071" s="9" t="s">
        <v>1102</v>
      </c>
      <c r="C3071">
        <v>8</v>
      </c>
      <c r="D3071">
        <v>70</v>
      </c>
      <c r="E3071">
        <v>2016</v>
      </c>
      <c r="F3071" s="9" t="s">
        <v>3043</v>
      </c>
      <c r="H3071" s="20" t="str">
        <f t="shared" si="47"/>
        <v>(nextval('obj_part_id_seq'), (select id from obj_building_v where zip||'|'||street||'|'||name||'|'||volume = '4950|Oberdorfstrasse 11c|Alte Turnhalle|1630.00'), 'P5', 8, 70, 2016,'Holzfenster mit Sprossen ohne Rollläden, tw. verwittert, Eingangstüre aus Holz'),</v>
      </c>
    </row>
    <row r="3072" spans="1:8" x14ac:dyDescent="0.25">
      <c r="A3072" s="9" t="s">
        <v>3039</v>
      </c>
      <c r="B3072" s="9" t="s">
        <v>1110</v>
      </c>
      <c r="C3072">
        <v>5</v>
      </c>
      <c r="D3072">
        <v>90</v>
      </c>
      <c r="E3072">
        <v>2016</v>
      </c>
      <c r="F3072" s="9" t="s">
        <v>1295</v>
      </c>
      <c r="H3072" s="20" t="str">
        <f t="shared" si="47"/>
        <v>(nextval('obj_part_id_seq'), (select id from obj_building_v where zip||'|'||street||'|'||name||'|'||volume = '4950|Oberdorfstrasse 11c|Alte Turnhalle|1630.00'), 'P9', 5, 90, 2016,'Beleuchtung'),</v>
      </c>
    </row>
    <row r="3073" spans="1:8" x14ac:dyDescent="0.25">
      <c r="A3073" s="9" t="s">
        <v>3039</v>
      </c>
      <c r="B3073" s="9" t="s">
        <v>1104</v>
      </c>
      <c r="C3073">
        <v>3</v>
      </c>
      <c r="D3073">
        <v>90</v>
      </c>
      <c r="E3073">
        <v>2016</v>
      </c>
      <c r="F3073" s="9" t="s">
        <v>2594</v>
      </c>
      <c r="H3073" s="20" t="str">
        <f t="shared" si="47"/>
        <v>(nextval('obj_part_id_seq'), (select id from obj_building_v where zip||'|'||street||'|'||name||'|'||volume = '4950|Oberdorfstrasse 11c|Alte Turnhalle|1630.00'), 'P6', 3, 90, 2016,'Elektroboiler'),</v>
      </c>
    </row>
    <row r="3074" spans="1:8" x14ac:dyDescent="0.25">
      <c r="A3074" s="9" t="s">
        <v>3039</v>
      </c>
      <c r="B3074" s="9" t="s">
        <v>1106</v>
      </c>
      <c r="C3074">
        <v>3</v>
      </c>
      <c r="D3074">
        <v>90</v>
      </c>
      <c r="E3074">
        <v>2016</v>
      </c>
      <c r="F3074" s="9" t="s">
        <v>2063</v>
      </c>
      <c r="H3074" s="20" t="str">
        <f t="shared" si="47"/>
        <v>(nextval('obj_part_id_seq'), (select id from obj_building_v where zip||'|'||street||'|'||name||'|'||volume = '4950|Oberdorfstrasse 11c|Alte Turnhalle|1630.00'), 'P7', 3, 90, 2016,'Heizlüftung'),</v>
      </c>
    </row>
    <row r="3075" spans="1:8" x14ac:dyDescent="0.25">
      <c r="A3075" s="9" t="s">
        <v>3039</v>
      </c>
      <c r="B3075" s="9" t="s">
        <v>1403</v>
      </c>
      <c r="C3075">
        <v>2</v>
      </c>
      <c r="D3075">
        <v>90</v>
      </c>
      <c r="E3075">
        <v>2016</v>
      </c>
      <c r="F3075" s="9"/>
      <c r="H3075" s="20" t="str">
        <f t="shared" si="47"/>
        <v>(nextval('obj_part_id_seq'), (select id from obj_building_v where zip||'|'||street||'|'||name||'|'||volume = '4950|Oberdorfstrasse 11c|Alte Turnhalle|1630.00'), 'P52', 2, 90, 2016,null),</v>
      </c>
    </row>
    <row r="3076" spans="1:8" x14ac:dyDescent="0.25">
      <c r="A3076" s="9" t="s">
        <v>3039</v>
      </c>
      <c r="B3076" s="9" t="s">
        <v>1404</v>
      </c>
      <c r="C3076">
        <v>2</v>
      </c>
      <c r="D3076">
        <v>90</v>
      </c>
      <c r="E3076">
        <v>2016</v>
      </c>
      <c r="F3076" s="9"/>
      <c r="H3076" s="20" t="str">
        <f t="shared" si="47"/>
        <v>(nextval('obj_part_id_seq'), (select id from obj_building_v where zip||'|'||street||'|'||name||'|'||volume = '4950|Oberdorfstrasse 11c|Alte Turnhalle|1630.00'), 'P53', 2, 90, 2016,null),</v>
      </c>
    </row>
    <row r="3077" spans="1:8" x14ac:dyDescent="0.25">
      <c r="A3077" s="9" t="s">
        <v>3039</v>
      </c>
      <c r="B3077" s="9" t="s">
        <v>1135</v>
      </c>
      <c r="C3077">
        <v>2</v>
      </c>
      <c r="D3077">
        <v>90</v>
      </c>
      <c r="E3077">
        <v>2016</v>
      </c>
      <c r="F3077" s="9" t="s">
        <v>1850</v>
      </c>
      <c r="H3077" s="20" t="str">
        <f t="shared" ref="H3077:H3140" si="48">"(nextval('obj_part_id_seq'), (select id from obj_building_v where zip||'|'||street||'|'||name||'|'||volume = '"&amp;A3077&amp;"'), '"&amp;B3077&amp;"', "&amp;C3077&amp;", "&amp;D3077&amp;", "&amp;IF(ISBLANK(E3077),"null",E3077)&amp;","&amp;IF(ISBLANK(F3077),"null","'"&amp;F3077&amp;"'")&amp;"),"</f>
        <v>(nextval('obj_part_id_seq'), (select id from obj_building_v where zip||'|'||street||'|'||name||'|'||volume = '4950|Oberdorfstrasse 11c|Alte Turnhalle|1630.00'), 'P54', 2, 90, 2016,'keine Mängel bekannt'),</v>
      </c>
    </row>
    <row r="3078" spans="1:8" x14ac:dyDescent="0.25">
      <c r="A3078" s="9" t="s">
        <v>3039</v>
      </c>
      <c r="B3078" s="9" t="s">
        <v>1137</v>
      </c>
      <c r="C3078">
        <v>3</v>
      </c>
      <c r="D3078">
        <v>90</v>
      </c>
      <c r="E3078">
        <v>2016</v>
      </c>
      <c r="F3078" s="9" t="s">
        <v>1850</v>
      </c>
      <c r="H3078" s="20" t="str">
        <f t="shared" si="48"/>
        <v>(nextval('obj_part_id_seq'), (select id from obj_building_v where zip||'|'||street||'|'||name||'|'||volume = '4950|Oberdorfstrasse 11c|Alte Turnhalle|1630.00'), 'P55', 3, 90, 2016,'keine Mängel bekannt'),</v>
      </c>
    </row>
    <row r="3079" spans="1:8" x14ac:dyDescent="0.25">
      <c r="A3079" s="9" t="s">
        <v>3039</v>
      </c>
      <c r="B3079" s="9" t="s">
        <v>1138</v>
      </c>
      <c r="C3079">
        <v>10</v>
      </c>
      <c r="D3079">
        <v>80</v>
      </c>
      <c r="E3079">
        <v>2016</v>
      </c>
      <c r="F3079" s="9" t="s">
        <v>3044</v>
      </c>
      <c r="H3079" s="20" t="str">
        <f t="shared" si="48"/>
        <v>(nextval('obj_part_id_seq'), (select id from obj_building_v where zip||'|'||street||'|'||name||'|'||volume = '4950|Oberdorfstrasse 11c|Alte Turnhalle|1630.00'), 'P57', 10, 80, 2016,'Küche in gutem Zustand, freistehender Backofen mit Keramikplatten'),</v>
      </c>
    </row>
    <row r="3080" spans="1:8" x14ac:dyDescent="0.25">
      <c r="A3080" s="9" t="s">
        <v>3039</v>
      </c>
      <c r="B3080" s="9" t="s">
        <v>1140</v>
      </c>
      <c r="C3080">
        <v>11</v>
      </c>
      <c r="D3080">
        <v>80</v>
      </c>
      <c r="E3080">
        <v>2016</v>
      </c>
      <c r="F3080" s="9" t="s">
        <v>3045</v>
      </c>
      <c r="H3080" s="20" t="str">
        <f t="shared" si="48"/>
        <v>(nextval('obj_part_id_seq'), (select id from obj_building_v where zip||'|'||street||'|'||name||'|'||volume = '4950|Oberdorfstrasse 11c|Alte Turnhalle|1630.00'), 'P58', 11, 80, 2016,'B: Holzboden mit deutlichen Nutzungsspuren , Keramik, W: Holztäferung, Keramik, Verputz, D: Holz'),</v>
      </c>
    </row>
    <row r="3081" spans="1:8" x14ac:dyDescent="0.25">
      <c r="A3081" s="9" t="s">
        <v>3039</v>
      </c>
      <c r="B3081" s="9" t="s">
        <v>1142</v>
      </c>
      <c r="C3081">
        <v>0</v>
      </c>
      <c r="D3081" t="s">
        <v>4080</v>
      </c>
      <c r="E3081">
        <v>2016</v>
      </c>
      <c r="F3081" s="9"/>
      <c r="H3081" s="20" t="str">
        <f t="shared" si="48"/>
        <v>(nextval('obj_part_id_seq'), (select id from obj_building_v where zip||'|'||street||'|'||name||'|'||volume = '4950|Oberdorfstrasse 11c|Alte Turnhalle|1630.00'), 'P60', 0, null, 2016,null),</v>
      </c>
    </row>
    <row r="3082" spans="1:8" x14ac:dyDescent="0.25">
      <c r="A3082" s="9" t="s">
        <v>3039</v>
      </c>
      <c r="B3082" s="9" t="s">
        <v>1143</v>
      </c>
      <c r="C3082">
        <v>0</v>
      </c>
      <c r="D3082" t="s">
        <v>4080</v>
      </c>
      <c r="E3082">
        <v>2016</v>
      </c>
      <c r="F3082" s="9"/>
      <c r="H3082" s="20" t="str">
        <f t="shared" si="48"/>
        <v>(nextval('obj_part_id_seq'), (select id from obj_building_v where zip||'|'||street||'|'||name||'|'||volume = '4950|Oberdorfstrasse 11c|Alte Turnhalle|1630.00'), 'P61', 0, null, 2016,null),</v>
      </c>
    </row>
    <row r="3083" spans="1:8" x14ac:dyDescent="0.25">
      <c r="A3083" s="9" t="s">
        <v>3039</v>
      </c>
      <c r="B3083" s="9" t="s">
        <v>1144</v>
      </c>
      <c r="C3083">
        <v>0</v>
      </c>
      <c r="D3083" t="s">
        <v>4080</v>
      </c>
      <c r="E3083">
        <v>2016</v>
      </c>
      <c r="F3083" s="9"/>
      <c r="H3083" s="20" t="str">
        <f t="shared" si="48"/>
        <v>(nextval('obj_part_id_seq'), (select id from obj_building_v where zip||'|'||street||'|'||name||'|'||volume = '4950|Oberdorfstrasse 11c|Alte Turnhalle|1630.00'), 'P62', 0, null, 2016,null),</v>
      </c>
    </row>
    <row r="3084" spans="1:8" x14ac:dyDescent="0.25">
      <c r="A3084" s="9" t="s">
        <v>3046</v>
      </c>
      <c r="B3084" s="9" t="s">
        <v>1127</v>
      </c>
      <c r="C3084">
        <v>48</v>
      </c>
      <c r="D3084">
        <v>90</v>
      </c>
      <c r="E3084">
        <v>2016</v>
      </c>
      <c r="F3084" s="9" t="s">
        <v>1192</v>
      </c>
      <c r="H3084" s="20" t="str">
        <f t="shared" si="48"/>
        <v>(nextval('obj_part_id_seq'), (select id from obj_building_v where zip||'|'||street||'|'||name||'|'||volume = '4950|Lindenstrasse 21|Zivilschutzanlage|1300.00'), 'P48', 48, 90, 2016,'Stahlbeton'),</v>
      </c>
    </row>
    <row r="3085" spans="1:8" x14ac:dyDescent="0.25">
      <c r="A3085" s="9" t="s">
        <v>3046</v>
      </c>
      <c r="B3085" s="9" t="s">
        <v>1099</v>
      </c>
      <c r="C3085">
        <v>20</v>
      </c>
      <c r="D3085">
        <v>90</v>
      </c>
      <c r="E3085">
        <v>2016</v>
      </c>
      <c r="F3085" s="9" t="s">
        <v>2419</v>
      </c>
      <c r="H3085" s="20" t="str">
        <f t="shared" si="48"/>
        <v>(nextval('obj_part_id_seq'), (select id from obj_building_v where zip||'|'||street||'|'||name||'|'||volume = '4950|Lindenstrasse 21|Zivilschutzanlage|1300.00'), 'P3', 20, 90, 2016,'Extensivbegrünung'),</v>
      </c>
    </row>
    <row r="3086" spans="1:8" x14ac:dyDescent="0.25">
      <c r="A3086" s="9" t="s">
        <v>3046</v>
      </c>
      <c r="B3086" s="9" t="s">
        <v>1102</v>
      </c>
      <c r="C3086">
        <v>2</v>
      </c>
      <c r="D3086">
        <v>85</v>
      </c>
      <c r="E3086">
        <v>2016</v>
      </c>
      <c r="F3086" s="9" t="s">
        <v>2420</v>
      </c>
      <c r="H3086" s="20" t="str">
        <f t="shared" si="48"/>
        <v>(nextval('obj_part_id_seq'), (select id from obj_building_v where zip||'|'||street||'|'||name||'|'||volume = '4950|Lindenstrasse 21|Zivilschutzanlage|1300.00'), 'P5', 2, 85, 2016,'Panzertüre'),</v>
      </c>
    </row>
    <row r="3087" spans="1:8" x14ac:dyDescent="0.25">
      <c r="A3087" s="9" t="s">
        <v>3046</v>
      </c>
      <c r="B3087" s="9" t="s">
        <v>1110</v>
      </c>
      <c r="C3087">
        <v>6</v>
      </c>
      <c r="D3087">
        <v>80</v>
      </c>
      <c r="E3087">
        <v>2016</v>
      </c>
      <c r="F3087" s="9" t="s">
        <v>3047</v>
      </c>
      <c r="H3087" s="20" t="str">
        <f t="shared" si="48"/>
        <v>(nextval('obj_part_id_seq'), (select id from obj_building_v where zip||'|'||street||'|'||name||'|'||volume = '4950|Lindenstrasse 21|Zivilschutzanlage|1300.00'), 'P9', 6, 80, 2016,'Ladestation, Elektrotableau vermutlich mit asbesthaltiger Grundplatte, Beleuchtung, Telefonanlage'),</v>
      </c>
    </row>
    <row r="3088" spans="1:8" x14ac:dyDescent="0.25">
      <c r="A3088" s="9" t="s">
        <v>3046</v>
      </c>
      <c r="B3088" s="9" t="s">
        <v>1104</v>
      </c>
      <c r="C3088">
        <v>0</v>
      </c>
      <c r="D3088" t="s">
        <v>4080</v>
      </c>
      <c r="E3088">
        <v>2016</v>
      </c>
      <c r="F3088" s="9" t="s">
        <v>3048</v>
      </c>
      <c r="H3088" s="20" t="str">
        <f t="shared" si="48"/>
        <v>(nextval('obj_part_id_seq'), (select id from obj_building_v where zip||'|'||street||'|'||name||'|'||volume = '4950|Lindenstrasse 21|Zivilschutzanlage|1300.00'), 'P6', 0, null, 2016,'Ölheizung, jedoch ausser Betrieb'),</v>
      </c>
    </row>
    <row r="3089" spans="1:8" x14ac:dyDescent="0.25">
      <c r="A3089" s="9" t="s">
        <v>3046</v>
      </c>
      <c r="B3089" s="9" t="s">
        <v>1106</v>
      </c>
      <c r="C3089">
        <v>0</v>
      </c>
      <c r="D3089" t="s">
        <v>4080</v>
      </c>
      <c r="E3089">
        <v>2016</v>
      </c>
      <c r="F3089" s="9"/>
      <c r="H3089" s="20" t="str">
        <f t="shared" si="48"/>
        <v>(nextval('obj_part_id_seq'), (select id from obj_building_v where zip||'|'||street||'|'||name||'|'||volume = '4950|Lindenstrasse 21|Zivilschutzanlage|1300.00'), 'P7', 0, null, 2016,null),</v>
      </c>
    </row>
    <row r="3090" spans="1:8" x14ac:dyDescent="0.25">
      <c r="A3090" s="9" t="s">
        <v>3046</v>
      </c>
      <c r="B3090" s="9" t="s">
        <v>1403</v>
      </c>
      <c r="C3090">
        <v>2</v>
      </c>
      <c r="D3090">
        <v>90</v>
      </c>
      <c r="E3090">
        <v>2016</v>
      </c>
      <c r="F3090" s="9" t="s">
        <v>2424</v>
      </c>
      <c r="H3090" s="20" t="str">
        <f t="shared" si="48"/>
        <v>(nextval('obj_part_id_seq'), (select id from obj_building_v where zip||'|'||street||'|'||name||'|'||volume = '4950|Lindenstrasse 21|Zivilschutzanlage|1300.00'), 'P52', 2, 90, 2016,'Lüftungsaggregate'),</v>
      </c>
    </row>
    <row r="3091" spans="1:8" x14ac:dyDescent="0.25">
      <c r="A3091" s="9" t="s">
        <v>3046</v>
      </c>
      <c r="B3091" s="9" t="s">
        <v>1404</v>
      </c>
      <c r="C3091">
        <v>2</v>
      </c>
      <c r="D3091">
        <v>90</v>
      </c>
      <c r="E3091">
        <v>2016</v>
      </c>
      <c r="F3091" s="9" t="s">
        <v>2425</v>
      </c>
      <c r="H3091" s="20" t="str">
        <f t="shared" si="48"/>
        <v>(nextval('obj_part_id_seq'), (select id from obj_building_v where zip||'|'||street||'|'||name||'|'||volume = '4950|Lindenstrasse 21|Zivilschutzanlage|1300.00'), 'P53', 2, 90, 2016,'Lüftungsrohre'),</v>
      </c>
    </row>
    <row r="3092" spans="1:8" x14ac:dyDescent="0.25">
      <c r="A3092" s="9" t="s">
        <v>3046</v>
      </c>
      <c r="B3092" s="9" t="s">
        <v>1135</v>
      </c>
      <c r="C3092">
        <v>3</v>
      </c>
      <c r="D3092">
        <v>90</v>
      </c>
      <c r="E3092">
        <v>2016</v>
      </c>
      <c r="F3092" s="9" t="s">
        <v>3049</v>
      </c>
      <c r="H3092" s="20" t="str">
        <f t="shared" si="48"/>
        <v>(nextval('obj_part_id_seq'), (select id from obj_building_v where zip||'|'||street||'|'||name||'|'||volume = '4950|Lindenstrasse 21|Zivilschutzanlage|1300.00'), 'P54', 3, 90, 2016,'Ältere Apparate, jedoch keine Mängel bekannt, Feuerlöschposten'),</v>
      </c>
    </row>
    <row r="3093" spans="1:8" x14ac:dyDescent="0.25">
      <c r="A3093" s="9" t="s">
        <v>3046</v>
      </c>
      <c r="B3093" s="9" t="s">
        <v>1137</v>
      </c>
      <c r="C3093">
        <v>3</v>
      </c>
      <c r="D3093">
        <v>85</v>
      </c>
      <c r="E3093">
        <v>2016</v>
      </c>
      <c r="F3093" s="9" t="s">
        <v>1850</v>
      </c>
      <c r="H3093" s="20" t="str">
        <f t="shared" si="48"/>
        <v>(nextval('obj_part_id_seq'), (select id from obj_building_v where zip||'|'||street||'|'||name||'|'||volume = '4950|Lindenstrasse 21|Zivilschutzanlage|1300.00'), 'P55', 3, 85, 2016,'keine Mängel bekannt'),</v>
      </c>
    </row>
    <row r="3094" spans="1:8" x14ac:dyDescent="0.25">
      <c r="A3094" s="9" t="s">
        <v>3046</v>
      </c>
      <c r="B3094" s="9" t="s">
        <v>1112</v>
      </c>
      <c r="C3094">
        <v>0</v>
      </c>
      <c r="D3094" t="s">
        <v>4080</v>
      </c>
      <c r="E3094">
        <v>2016</v>
      </c>
      <c r="F3094" s="9"/>
      <c r="H3094" s="20" t="str">
        <f t="shared" si="48"/>
        <v>(nextval('obj_part_id_seq'), (select id from obj_building_v where zip||'|'||street||'|'||name||'|'||volume = '4950|Lindenstrasse 21|Zivilschutzanlage|1300.00'), 'P10', 0, null, 2016,null),</v>
      </c>
    </row>
    <row r="3095" spans="1:8" x14ac:dyDescent="0.25">
      <c r="A3095" s="9" t="s">
        <v>3046</v>
      </c>
      <c r="B3095" s="9" t="s">
        <v>1138</v>
      </c>
      <c r="C3095">
        <v>2</v>
      </c>
      <c r="D3095">
        <v>90</v>
      </c>
      <c r="E3095">
        <v>2016</v>
      </c>
      <c r="F3095" s="9" t="s">
        <v>3050</v>
      </c>
      <c r="H3095" s="20" t="str">
        <f t="shared" si="48"/>
        <v>(nextval('obj_part_id_seq'), (select id from obj_building_v where zip||'|'||street||'|'||name||'|'||volume = '4950|Lindenstrasse 21|Zivilschutzanlage|1300.00'), 'P57', 2, 90, 2016,'Innentüren'),</v>
      </c>
    </row>
    <row r="3096" spans="1:8" x14ac:dyDescent="0.25">
      <c r="A3096" s="9" t="s">
        <v>3046</v>
      </c>
      <c r="B3096" s="9" t="s">
        <v>1140</v>
      </c>
      <c r="C3096">
        <v>10</v>
      </c>
      <c r="D3096">
        <v>90</v>
      </c>
      <c r="E3096">
        <v>2016</v>
      </c>
      <c r="F3096" s="9" t="s">
        <v>3051</v>
      </c>
      <c r="H3096" s="20" t="str">
        <f t="shared" si="48"/>
        <v>(nextval('obj_part_id_seq'), (select id from obj_building_v where zip||'|'||street||'|'||name||'|'||volume = '4950|Lindenstrasse 21|Zivilschutzanlage|1300.00'), 'P58', 10, 90, 2016,'Beton gestrichen'),</v>
      </c>
    </row>
    <row r="3097" spans="1:8" x14ac:dyDescent="0.25">
      <c r="A3097" s="9" t="s">
        <v>3046</v>
      </c>
      <c r="B3097" s="9" t="s">
        <v>1157</v>
      </c>
      <c r="C3097">
        <v>2</v>
      </c>
      <c r="D3097">
        <v>85</v>
      </c>
      <c r="E3097">
        <v>2016</v>
      </c>
      <c r="F3097" s="9" t="s">
        <v>3052</v>
      </c>
      <c r="H3097" s="20" t="str">
        <f t="shared" si="48"/>
        <v>(nextval('obj_part_id_seq'), (select id from obj_building_v where zip||'|'||street||'|'||name||'|'||volume = '4950|Lindenstrasse 21|Zivilschutzanlage|1300.00'), 'P59', 2, 85, 2016,'Die Küchenzeile mit Spülmaschine und Herdplatten ist alt, jedoch intakt'),</v>
      </c>
    </row>
    <row r="3098" spans="1:8" x14ac:dyDescent="0.25">
      <c r="A3098" s="9" t="s">
        <v>3046</v>
      </c>
      <c r="B3098" s="9" t="s">
        <v>1142</v>
      </c>
      <c r="C3098">
        <v>0</v>
      </c>
      <c r="D3098" t="s">
        <v>4080</v>
      </c>
      <c r="E3098">
        <v>2016</v>
      </c>
      <c r="F3098" s="9"/>
      <c r="H3098" s="20" t="str">
        <f t="shared" si="48"/>
        <v>(nextval('obj_part_id_seq'), (select id from obj_building_v where zip||'|'||street||'|'||name||'|'||volume = '4950|Lindenstrasse 21|Zivilschutzanlage|1300.00'), 'P60', 0, null, 2016,null),</v>
      </c>
    </row>
    <row r="3099" spans="1:8" x14ac:dyDescent="0.25">
      <c r="A3099" s="9" t="s">
        <v>3046</v>
      </c>
      <c r="B3099" s="9" t="s">
        <v>1143</v>
      </c>
      <c r="C3099">
        <v>0</v>
      </c>
      <c r="D3099" t="s">
        <v>4080</v>
      </c>
      <c r="E3099">
        <v>2016</v>
      </c>
      <c r="F3099" s="9"/>
      <c r="H3099" s="20" t="str">
        <f t="shared" si="48"/>
        <v>(nextval('obj_part_id_seq'), (select id from obj_building_v where zip||'|'||street||'|'||name||'|'||volume = '4950|Lindenstrasse 21|Zivilschutzanlage|1300.00'), 'P61', 0, null, 2016,null),</v>
      </c>
    </row>
    <row r="3100" spans="1:8" x14ac:dyDescent="0.25">
      <c r="A3100" s="9" t="s">
        <v>3046</v>
      </c>
      <c r="B3100" s="9" t="s">
        <v>1144</v>
      </c>
      <c r="C3100">
        <v>0</v>
      </c>
      <c r="D3100" t="s">
        <v>4080</v>
      </c>
      <c r="E3100">
        <v>2016</v>
      </c>
      <c r="F3100" s="9"/>
      <c r="H3100" s="20" t="str">
        <f t="shared" si="48"/>
        <v>(nextval('obj_part_id_seq'), (select id from obj_building_v where zip||'|'||street||'|'||name||'|'||volume = '4950|Lindenstrasse 21|Zivilschutzanlage|1300.00'), 'P62', 0, null, 2016,null),</v>
      </c>
    </row>
    <row r="3101" spans="1:8" x14ac:dyDescent="0.25">
      <c r="A3101" s="9" t="s">
        <v>3053</v>
      </c>
      <c r="B3101" s="9" t="s">
        <v>1127</v>
      </c>
      <c r="C3101">
        <v>38</v>
      </c>
      <c r="D3101">
        <v>90</v>
      </c>
      <c r="E3101">
        <v>2016</v>
      </c>
      <c r="F3101" s="9" t="s">
        <v>3054</v>
      </c>
      <c r="H3101" s="20" t="str">
        <f t="shared" si="48"/>
        <v>(nextval('obj_part_id_seq'), (select id from obj_building_v where zip||'|'||street||'|'||name||'|'||volume = '4950|Oberdorfstrasse 19|Wohnhaus und Büros|880.00'), 'P48', 38, 90, 2016,'Mauerwerk, Holzbau'),</v>
      </c>
    </row>
    <row r="3102" spans="1:8" x14ac:dyDescent="0.25">
      <c r="A3102" s="9" t="s">
        <v>3053</v>
      </c>
      <c r="B3102" s="9" t="s">
        <v>1129</v>
      </c>
      <c r="C3102">
        <v>0</v>
      </c>
      <c r="D3102" t="s">
        <v>4080</v>
      </c>
      <c r="E3102">
        <v>2016</v>
      </c>
      <c r="F3102" s="9"/>
      <c r="H3102" s="20" t="str">
        <f t="shared" si="48"/>
        <v>(nextval('obj_part_id_seq'), (select id from obj_building_v where zip||'|'||street||'|'||name||'|'||volume = '4950|Oberdorfstrasse 19|Wohnhaus und Büros|880.00'), 'P49', 0, null, 2016,null),</v>
      </c>
    </row>
    <row r="3103" spans="1:8" x14ac:dyDescent="0.25">
      <c r="A3103" s="9" t="s">
        <v>3053</v>
      </c>
      <c r="B3103" s="9" t="s">
        <v>1097</v>
      </c>
      <c r="C3103">
        <v>8</v>
      </c>
      <c r="D3103">
        <v>90</v>
      </c>
      <c r="E3103">
        <v>2016</v>
      </c>
      <c r="F3103" s="9" t="s">
        <v>3055</v>
      </c>
      <c r="H3103" s="20" t="str">
        <f t="shared" si="48"/>
        <v>(nextval('obj_part_id_seq'), (select id from obj_building_v where zip||'|'||street||'|'||name||'|'||volume = '4950|Oberdorfstrasse 19|Wohnhaus und Büros|880.00'), 'P2', 8, 90, 2016,'Satteldach mit Falzziegeln, einzelne Wasserflecken am Dachboden ersichtlich'),</v>
      </c>
    </row>
    <row r="3104" spans="1:8" x14ac:dyDescent="0.25">
      <c r="A3104" s="9" t="s">
        <v>3053</v>
      </c>
      <c r="B3104" s="9" t="s">
        <v>1099</v>
      </c>
      <c r="C3104">
        <v>0</v>
      </c>
      <c r="D3104" t="s">
        <v>4080</v>
      </c>
      <c r="E3104">
        <v>2016</v>
      </c>
      <c r="F3104" s="9"/>
      <c r="H3104" s="20" t="str">
        <f t="shared" si="48"/>
        <v>(nextval('obj_part_id_seq'), (select id from obj_building_v where zip||'|'||street||'|'||name||'|'||volume = '4950|Oberdorfstrasse 19|Wohnhaus und Büros|880.00'), 'P3', 0, null, 2016,null),</v>
      </c>
    </row>
    <row r="3105" spans="1:8" x14ac:dyDescent="0.25">
      <c r="A3105" s="9" t="s">
        <v>3053</v>
      </c>
      <c r="B3105" s="9" t="s">
        <v>1100</v>
      </c>
      <c r="C3105">
        <v>7</v>
      </c>
      <c r="D3105">
        <v>80</v>
      </c>
      <c r="E3105">
        <v>2016</v>
      </c>
      <c r="F3105" s="9" t="s">
        <v>3056</v>
      </c>
      <c r="H3105" s="20" t="str">
        <f t="shared" si="48"/>
        <v>(nextval('obj_part_id_seq'), (select id from obj_building_v where zip||'|'||street||'|'||name||'|'||volume = '4950|Oberdorfstrasse 19|Wohnhaus und Büros|880.00'), 'P4', 7, 80, 2016,'Holzschindel-Fassade, tw. stark verwittert'),</v>
      </c>
    </row>
    <row r="3106" spans="1:8" x14ac:dyDescent="0.25">
      <c r="A3106" s="9" t="s">
        <v>3053</v>
      </c>
      <c r="B3106" s="9" t="s">
        <v>1102</v>
      </c>
      <c r="C3106">
        <v>11</v>
      </c>
      <c r="D3106">
        <v>85</v>
      </c>
      <c r="E3106">
        <v>2016</v>
      </c>
      <c r="F3106" s="9" t="s">
        <v>3057</v>
      </c>
      <c r="H3106" s="20" t="str">
        <f t="shared" si="48"/>
        <v>(nextval('obj_part_id_seq'), (select id from obj_building_v where zip||'|'||street||'|'||name||'|'||volume = '4950|Oberdorfstrasse 19|Wohnhaus und Büros|880.00'), 'P5', 11, 85, 2016,'Tw. neue Sprossenfenster (''06) mit Fensterläden'),</v>
      </c>
    </row>
    <row r="3107" spans="1:8" x14ac:dyDescent="0.25">
      <c r="A3107" s="9" t="s">
        <v>3053</v>
      </c>
      <c r="B3107" s="9" t="s">
        <v>1110</v>
      </c>
      <c r="C3107">
        <v>4</v>
      </c>
      <c r="D3107">
        <v>85</v>
      </c>
      <c r="E3107">
        <v>2016</v>
      </c>
      <c r="F3107" s="9" t="s">
        <v>3058</v>
      </c>
      <c r="H3107" s="20" t="str">
        <f t="shared" si="48"/>
        <v>(nextval('obj_part_id_seq'), (select id from obj_building_v where zip||'|'||street||'|'||name||'|'||volume = '4950|Oberdorfstrasse 19|Wohnhaus und Büros|880.00'), 'P9', 4, 85, 2016,'Beleuchtung, tw. alte Keramiksicherungen vorhanden'),</v>
      </c>
    </row>
    <row r="3108" spans="1:8" x14ac:dyDescent="0.25">
      <c r="A3108" s="9" t="s">
        <v>3053</v>
      </c>
      <c r="B3108" s="9" t="s">
        <v>1104</v>
      </c>
      <c r="C3108">
        <v>1</v>
      </c>
      <c r="D3108">
        <v>90</v>
      </c>
      <c r="E3108">
        <v>2016</v>
      </c>
      <c r="F3108" s="9" t="s">
        <v>3059</v>
      </c>
      <c r="H3108" s="20" t="str">
        <f t="shared" si="48"/>
        <v>(nextval('obj_part_id_seq'), (select id from obj_building_v where zip||'|'||street||'|'||name||'|'||volume = '4950|Oberdorfstrasse 19|Wohnhaus und Büros|880.00'), 'P6', 1, 90, 2016,'Fernwärme, Elektroboiler (letzte Entkalkung ''04)'),</v>
      </c>
    </row>
    <row r="3109" spans="1:8" x14ac:dyDescent="0.25">
      <c r="A3109" s="9" t="s">
        <v>3053</v>
      </c>
      <c r="B3109" s="9" t="s">
        <v>1106</v>
      </c>
      <c r="C3109">
        <v>3</v>
      </c>
      <c r="D3109">
        <v>90</v>
      </c>
      <c r="E3109">
        <v>2016</v>
      </c>
      <c r="F3109" s="9" t="s">
        <v>1107</v>
      </c>
      <c r="H3109" s="20" t="str">
        <f t="shared" si="48"/>
        <v>(nextval('obj_part_id_seq'), (select id from obj_building_v where zip||'|'||street||'|'||name||'|'||volume = '4950|Oberdorfstrasse 19|Wohnhaus und Büros|880.00'), 'P7', 3, 90, 2016,'Radiatoren mit Thermostaten'),</v>
      </c>
    </row>
    <row r="3110" spans="1:8" x14ac:dyDescent="0.25">
      <c r="A3110" s="9" t="s">
        <v>3053</v>
      </c>
      <c r="B3110" s="9" t="s">
        <v>1135</v>
      </c>
      <c r="C3110">
        <v>3</v>
      </c>
      <c r="D3110">
        <v>80</v>
      </c>
      <c r="E3110">
        <v>2016</v>
      </c>
      <c r="F3110" s="9" t="s">
        <v>3060</v>
      </c>
      <c r="H3110" s="20" t="str">
        <f t="shared" si="48"/>
        <v>(nextval('obj_part_id_seq'), (select id from obj_building_v where zip||'|'||street||'|'||name||'|'||volume = '4950|Oberdorfstrasse 19|Wohnhaus und Büros|880.00'), 'P54', 3, 80, 2016,'Badewanne enthält Rostflecken, die Sanitär-Apparate sind allgemein veraltet'),</v>
      </c>
    </row>
    <row r="3111" spans="1:8" x14ac:dyDescent="0.25">
      <c r="A3111" s="9" t="s">
        <v>3053</v>
      </c>
      <c r="B3111" s="9" t="s">
        <v>1137</v>
      </c>
      <c r="C3111">
        <v>4</v>
      </c>
      <c r="D3111">
        <v>90</v>
      </c>
      <c r="E3111">
        <v>2016</v>
      </c>
      <c r="F3111" s="9" t="s">
        <v>1850</v>
      </c>
      <c r="H3111" s="20" t="str">
        <f t="shared" si="48"/>
        <v>(nextval('obj_part_id_seq'), (select id from obj_building_v where zip||'|'||street||'|'||name||'|'||volume = '4950|Oberdorfstrasse 19|Wohnhaus und Büros|880.00'), 'P55', 4, 90, 2016,'keine Mängel bekannt'),</v>
      </c>
    </row>
    <row r="3112" spans="1:8" x14ac:dyDescent="0.25">
      <c r="A3112" s="9" t="s">
        <v>3053</v>
      </c>
      <c r="B3112" s="9" t="s">
        <v>1155</v>
      </c>
      <c r="C3112">
        <v>0</v>
      </c>
      <c r="D3112" t="s">
        <v>4080</v>
      </c>
      <c r="E3112">
        <v>2016</v>
      </c>
      <c r="F3112" s="9"/>
      <c r="H3112" s="20" t="str">
        <f t="shared" si="48"/>
        <v>(nextval('obj_part_id_seq'), (select id from obj_building_v where zip||'|'||street||'|'||name||'|'||volume = '4950|Oberdorfstrasse 19|Wohnhaus und Büros|880.00'), 'P56', 0, null, 2016,null),</v>
      </c>
    </row>
    <row r="3113" spans="1:8" x14ac:dyDescent="0.25">
      <c r="A3113" s="9" t="s">
        <v>3053</v>
      </c>
      <c r="B3113" s="9" t="s">
        <v>1138</v>
      </c>
      <c r="C3113">
        <v>9</v>
      </c>
      <c r="D3113">
        <v>85</v>
      </c>
      <c r="E3113">
        <v>2016</v>
      </c>
      <c r="F3113" s="9" t="s">
        <v>3061</v>
      </c>
      <c r="H3113" s="20" t="str">
        <f t="shared" si="48"/>
        <v>(nextval('obj_part_id_seq'), (select id from obj_building_v where zip||'|'||street||'|'||name||'|'||volume = '4950|Oberdorfstrasse 19|Wohnhaus und Büros|880.00'), 'P57', 9, 85, 2016,'Innentüren und Wände aus Holz'),</v>
      </c>
    </row>
    <row r="3114" spans="1:8" x14ac:dyDescent="0.25">
      <c r="A3114" s="9" t="s">
        <v>3053</v>
      </c>
      <c r="B3114" s="9" t="s">
        <v>1140</v>
      </c>
      <c r="C3114">
        <v>8</v>
      </c>
      <c r="D3114">
        <v>80</v>
      </c>
      <c r="E3114">
        <v>2016</v>
      </c>
      <c r="F3114" s="9" t="s">
        <v>3062</v>
      </c>
      <c r="H3114" s="20" t="str">
        <f t="shared" si="48"/>
        <v>(nextval('obj_part_id_seq'), (select id from obj_building_v where zip||'|'||street||'|'||name||'|'||volume = '4950|Oberdorfstrasse 19|Wohnhaus und Büros|880.00'), 'P58', 8, 80, 2016,'B: Bodenplatten, Holz, Keramik, PVC, W + D: Holzverkleidung, PVC'),</v>
      </c>
    </row>
    <row r="3115" spans="1:8" x14ac:dyDescent="0.25">
      <c r="A3115" s="9" t="s">
        <v>3053</v>
      </c>
      <c r="B3115" s="9" t="s">
        <v>1157</v>
      </c>
      <c r="C3115">
        <v>4</v>
      </c>
      <c r="D3115">
        <v>80</v>
      </c>
      <c r="E3115">
        <v>2016</v>
      </c>
      <c r="F3115" s="9" t="s">
        <v>3063</v>
      </c>
      <c r="H3115" s="20" t="str">
        <f t="shared" si="48"/>
        <v>(nextval('obj_part_id_seq'), (select id from obj_building_v where zip||'|'||street||'|'||name||'|'||volume = '4950|Oberdorfstrasse 19|Wohnhaus und Büros|880.00'), 'P59', 4, 80, 2016,'Die Kücheneinrichtung mit Backofen und Herdplatten, Kühlschrank ist ziemlich veraltet, jedoch funktionstüchtig'),</v>
      </c>
    </row>
    <row r="3116" spans="1:8" x14ac:dyDescent="0.25">
      <c r="A3116" s="9" t="s">
        <v>3053</v>
      </c>
      <c r="B3116" s="9" t="s">
        <v>1142</v>
      </c>
      <c r="C3116">
        <v>0</v>
      </c>
      <c r="D3116" t="s">
        <v>4080</v>
      </c>
      <c r="E3116">
        <v>2016</v>
      </c>
      <c r="F3116" s="9"/>
      <c r="H3116" s="20" t="str">
        <f t="shared" si="48"/>
        <v>(nextval('obj_part_id_seq'), (select id from obj_building_v where zip||'|'||street||'|'||name||'|'||volume = '4950|Oberdorfstrasse 19|Wohnhaus und Büros|880.00'), 'P60', 0, null, 2016,null),</v>
      </c>
    </row>
    <row r="3117" spans="1:8" x14ac:dyDescent="0.25">
      <c r="A3117" s="9" t="s">
        <v>3053</v>
      </c>
      <c r="B3117" s="9" t="s">
        <v>1143</v>
      </c>
      <c r="C3117">
        <v>0</v>
      </c>
      <c r="D3117" t="s">
        <v>4080</v>
      </c>
      <c r="E3117">
        <v>2016</v>
      </c>
      <c r="F3117" s="9"/>
      <c r="H3117" s="20" t="str">
        <f t="shared" si="48"/>
        <v>(nextval('obj_part_id_seq'), (select id from obj_building_v where zip||'|'||street||'|'||name||'|'||volume = '4950|Oberdorfstrasse 19|Wohnhaus und Büros|880.00'), 'P61', 0, null, 2016,null),</v>
      </c>
    </row>
    <row r="3118" spans="1:8" x14ac:dyDescent="0.25">
      <c r="A3118" s="9" t="s">
        <v>3053</v>
      </c>
      <c r="B3118" s="9" t="s">
        <v>1144</v>
      </c>
      <c r="C3118">
        <v>0</v>
      </c>
      <c r="D3118" t="s">
        <v>4080</v>
      </c>
      <c r="E3118">
        <v>2016</v>
      </c>
      <c r="F3118" s="9"/>
      <c r="H3118" s="20" t="str">
        <f t="shared" si="48"/>
        <v>(nextval('obj_part_id_seq'), (select id from obj_building_v where zip||'|'||street||'|'||name||'|'||volume = '4950|Oberdorfstrasse 19|Wohnhaus und Büros|880.00'), 'P62', 0, null, 2016,null),</v>
      </c>
    </row>
    <row r="3119" spans="1:8" x14ac:dyDescent="0.25">
      <c r="A3119" s="9" t="s">
        <v>3064</v>
      </c>
      <c r="B3119" s="9" t="s">
        <v>1095</v>
      </c>
      <c r="C3119">
        <v>35</v>
      </c>
      <c r="D3119">
        <v>90</v>
      </c>
      <c r="E3119">
        <v>2017</v>
      </c>
      <c r="F3119" s="9" t="s">
        <v>1303</v>
      </c>
      <c r="H3119" s="20" t="str">
        <f t="shared" si="48"/>
        <v>(nextval('obj_part_id_seq'), (select id from obj_building_v where zip||'|'||street||'|'||name||'|'||volume = '3032|Kappelenring 34a|Kindergarten Kappelenring|2763.00'), 'P1', 35, 90, 2017,'Holzbau'),</v>
      </c>
    </row>
    <row r="3120" spans="1:8" x14ac:dyDescent="0.25">
      <c r="A3120" s="9" t="s">
        <v>3064</v>
      </c>
      <c r="B3120" s="9" t="s">
        <v>1097</v>
      </c>
      <c r="C3120">
        <v>0</v>
      </c>
      <c r="D3120" t="s">
        <v>4080</v>
      </c>
      <c r="E3120">
        <v>2017</v>
      </c>
      <c r="F3120" s="9"/>
      <c r="H3120" s="20" t="str">
        <f t="shared" si="48"/>
        <v>(nextval('obj_part_id_seq'), (select id from obj_building_v where zip||'|'||street||'|'||name||'|'||volume = '3032|Kappelenring 34a|Kindergarten Kappelenring|2763.00'), 'P2', 0, null, 2017,null),</v>
      </c>
    </row>
    <row r="3121" spans="1:8" x14ac:dyDescent="0.25">
      <c r="A3121" s="9" t="s">
        <v>3064</v>
      </c>
      <c r="B3121" s="9" t="s">
        <v>1099</v>
      </c>
      <c r="C3121">
        <v>8</v>
      </c>
      <c r="D3121">
        <v>90</v>
      </c>
      <c r="E3121">
        <v>2017</v>
      </c>
      <c r="F3121" s="9" t="s">
        <v>3065</v>
      </c>
      <c r="H3121" s="20" t="str">
        <f t="shared" si="48"/>
        <v>(nextval('obj_part_id_seq'), (select id from obj_building_v where zip||'|'||street||'|'||name||'|'||volume = '3032|Kappelenring 34a|Kindergarten Kappelenring|2763.00'), 'P3', 8, 90, 2017,'Das extensiv begrünt Flachdach konnte nicht besichtigt werden (s. zus. Bemerkungen).'),</v>
      </c>
    </row>
    <row r="3122" spans="1:8" x14ac:dyDescent="0.25">
      <c r="A3122" s="9" t="s">
        <v>3064</v>
      </c>
      <c r="B3122" s="9" t="s">
        <v>1100</v>
      </c>
      <c r="C3122">
        <v>8</v>
      </c>
      <c r="D3122">
        <v>90</v>
      </c>
      <c r="E3122">
        <v>2017</v>
      </c>
      <c r="F3122" s="9" t="s">
        <v>1305</v>
      </c>
      <c r="H3122" s="20" t="str">
        <f t="shared" si="48"/>
        <v>(nextval('obj_part_id_seq'), (select id from obj_building_v where zip||'|'||street||'|'||name||'|'||volume = '3032|Kappelenring 34a|Kindergarten Kappelenring|2763.00'), 'P4', 8, 90, 2017,'Holz'),</v>
      </c>
    </row>
    <row r="3123" spans="1:8" x14ac:dyDescent="0.25">
      <c r="A3123" s="9" t="s">
        <v>3064</v>
      </c>
      <c r="B3123" s="9" t="s">
        <v>1102</v>
      </c>
      <c r="C3123">
        <v>8</v>
      </c>
      <c r="D3123">
        <v>90</v>
      </c>
      <c r="E3123">
        <v>2017</v>
      </c>
      <c r="F3123" s="9" t="s">
        <v>3066</v>
      </c>
      <c r="H3123" s="20" t="str">
        <f t="shared" si="48"/>
        <v>(nextval('obj_part_id_seq'), (select id from obj_building_v where zip||'|'||street||'|'||name||'|'||volume = '3032|Kappelenring 34a|Kindergarten Kappelenring|2763.00'), 'P5', 8, 90, 2017,'Holz 3-fach IV'),</v>
      </c>
    </row>
    <row r="3124" spans="1:8" x14ac:dyDescent="0.25">
      <c r="A3124" s="9" t="s">
        <v>3064</v>
      </c>
      <c r="B3124" s="9" t="s">
        <v>1104</v>
      </c>
      <c r="C3124">
        <v>1</v>
      </c>
      <c r="D3124">
        <v>90</v>
      </c>
      <c r="E3124">
        <v>2017</v>
      </c>
      <c r="F3124" s="9" t="s">
        <v>1235</v>
      </c>
      <c r="H3124" s="20" t="str">
        <f t="shared" si="48"/>
        <v>(nextval('obj_part_id_seq'), (select id from obj_building_v where zip||'|'||street||'|'||name||'|'||volume = '3032|Kappelenring 34a|Kindergarten Kappelenring|2763.00'), 'P6', 1, 90, 2017,'Fernwärme'),</v>
      </c>
    </row>
    <row r="3125" spans="1:8" x14ac:dyDescent="0.25">
      <c r="A3125" s="9" t="s">
        <v>3064</v>
      </c>
      <c r="B3125" s="9" t="s">
        <v>1106</v>
      </c>
      <c r="C3125">
        <v>2</v>
      </c>
      <c r="D3125">
        <v>90</v>
      </c>
      <c r="E3125">
        <v>2017</v>
      </c>
      <c r="F3125" s="9" t="s">
        <v>1571</v>
      </c>
      <c r="H3125" s="20" t="str">
        <f t="shared" si="48"/>
        <v>(nextval('obj_part_id_seq'), (select id from obj_building_v where zip||'|'||street||'|'||name||'|'||volume = '3032|Kappelenring 34a|Kindergarten Kappelenring|2763.00'), 'P7', 2, 90, 2017,'Bodenheizung'),</v>
      </c>
    </row>
    <row r="3126" spans="1:8" x14ac:dyDescent="0.25">
      <c r="A3126" s="9" t="s">
        <v>3064</v>
      </c>
      <c r="B3126" s="9" t="s">
        <v>1108</v>
      </c>
      <c r="C3126">
        <v>6</v>
      </c>
      <c r="D3126">
        <v>90</v>
      </c>
      <c r="E3126">
        <v>2017</v>
      </c>
      <c r="F3126" s="9"/>
      <c r="H3126" s="20" t="str">
        <f t="shared" si="48"/>
        <v>(nextval('obj_part_id_seq'), (select id from obj_building_v where zip||'|'||street||'|'||name||'|'||volume = '3032|Kappelenring 34a|Kindergarten Kappelenring|2763.00'), 'P8', 6, 90, 2017,null),</v>
      </c>
    </row>
    <row r="3127" spans="1:8" x14ac:dyDescent="0.25">
      <c r="A3127" s="9" t="s">
        <v>3064</v>
      </c>
      <c r="B3127" s="9" t="s">
        <v>1110</v>
      </c>
      <c r="C3127">
        <v>6</v>
      </c>
      <c r="D3127">
        <v>90</v>
      </c>
      <c r="E3127">
        <v>2017</v>
      </c>
      <c r="F3127" s="9" t="s">
        <v>3067</v>
      </c>
      <c r="H3127" s="20" t="str">
        <f t="shared" si="48"/>
        <v>(nextval('obj_part_id_seq'), (select id from obj_building_v where zip||'|'||street||'|'||name||'|'||volume = '3032|Kappelenring 34a|Kindergarten Kappelenring|2763.00'), 'P9', 6, 90, 2017,'PV-Anlage'),</v>
      </c>
    </row>
    <row r="3128" spans="1:8" x14ac:dyDescent="0.25">
      <c r="A3128" s="9" t="s">
        <v>3064</v>
      </c>
      <c r="B3128" s="9" t="s">
        <v>1112</v>
      </c>
      <c r="C3128">
        <v>3</v>
      </c>
      <c r="D3128">
        <v>90</v>
      </c>
      <c r="E3128">
        <v>2017</v>
      </c>
      <c r="F3128" s="9" t="s">
        <v>3068</v>
      </c>
      <c r="H3128" s="20" t="str">
        <f t="shared" si="48"/>
        <v>(nextval('obj_part_id_seq'), (select id from obj_building_v where zip||'|'||street||'|'||name||'|'||volume = '3032|Kappelenring 34a|Kindergarten Kappelenring|2763.00'), 'P10', 3, 90, 2017,'Lüftungsanlage Minergie; die Lüftung pfeift'),</v>
      </c>
    </row>
    <row r="3129" spans="1:8" x14ac:dyDescent="0.25">
      <c r="A3129" s="9" t="s">
        <v>3064</v>
      </c>
      <c r="B3129" s="9" t="s">
        <v>1114</v>
      </c>
      <c r="C3129">
        <v>27</v>
      </c>
      <c r="D3129">
        <v>90</v>
      </c>
      <c r="E3129">
        <v>2017</v>
      </c>
      <c r="F3129" s="9" t="s">
        <v>3069</v>
      </c>
      <c r="H3129" s="20" t="str">
        <f t="shared" si="48"/>
        <v>(nextval('obj_part_id_seq'), (select id from obj_building_v where zip||'|'||street||'|'||name||'|'||volume = '3032|Kappelenring 34a|Kindergarten Kappelenring|2763.00'), 'P11', 27, 90, 2017,'Innentüren mit Glasfüllungen, Oberflächen: B: Parkett, W: Holz, D: Holz (Akustik)'),</v>
      </c>
    </row>
    <row r="3130" spans="1:8" x14ac:dyDescent="0.25">
      <c r="A3130" s="9" t="s">
        <v>3064</v>
      </c>
      <c r="B3130" s="9" t="s">
        <v>1114</v>
      </c>
      <c r="C3130">
        <v>0</v>
      </c>
      <c r="D3130" t="s">
        <v>4080</v>
      </c>
      <c r="E3130">
        <v>2017</v>
      </c>
      <c r="F3130" s="9"/>
      <c r="H3130" s="20" t="str">
        <f t="shared" si="48"/>
        <v>(nextval('obj_part_id_seq'), (select id from obj_building_v where zip||'|'||street||'|'||name||'|'||volume = '3032|Kappelenring 34a|Kindergarten Kappelenring|2763.00'), 'P11', 0, null, 2017,null),</v>
      </c>
    </row>
    <row r="3131" spans="1:8" x14ac:dyDescent="0.25">
      <c r="A3131" s="9" t="s">
        <v>3064</v>
      </c>
      <c r="B3131" s="9" t="s">
        <v>1116</v>
      </c>
      <c r="C3131">
        <v>0</v>
      </c>
      <c r="D3131" t="s">
        <v>4080</v>
      </c>
      <c r="E3131">
        <v>2017</v>
      </c>
      <c r="F3131" s="9"/>
      <c r="H3131" s="20" t="str">
        <f t="shared" si="48"/>
        <v>(nextval('obj_part_id_seq'), (select id from obj_building_v where zip||'|'||street||'|'||name||'|'||volume = '3032|Kappelenring 34a|Kindergarten Kappelenring|2763.00'), 'P12', 0, null, 2017,null),</v>
      </c>
    </row>
    <row r="3132" spans="1:8" x14ac:dyDescent="0.25">
      <c r="A3132" s="9" t="s">
        <v>3070</v>
      </c>
      <c r="B3132" s="9" t="s">
        <v>1127</v>
      </c>
      <c r="C3132">
        <v>40</v>
      </c>
      <c r="D3132">
        <v>90</v>
      </c>
      <c r="E3132">
        <v>2012</v>
      </c>
      <c r="F3132" s="9" t="s">
        <v>3071</v>
      </c>
      <c r="H3132" s="20" t="str">
        <f t="shared" si="48"/>
        <v>(nextval('obj_part_id_seq'), (select id from obj_building_v where zip||'|'||street||'|'||name||'|'||volume = '3034|Murzelenstrasse 82|Schulhaus/Kindergarten/Hauswartwohnung|3920.00'), 'P48', 40, 90, 2012,'Mauerwerk, verputzt/MW, gestr. im UG, Kunststeintreppen'),</v>
      </c>
    </row>
    <row r="3133" spans="1:8" x14ac:dyDescent="0.25">
      <c r="A3133" s="9" t="s">
        <v>3070</v>
      </c>
      <c r="B3133" s="9" t="s">
        <v>1129</v>
      </c>
      <c r="C3133">
        <v>0</v>
      </c>
      <c r="D3133" t="s">
        <v>4080</v>
      </c>
      <c r="E3133">
        <v>2012</v>
      </c>
      <c r="F3133" s="9"/>
      <c r="H3133" s="20" t="str">
        <f t="shared" si="48"/>
        <v>(nextval('obj_part_id_seq'), (select id from obj_building_v where zip||'|'||street||'|'||name||'|'||volume = '3034|Murzelenstrasse 82|Schulhaus/Kindergarten/Hauswartwohnung|3920.00'), 'P49', 0, null, 2012,null),</v>
      </c>
    </row>
    <row r="3134" spans="1:8" x14ac:dyDescent="0.25">
      <c r="A3134" s="9" t="s">
        <v>3070</v>
      </c>
      <c r="B3134" s="9" t="s">
        <v>1097</v>
      </c>
      <c r="C3134">
        <v>9</v>
      </c>
      <c r="D3134">
        <v>90</v>
      </c>
      <c r="E3134">
        <v>2012</v>
      </c>
      <c r="F3134" s="9" t="s">
        <v>3072</v>
      </c>
      <c r="H3134" s="20" t="str">
        <f t="shared" si="48"/>
        <v>(nextval('obj_part_id_seq'), (select id from obj_building_v where zip||'|'||street||'|'||name||'|'||volume = '3034|Murzelenstrasse 82|Schulhaus/Kindergarten/Hauswartwohnung|3920.00'), 'P2', 9, 90, 2012,'Falzzeigel, Welleternit, Dachraum isol. (tw.), Dachflächenfenster neu in Wg., Dachgaupen/Lukarnen mit Blechdach'),</v>
      </c>
    </row>
    <row r="3135" spans="1:8" x14ac:dyDescent="0.25">
      <c r="A3135" s="9" t="s">
        <v>3070</v>
      </c>
      <c r="B3135" s="9" t="s">
        <v>1099</v>
      </c>
      <c r="C3135">
        <v>0</v>
      </c>
      <c r="D3135" t="s">
        <v>4080</v>
      </c>
      <c r="E3135">
        <v>2012</v>
      </c>
      <c r="F3135" s="9"/>
      <c r="H3135" s="20" t="str">
        <f t="shared" si="48"/>
        <v>(nextval('obj_part_id_seq'), (select id from obj_building_v where zip||'|'||street||'|'||name||'|'||volume = '3034|Murzelenstrasse 82|Schulhaus/Kindergarten/Hauswartwohnung|3920.00'), 'P3', 0, null, 2012,null),</v>
      </c>
    </row>
    <row r="3136" spans="1:8" x14ac:dyDescent="0.25">
      <c r="A3136" s="9" t="s">
        <v>3070</v>
      </c>
      <c r="B3136" s="9" t="s">
        <v>1100</v>
      </c>
      <c r="C3136">
        <v>7</v>
      </c>
      <c r="D3136">
        <v>90</v>
      </c>
      <c r="E3136">
        <v>2012</v>
      </c>
      <c r="F3136" s="9" t="s">
        <v>1716</v>
      </c>
      <c r="H3136" s="20" t="str">
        <f t="shared" si="48"/>
        <v>(nextval('obj_part_id_seq'), (select id from obj_building_v where zip||'|'||street||'|'||name||'|'||volume = '3034|Murzelenstrasse 82|Schulhaus/Kindergarten/Hauswartwohnung|3920.00'), 'P4', 7, 90, 2012,'Mauerwerk, verputzt'),</v>
      </c>
    </row>
    <row r="3137" spans="1:8" x14ac:dyDescent="0.25">
      <c r="A3137" s="9" t="s">
        <v>3070</v>
      </c>
      <c r="B3137" s="9" t="s">
        <v>1102</v>
      </c>
      <c r="C3137">
        <v>10</v>
      </c>
      <c r="D3137">
        <v>70</v>
      </c>
      <c r="E3137">
        <v>2012</v>
      </c>
      <c r="F3137" s="9" t="s">
        <v>3073</v>
      </c>
      <c r="H3137" s="20" t="str">
        <f t="shared" si="48"/>
        <v>(nextval('obj_part_id_seq'), (select id from obj_building_v where zip||'|'||street||'|'||name||'|'||volume = '3034|Murzelenstrasse 82|Schulhaus/Kindergarten/Hauswartwohnung|3920.00'), 'P5', 10, 70, 2012,'Holz-/Metallfenster m. IV, Holzf. IV, Stoffstoren, Haustüre ohne Gummidichtung seitl., KZ: innere Verdunklungen'),</v>
      </c>
    </row>
    <row r="3138" spans="1:8" x14ac:dyDescent="0.25">
      <c r="A3138" s="9" t="s">
        <v>3070</v>
      </c>
      <c r="B3138" s="9" t="s">
        <v>1164</v>
      </c>
      <c r="C3138">
        <v>6</v>
      </c>
      <c r="D3138">
        <v>80</v>
      </c>
      <c r="E3138">
        <v>2012</v>
      </c>
      <c r="F3138" s="9" t="s">
        <v>3074</v>
      </c>
      <c r="H3138" s="20" t="str">
        <f t="shared" si="48"/>
        <v>(nextval('obj_part_id_seq'), (select id from obj_building_v where zip||'|'||street||'|'||name||'|'||volume = '3034|Murzelenstrasse 82|Schulhaus/Kindergarten/Hauswartwohnung|3920.00'), 'P50', 6, 80, 2012,'Beleuchtung veraltet, dito Schalter, in KG neu, alte Sicherungen'),</v>
      </c>
    </row>
    <row r="3139" spans="1:8" x14ac:dyDescent="0.25">
      <c r="A3139" s="9" t="s">
        <v>3070</v>
      </c>
      <c r="B3139" s="9" t="s">
        <v>1166</v>
      </c>
      <c r="C3139">
        <v>1</v>
      </c>
      <c r="D3139">
        <v>90</v>
      </c>
      <c r="E3139">
        <v>2012</v>
      </c>
      <c r="F3139" s="9" t="s">
        <v>3075</v>
      </c>
      <c r="H3139" s="20" t="str">
        <f t="shared" si="48"/>
        <v>(nextval('obj_part_id_seq'), (select id from obj_building_v where zip||'|'||street||'|'||name||'|'||volume = '3034|Murzelenstrasse 82|Schulhaus/Kindergarten/Hauswartwohnung|3920.00'), 'P51', 1, 90, 2012,'Telefon, Funk, EDV, Uhr, Gong, neuer Server nach Hochwasser ''14'),</v>
      </c>
    </row>
    <row r="3140" spans="1:8" x14ac:dyDescent="0.25">
      <c r="A3140" s="9" t="s">
        <v>3070</v>
      </c>
      <c r="B3140" s="9" t="s">
        <v>1104</v>
      </c>
      <c r="C3140">
        <v>0</v>
      </c>
      <c r="D3140" t="s">
        <v>4080</v>
      </c>
      <c r="E3140">
        <v>2012</v>
      </c>
      <c r="F3140" s="9" t="s">
        <v>1235</v>
      </c>
      <c r="H3140" s="20" t="str">
        <f t="shared" si="48"/>
        <v>(nextval('obj_part_id_seq'), (select id from obj_building_v where zip||'|'||street||'|'||name||'|'||volume = '3034|Murzelenstrasse 82|Schulhaus/Kindergarten/Hauswartwohnung|3920.00'), 'P6', 0, null, 2012,'Fernwärme'),</v>
      </c>
    </row>
    <row r="3141" spans="1:8" x14ac:dyDescent="0.25">
      <c r="A3141" s="9" t="s">
        <v>3070</v>
      </c>
      <c r="B3141" s="9" t="s">
        <v>1106</v>
      </c>
      <c r="C3141">
        <v>3</v>
      </c>
      <c r="D3141">
        <v>90</v>
      </c>
      <c r="E3141">
        <v>2012</v>
      </c>
      <c r="F3141" s="9" t="s">
        <v>3076</v>
      </c>
      <c r="H3141" s="20" t="str">
        <f t="shared" ref="H3141:H3204" si="49">"(nextval('obj_part_id_seq'), (select id from obj_building_v where zip||'|'||street||'|'||name||'|'||volume = '"&amp;A3141&amp;"'), '"&amp;B3141&amp;"', "&amp;C3141&amp;", "&amp;D3141&amp;", "&amp;IF(ISBLANK(E3141),"null",E3141)&amp;","&amp;IF(ISBLANK(F3141),"null","'"&amp;F3141&amp;"'")&amp;"),"</f>
        <v>(nextval('obj_part_id_seq'), (select id from obj_building_v where zip||'|'||street||'|'||name||'|'||volume = '3034|Murzelenstrasse 82|Schulhaus/Kindergarten/Hauswartwohnung|3920.00'), 'P7', 3, 90, 2012,'Radiatoren m. Thermostaten, tw. o. Thermost. (im Entrée)'),</v>
      </c>
    </row>
    <row r="3142" spans="1:8" x14ac:dyDescent="0.25">
      <c r="A3142" s="9" t="s">
        <v>3070</v>
      </c>
      <c r="B3142" s="9" t="s">
        <v>1108</v>
      </c>
      <c r="C3142">
        <v>4</v>
      </c>
      <c r="D3142">
        <v>80</v>
      </c>
      <c r="E3142">
        <v>2012</v>
      </c>
      <c r="F3142" s="9" t="s">
        <v>3077</v>
      </c>
      <c r="H3142" s="20" t="str">
        <f t="shared" si="49"/>
        <v>(nextval('obj_part_id_seq'), (select id from obj_building_v where zip||'|'||street||'|'||name||'|'||volume = '3034|Murzelenstrasse 82|Schulhaus/Kindergarten/Hauswartwohnung|3920.00'), 'P8', 4, 80, 2012,'Leitungen: s. Bem., Apparate älter'),</v>
      </c>
    </row>
    <row r="3143" spans="1:8" x14ac:dyDescent="0.25">
      <c r="A3143" s="9" t="s">
        <v>3070</v>
      </c>
      <c r="B3143" s="9" t="s">
        <v>1138</v>
      </c>
      <c r="C3143">
        <v>11</v>
      </c>
      <c r="D3143">
        <v>90</v>
      </c>
      <c r="E3143">
        <v>2012</v>
      </c>
      <c r="F3143" s="9" t="s">
        <v>3078</v>
      </c>
      <c r="H3143" s="20" t="str">
        <f t="shared" si="49"/>
        <v>(nextval('obj_part_id_seq'), (select id from obj_building_v where zip||'|'||street||'|'||name||'|'||volume = '3034|Murzelenstrasse 82|Schulhaus/Kindergarten/Hauswartwohnung|3920.00'), 'P57', 11, 90, 2012,'Einbauschränke, Simse aus holz, Geländer aus Metall, Vorhangbretter'),</v>
      </c>
    </row>
    <row r="3144" spans="1:8" x14ac:dyDescent="0.25">
      <c r="A3144" s="9" t="s">
        <v>3070</v>
      </c>
      <c r="B3144" s="9" t="s">
        <v>1140</v>
      </c>
      <c r="C3144">
        <v>8</v>
      </c>
      <c r="D3144">
        <v>90</v>
      </c>
      <c r="E3144">
        <v>2012</v>
      </c>
      <c r="F3144" s="9" t="s">
        <v>3079</v>
      </c>
      <c r="H3144" s="20" t="str">
        <f t="shared" si="49"/>
        <v>(nextval('obj_part_id_seq'), (select id from obj_building_v where zip||'|'||street||'|'||name||'|'||volume = '3034|Murzelenstrasse 82|Schulhaus/Kindergarten/Hauswartwohnung|3920.00'), 'P58', 8, 90, 2012,'B: Korkpl., Klinker, PVC, Linol, Kunststoffguss in WC, Parkett, W: Putz, Korkpl.schild, Beton, gestr., Keramikpl.schild'),</v>
      </c>
    </row>
    <row r="3145" spans="1:8" x14ac:dyDescent="0.25">
      <c r="A3145" s="9" t="s">
        <v>3070</v>
      </c>
      <c r="B3145" s="9" t="s">
        <v>1142</v>
      </c>
      <c r="C3145">
        <v>0</v>
      </c>
      <c r="D3145" t="s">
        <v>4080</v>
      </c>
      <c r="E3145">
        <v>2012</v>
      </c>
      <c r="F3145" s="9"/>
      <c r="H3145" s="20" t="str">
        <f t="shared" si="49"/>
        <v>(nextval('obj_part_id_seq'), (select id from obj_building_v where zip||'|'||street||'|'||name||'|'||volume = '3034|Murzelenstrasse 82|Schulhaus/Kindergarten/Hauswartwohnung|3920.00'), 'P60', 0, null, 2012,null),</v>
      </c>
    </row>
    <row r="3146" spans="1:8" x14ac:dyDescent="0.25">
      <c r="A3146" s="9" t="s">
        <v>3070</v>
      </c>
      <c r="B3146" s="9" t="s">
        <v>1143</v>
      </c>
      <c r="C3146">
        <v>1</v>
      </c>
      <c r="D3146">
        <v>90</v>
      </c>
      <c r="E3146">
        <v>2012</v>
      </c>
      <c r="F3146" s="9" t="s">
        <v>3080</v>
      </c>
      <c r="H3146" s="20" t="str">
        <f t="shared" si="49"/>
        <v>(nextval('obj_part_id_seq'), (select id from obj_building_v where zip||'|'||street||'|'||name||'|'||volume = '3034|Murzelenstrasse 82|Schulhaus/Kindergarten/Hauswartwohnung|3920.00'), 'P61', 1, 90, 2012,'Küche in KG und GR, Wg DG (wurde ''14 ersetzt)'),</v>
      </c>
    </row>
    <row r="3147" spans="1:8" x14ac:dyDescent="0.25">
      <c r="A3147" s="9" t="s">
        <v>3070</v>
      </c>
      <c r="B3147" s="9" t="s">
        <v>1144</v>
      </c>
      <c r="C3147">
        <v>0</v>
      </c>
      <c r="D3147" t="s">
        <v>4080</v>
      </c>
      <c r="E3147">
        <v>2012</v>
      </c>
      <c r="F3147" s="9"/>
      <c r="H3147" s="20" t="str">
        <f t="shared" si="49"/>
        <v>(nextval('obj_part_id_seq'), (select id from obj_building_v where zip||'|'||street||'|'||name||'|'||volume = '3034|Murzelenstrasse 82|Schulhaus/Kindergarten/Hauswartwohnung|3920.00'), 'P62', 0, null, 2012,null),</v>
      </c>
    </row>
    <row r="3148" spans="1:8" x14ac:dyDescent="0.25">
      <c r="A3148" s="9" t="s">
        <v>3081</v>
      </c>
      <c r="B3148" s="9" t="s">
        <v>1095</v>
      </c>
      <c r="C3148">
        <v>31</v>
      </c>
      <c r="D3148">
        <v>100</v>
      </c>
      <c r="E3148">
        <v>2018</v>
      </c>
      <c r="F3148" s="9" t="s">
        <v>1096</v>
      </c>
      <c r="H3148" s="20" t="str">
        <f t="shared" si="49"/>
        <v>(nextval('obj_part_id_seq'), (select id from obj_building_v where zip||'|'||street||'|'||name||'|'||volume = '8253|Schulstrasse 5|Janus Schulhaus Zentrum|11967.00'), 'P1', 31, 100, 2018,'Stahlbetondecken, Mauerwerk'),</v>
      </c>
    </row>
    <row r="3149" spans="1:8" x14ac:dyDescent="0.25">
      <c r="A3149" s="9" t="s">
        <v>3081</v>
      </c>
      <c r="B3149" s="9" t="s">
        <v>1097</v>
      </c>
      <c r="C3149">
        <v>0</v>
      </c>
      <c r="D3149" t="s">
        <v>4080</v>
      </c>
      <c r="E3149">
        <v>2018</v>
      </c>
      <c r="F3149" s="9"/>
      <c r="H3149" s="20" t="str">
        <f t="shared" si="49"/>
        <v>(nextval('obj_part_id_seq'), (select id from obj_building_v where zip||'|'||street||'|'||name||'|'||volume = '8253|Schulstrasse 5|Janus Schulhaus Zentrum|11967.00'), 'P2', 0, null, 2018,null),</v>
      </c>
    </row>
    <row r="3150" spans="1:8" x14ac:dyDescent="0.25">
      <c r="A3150" s="9" t="s">
        <v>3081</v>
      </c>
      <c r="B3150" s="9" t="s">
        <v>1099</v>
      </c>
      <c r="C3150">
        <v>5</v>
      </c>
      <c r="D3150">
        <v>100</v>
      </c>
      <c r="E3150">
        <v>2018</v>
      </c>
      <c r="F3150" s="9"/>
      <c r="H3150" s="20" t="str">
        <f t="shared" si="49"/>
        <v>(nextval('obj_part_id_seq'), (select id from obj_building_v where zip||'|'||street||'|'||name||'|'||volume = '8253|Schulstrasse 5|Janus Schulhaus Zentrum|11967.00'), 'P3', 5, 100, 2018,null),</v>
      </c>
    </row>
    <row r="3151" spans="1:8" x14ac:dyDescent="0.25">
      <c r="A3151" s="9" t="s">
        <v>3081</v>
      </c>
      <c r="B3151" s="9" t="s">
        <v>1100</v>
      </c>
      <c r="C3151">
        <v>4</v>
      </c>
      <c r="D3151">
        <v>100</v>
      </c>
      <c r="E3151">
        <v>2018</v>
      </c>
      <c r="F3151" s="9"/>
      <c r="H3151" s="20" t="str">
        <f t="shared" si="49"/>
        <v>(nextval('obj_part_id_seq'), (select id from obj_building_v where zip||'|'||street||'|'||name||'|'||volume = '8253|Schulstrasse 5|Janus Schulhaus Zentrum|11967.00'), 'P4', 4, 100, 2018,null),</v>
      </c>
    </row>
    <row r="3152" spans="1:8" x14ac:dyDescent="0.25">
      <c r="A3152" s="9" t="s">
        <v>3081</v>
      </c>
      <c r="B3152" s="9" t="s">
        <v>1102</v>
      </c>
      <c r="C3152">
        <v>11</v>
      </c>
      <c r="D3152">
        <v>100</v>
      </c>
      <c r="E3152">
        <v>2018</v>
      </c>
      <c r="F3152" s="9" t="s">
        <v>1103</v>
      </c>
      <c r="H3152" s="20" t="str">
        <f t="shared" si="49"/>
        <v>(nextval('obj_part_id_seq'), (select id from obj_building_v where zip||'|'||street||'|'||name||'|'||volume = '8253|Schulstrasse 5|Janus Schulhaus Zentrum|11967.00'), 'P5', 11, 100, 2018,'Holzfenster, Eingangstüren Stahl'),</v>
      </c>
    </row>
    <row r="3153" spans="1:8" x14ac:dyDescent="0.25">
      <c r="A3153" s="9" t="s">
        <v>3081</v>
      </c>
      <c r="B3153" s="9" t="s">
        <v>1104</v>
      </c>
      <c r="C3153">
        <v>1</v>
      </c>
      <c r="D3153">
        <v>100</v>
      </c>
      <c r="E3153">
        <v>2018</v>
      </c>
      <c r="F3153" s="9" t="s">
        <v>1105</v>
      </c>
      <c r="H3153" s="20" t="str">
        <f t="shared" si="49"/>
        <v>(nextval('obj_part_id_seq'), (select id from obj_building_v where zip||'|'||street||'|'||name||'|'||volume = '8253|Schulstrasse 5|Janus Schulhaus Zentrum|11967.00'), 'P6', 1, 100, 2018,'Fernwärme vom Nachbargebäude (altes SH, san.)'),</v>
      </c>
    </row>
    <row r="3154" spans="1:8" x14ac:dyDescent="0.25">
      <c r="A3154" s="9" t="s">
        <v>3081</v>
      </c>
      <c r="B3154" s="9" t="s">
        <v>1106</v>
      </c>
      <c r="C3154">
        <v>3</v>
      </c>
      <c r="D3154">
        <v>100</v>
      </c>
      <c r="E3154">
        <v>2018</v>
      </c>
      <c r="F3154" s="9"/>
      <c r="H3154" s="20" t="str">
        <f t="shared" si="49"/>
        <v>(nextval('obj_part_id_seq'), (select id from obj_building_v where zip||'|'||street||'|'||name||'|'||volume = '8253|Schulstrasse 5|Janus Schulhaus Zentrum|11967.00'), 'P7', 3, 100, 2018,null),</v>
      </c>
    </row>
    <row r="3155" spans="1:8" x14ac:dyDescent="0.25">
      <c r="A3155" s="9" t="s">
        <v>3081</v>
      </c>
      <c r="B3155" s="9" t="s">
        <v>1108</v>
      </c>
      <c r="C3155">
        <v>3</v>
      </c>
      <c r="D3155">
        <v>100</v>
      </c>
      <c r="E3155">
        <v>2018</v>
      </c>
      <c r="F3155" s="9"/>
      <c r="H3155" s="20" t="str">
        <f t="shared" si="49"/>
        <v>(nextval('obj_part_id_seq'), (select id from obj_building_v where zip||'|'||street||'|'||name||'|'||volume = '8253|Schulstrasse 5|Janus Schulhaus Zentrum|11967.00'), 'P8', 3, 100, 2018,null),</v>
      </c>
    </row>
    <row r="3156" spans="1:8" x14ac:dyDescent="0.25">
      <c r="A3156" s="9" t="s">
        <v>3081</v>
      </c>
      <c r="B3156" s="9" t="s">
        <v>1110</v>
      </c>
      <c r="C3156">
        <v>11</v>
      </c>
      <c r="D3156">
        <v>100</v>
      </c>
      <c r="E3156">
        <v>2018</v>
      </c>
      <c r="F3156" s="9"/>
      <c r="H3156" s="20" t="str">
        <f t="shared" si="49"/>
        <v>(nextval('obj_part_id_seq'), (select id from obj_building_v where zip||'|'||street||'|'||name||'|'||volume = '8253|Schulstrasse 5|Janus Schulhaus Zentrum|11967.00'), 'P9', 11, 100, 2018,null),</v>
      </c>
    </row>
    <row r="3157" spans="1:8" x14ac:dyDescent="0.25">
      <c r="A3157" s="9" t="s">
        <v>3081</v>
      </c>
      <c r="B3157" s="9" t="s">
        <v>1112</v>
      </c>
      <c r="C3157">
        <v>6</v>
      </c>
      <c r="D3157">
        <v>100</v>
      </c>
      <c r="E3157">
        <v>2018</v>
      </c>
      <c r="F3157" s="9"/>
      <c r="H3157" s="20" t="str">
        <f t="shared" si="49"/>
        <v>(nextval('obj_part_id_seq'), (select id from obj_building_v where zip||'|'||street||'|'||name||'|'||volume = '8253|Schulstrasse 5|Janus Schulhaus Zentrum|11967.00'), 'P10', 6, 100, 2018,null),</v>
      </c>
    </row>
    <row r="3158" spans="1:8" x14ac:dyDescent="0.25">
      <c r="A3158" s="9" t="s">
        <v>3081</v>
      </c>
      <c r="B3158" s="9" t="s">
        <v>1114</v>
      </c>
      <c r="C3158">
        <v>25</v>
      </c>
      <c r="D3158">
        <v>100</v>
      </c>
      <c r="E3158">
        <v>2018</v>
      </c>
      <c r="F3158" s="9"/>
      <c r="H3158" s="20" t="str">
        <f t="shared" si="49"/>
        <v>(nextval('obj_part_id_seq'), (select id from obj_building_v where zip||'|'||street||'|'||name||'|'||volume = '8253|Schulstrasse 5|Janus Schulhaus Zentrum|11967.00'), 'P11', 25, 100, 2018,null),</v>
      </c>
    </row>
    <row r="3159" spans="1:8" x14ac:dyDescent="0.25">
      <c r="A3159" s="9" t="s">
        <v>3081</v>
      </c>
      <c r="B3159" s="9" t="s">
        <v>1114</v>
      </c>
      <c r="C3159">
        <v>0</v>
      </c>
      <c r="D3159" t="s">
        <v>4080</v>
      </c>
      <c r="E3159">
        <v>2018</v>
      </c>
      <c r="F3159" s="9"/>
      <c r="H3159" s="20" t="str">
        <f t="shared" si="49"/>
        <v>(nextval('obj_part_id_seq'), (select id from obj_building_v where zip||'|'||street||'|'||name||'|'||volume = '8253|Schulstrasse 5|Janus Schulhaus Zentrum|11967.00'), 'P11', 0, null, 2018,null),</v>
      </c>
    </row>
    <row r="3160" spans="1:8" x14ac:dyDescent="0.25">
      <c r="A3160" s="9" t="s">
        <v>3081</v>
      </c>
      <c r="B3160" s="9" t="s">
        <v>1116</v>
      </c>
      <c r="C3160">
        <v>0</v>
      </c>
      <c r="D3160" t="s">
        <v>4080</v>
      </c>
      <c r="E3160">
        <v>2018</v>
      </c>
      <c r="F3160" s="9"/>
      <c r="H3160" s="20" t="str">
        <f t="shared" si="49"/>
        <v>(nextval('obj_part_id_seq'), (select id from obj_building_v where zip||'|'||street||'|'||name||'|'||volume = '8253|Schulstrasse 5|Janus Schulhaus Zentrum|11967.00'), 'P12', 0, null, 2018,null),</v>
      </c>
    </row>
    <row r="3161" spans="1:8" x14ac:dyDescent="0.25">
      <c r="A3161" s="9" t="s">
        <v>3082</v>
      </c>
      <c r="B3161" s="9" t="s">
        <v>1095</v>
      </c>
      <c r="C3161">
        <v>34</v>
      </c>
      <c r="D3161">
        <v>80</v>
      </c>
      <c r="E3161">
        <v>2018</v>
      </c>
      <c r="F3161" s="9" t="s">
        <v>3083</v>
      </c>
      <c r="H3161" s="20" t="str">
        <f t="shared" si="49"/>
        <v>(nextval('obj_part_id_seq'), (select id from obj_building_v where zip||'|'||street||'|'||name||'|'||volume = '9651|Obere Laui 1665|Ferienhaus|509.00'), 'P1', 34, 80, 2018,'Holzblockbau, Stahlbeton im UG mit Schutzraum, Garagenanbau, keine Spuren von aufsteigender Feuchtigkeit erkennbar'),</v>
      </c>
    </row>
    <row r="3162" spans="1:8" x14ac:dyDescent="0.25">
      <c r="A3162" s="9" t="s">
        <v>3082</v>
      </c>
      <c r="B3162" s="9" t="s">
        <v>1097</v>
      </c>
      <c r="C3162">
        <v>8</v>
      </c>
      <c r="D3162">
        <v>40</v>
      </c>
      <c r="E3162">
        <v>2018</v>
      </c>
      <c r="F3162" s="9" t="s">
        <v>3084</v>
      </c>
      <c r="H3162" s="20" t="str">
        <f t="shared" si="49"/>
        <v>(nextval('obj_part_id_seq'), (select id from obj_building_v where zip||'|'||street||'|'||name||'|'||volume = '9651|Obere Laui 1665|Ferienhaus|509.00'), 'P2', 8, 40, 2018,'Welleternitdach*, Dachuntersichten i.O.'),</v>
      </c>
    </row>
    <row r="3163" spans="1:8" x14ac:dyDescent="0.25">
      <c r="A3163" s="9" t="s">
        <v>3082</v>
      </c>
      <c r="B3163" s="9" t="s">
        <v>1099</v>
      </c>
      <c r="C3163">
        <v>0</v>
      </c>
      <c r="D3163" t="s">
        <v>4080</v>
      </c>
      <c r="E3163">
        <v>2018</v>
      </c>
      <c r="F3163" s="9"/>
      <c r="H3163" s="20" t="str">
        <f t="shared" si="49"/>
        <v>(nextval('obj_part_id_seq'), (select id from obj_building_v where zip||'|'||street||'|'||name||'|'||volume = '9651|Obere Laui 1665|Ferienhaus|509.00'), 'P3', 0, null, 2018,null),</v>
      </c>
    </row>
    <row r="3164" spans="1:8" x14ac:dyDescent="0.25">
      <c r="A3164" s="9" t="s">
        <v>3082</v>
      </c>
      <c r="B3164" s="9" t="s">
        <v>1100</v>
      </c>
      <c r="C3164">
        <v>8</v>
      </c>
      <c r="D3164">
        <v>70</v>
      </c>
      <c r="E3164">
        <v>2018</v>
      </c>
      <c r="F3164" s="9" t="s">
        <v>3085</v>
      </c>
      <c r="H3164" s="20" t="str">
        <f t="shared" si="49"/>
        <v>(nextval('obj_part_id_seq'), (select id from obj_building_v where zip||'|'||street||'|'||name||'|'||volume = '9651|Obere Laui 1665|Ferienhaus|509.00'), 'P4', 8, 70, 2018,'Holz, Balkon mit Holzgeländer'),</v>
      </c>
    </row>
    <row r="3165" spans="1:8" x14ac:dyDescent="0.25">
      <c r="A3165" s="9" t="s">
        <v>3082</v>
      </c>
      <c r="B3165" s="9" t="s">
        <v>1102</v>
      </c>
      <c r="C3165">
        <v>8</v>
      </c>
      <c r="D3165">
        <v>60</v>
      </c>
      <c r="E3165">
        <v>2018</v>
      </c>
      <c r="F3165" s="9" t="s">
        <v>3086</v>
      </c>
      <c r="H3165" s="20" t="str">
        <f t="shared" si="49"/>
        <v>(nextval('obj_part_id_seq'), (select id from obj_building_v where zip||'|'||street||'|'||name||'|'||volume = '9651|Obere Laui 1665|Ferienhaus|509.00'), 'P5', 8, 60, 2018,'Holzfenster mit Isolierverglasung (''3/82) und Holzläden, Holzgewände, Eingangstüre aus Holz'),</v>
      </c>
    </row>
    <row r="3166" spans="1:8" x14ac:dyDescent="0.25">
      <c r="A3166" s="9" t="s">
        <v>3082</v>
      </c>
      <c r="B3166" s="9" t="s">
        <v>1104</v>
      </c>
      <c r="C3166">
        <v>3</v>
      </c>
      <c r="D3166">
        <v>60</v>
      </c>
      <c r="E3166">
        <v>2018</v>
      </c>
      <c r="F3166" s="9" t="s">
        <v>3087</v>
      </c>
      <c r="H3166" s="20" t="str">
        <f t="shared" si="49"/>
        <v>(nextval('obj_part_id_seq'), (select id from obj_building_v where zip||'|'||street||'|'||name||'|'||volume = '9651|Obere Laui 1665|Ferienhaus|509.00'), 'P6', 3, 60, 2018,'Elektrospeicheröfen, Elektroradiator und Cheminéeofen'),</v>
      </c>
    </row>
    <row r="3167" spans="1:8" x14ac:dyDescent="0.25">
      <c r="A3167" s="9" t="s">
        <v>3082</v>
      </c>
      <c r="B3167" s="9" t="s">
        <v>1106</v>
      </c>
      <c r="C3167">
        <v>0</v>
      </c>
      <c r="D3167" t="s">
        <v>4080</v>
      </c>
      <c r="E3167">
        <v>2018</v>
      </c>
      <c r="F3167" s="9"/>
      <c r="H3167" s="20" t="str">
        <f t="shared" si="49"/>
        <v>(nextval('obj_part_id_seq'), (select id from obj_building_v where zip||'|'||street||'|'||name||'|'||volume = '9651|Obere Laui 1665|Ferienhaus|509.00'), 'P7', 0, null, 2018,null),</v>
      </c>
    </row>
    <row r="3168" spans="1:8" x14ac:dyDescent="0.25">
      <c r="A3168" s="9" t="s">
        <v>3082</v>
      </c>
      <c r="B3168" s="9" t="s">
        <v>1108</v>
      </c>
      <c r="C3168">
        <v>6</v>
      </c>
      <c r="D3168">
        <v>60</v>
      </c>
      <c r="E3168">
        <v>2018</v>
      </c>
      <c r="F3168" s="9" t="s">
        <v>3088</v>
      </c>
      <c r="H3168" s="20" t="str">
        <f t="shared" si="49"/>
        <v>(nextval('obj_part_id_seq'), (select id from obj_building_v where zip||'|'||street||'|'||name||'|'||volume = '9651|Obere Laui 1665|Ferienhaus|509.00'), 'P8', 6, 60, 2018,'Apparate original, keine Mischarmaturen, genügender Leitungsdruck, Wasser läuft ungehindert ab'),</v>
      </c>
    </row>
    <row r="3169" spans="1:8" x14ac:dyDescent="0.25">
      <c r="A3169" s="9" t="s">
        <v>3082</v>
      </c>
      <c r="B3169" s="9" t="s">
        <v>1110</v>
      </c>
      <c r="C3169">
        <v>6</v>
      </c>
      <c r="D3169">
        <v>60</v>
      </c>
      <c r="E3169">
        <v>2018</v>
      </c>
      <c r="F3169" s="9" t="s">
        <v>3089</v>
      </c>
      <c r="H3169" s="20" t="str">
        <f t="shared" si="49"/>
        <v>(nextval('obj_part_id_seq'), (select id from obj_building_v where zip||'|'||street||'|'||name||'|'||volume = '9651|Obere Laui 1665|Ferienhaus|509.00'), 'P9', 6, 60, 2018,'Sicherungen ohne FI-Schutzschalter, alte Keramiksicherungen'),</v>
      </c>
    </row>
    <row r="3170" spans="1:8" x14ac:dyDescent="0.25">
      <c r="A3170" s="9" t="s">
        <v>3082</v>
      </c>
      <c r="B3170" s="9" t="s">
        <v>1112</v>
      </c>
      <c r="C3170">
        <v>0</v>
      </c>
      <c r="D3170" t="s">
        <v>4080</v>
      </c>
      <c r="E3170">
        <v>2018</v>
      </c>
      <c r="F3170" s="9"/>
      <c r="H3170" s="20" t="str">
        <f t="shared" si="49"/>
        <v>(nextval('obj_part_id_seq'), (select id from obj_building_v where zip||'|'||street||'|'||name||'|'||volume = '9651|Obere Laui 1665|Ferienhaus|509.00'), 'P10', 0, null, 2018,null),</v>
      </c>
    </row>
    <row r="3171" spans="1:8" x14ac:dyDescent="0.25">
      <c r="A3171" s="9" t="s">
        <v>3082</v>
      </c>
      <c r="B3171" s="9" t="s">
        <v>1114</v>
      </c>
      <c r="C3171">
        <v>27</v>
      </c>
      <c r="D3171">
        <v>70</v>
      </c>
      <c r="E3171">
        <v>2018</v>
      </c>
      <c r="F3171" s="9" t="s">
        <v>3090</v>
      </c>
      <c r="H3171" s="20" t="str">
        <f t="shared" si="49"/>
        <v>(nextval('obj_part_id_seq'), (select id from obj_building_v where zip||'|'||street||'|'||name||'|'||volume = '9651|Obere Laui 1665|Ferienhaus|509.00'), 'P11', 27, 70, 2018,'Küche mit alten Apparaten, Fenster-, Vorhangbretter und Einbauten aus Holz, Innentüren aus Holz, B: Holz, PVC, Teppich W: Holztäfer, Keramik, D: Holztäfer'),</v>
      </c>
    </row>
    <row r="3172" spans="1:8" x14ac:dyDescent="0.25">
      <c r="A3172" s="9" t="s">
        <v>3082</v>
      </c>
      <c r="B3172" s="9" t="s">
        <v>1114</v>
      </c>
      <c r="C3172">
        <v>0</v>
      </c>
      <c r="D3172" t="s">
        <v>4080</v>
      </c>
      <c r="E3172">
        <v>2018</v>
      </c>
      <c r="F3172" s="9"/>
      <c r="H3172" s="20" t="str">
        <f t="shared" si="49"/>
        <v>(nextval('obj_part_id_seq'), (select id from obj_building_v where zip||'|'||street||'|'||name||'|'||volume = '9651|Obere Laui 1665|Ferienhaus|509.00'), 'P11', 0, null, 2018,null),</v>
      </c>
    </row>
    <row r="3173" spans="1:8" x14ac:dyDescent="0.25">
      <c r="A3173" s="9" t="s">
        <v>3082</v>
      </c>
      <c r="B3173" s="9" t="s">
        <v>1116</v>
      </c>
      <c r="C3173">
        <v>0</v>
      </c>
      <c r="D3173" t="s">
        <v>4080</v>
      </c>
      <c r="E3173">
        <v>2018</v>
      </c>
      <c r="F3173" s="9"/>
      <c r="H3173" s="20" t="str">
        <f t="shared" si="49"/>
        <v>(nextval('obj_part_id_seq'), (select id from obj_building_v where zip||'|'||street||'|'||name||'|'||volume = '9651|Obere Laui 1665|Ferienhaus|509.00'), 'P12', 0, null, 2018,null),</v>
      </c>
    </row>
    <row r="3174" spans="1:8" x14ac:dyDescent="0.25">
      <c r="A3174" s="9" t="s">
        <v>3091</v>
      </c>
      <c r="B3174" s="9" t="s">
        <v>1127</v>
      </c>
      <c r="C3174">
        <v>23</v>
      </c>
      <c r="D3174">
        <v>20</v>
      </c>
      <c r="E3174">
        <v>2016</v>
      </c>
      <c r="F3174" s="9"/>
      <c r="H3174" s="20" t="str">
        <f t="shared" si="49"/>
        <v>(nextval('obj_part_id_seq'), (select id from obj_building_v where zip||'|'||street||'|'||name||'|'||volume = '|Teststrasse.|Testgebäude1|1025.00'), 'P48', 23, 20, 2016,null),</v>
      </c>
    </row>
    <row r="3175" spans="1:8" x14ac:dyDescent="0.25">
      <c r="A3175" s="9" t="s">
        <v>3091</v>
      </c>
      <c r="B3175" s="9" t="s">
        <v>1129</v>
      </c>
      <c r="C3175">
        <v>0</v>
      </c>
      <c r="D3175">
        <v>30</v>
      </c>
      <c r="E3175">
        <v>2013</v>
      </c>
      <c r="F3175" s="9"/>
      <c r="H3175" s="20" t="str">
        <f t="shared" si="49"/>
        <v>(nextval('obj_part_id_seq'), (select id from obj_building_v where zip||'|'||street||'|'||name||'|'||volume = '|Teststrasse.|Testgebäude1|1025.00'), 'P49', 0, 30, 2013,null),</v>
      </c>
    </row>
    <row r="3176" spans="1:8" x14ac:dyDescent="0.25">
      <c r="A3176" s="9" t="s">
        <v>3091</v>
      </c>
      <c r="B3176" s="9" t="s">
        <v>1097</v>
      </c>
      <c r="C3176">
        <v>14</v>
      </c>
      <c r="D3176">
        <v>50</v>
      </c>
      <c r="E3176">
        <v>2013</v>
      </c>
      <c r="F3176" s="9"/>
      <c r="H3176" s="20" t="str">
        <f t="shared" si="49"/>
        <v>(nextval('obj_part_id_seq'), (select id from obj_building_v where zip||'|'||street||'|'||name||'|'||volume = '|Teststrasse.|Testgebäude1|1025.00'), 'P2', 14, 50, 2013,null),</v>
      </c>
    </row>
    <row r="3177" spans="1:8" x14ac:dyDescent="0.25">
      <c r="A3177" s="9" t="s">
        <v>3091</v>
      </c>
      <c r="B3177" s="9" t="s">
        <v>1099</v>
      </c>
      <c r="C3177">
        <v>0</v>
      </c>
      <c r="D3177">
        <v>80</v>
      </c>
      <c r="E3177">
        <v>2013</v>
      </c>
      <c r="F3177" s="9"/>
      <c r="H3177" s="20" t="str">
        <f t="shared" si="49"/>
        <v>(nextval('obj_part_id_seq'), (select id from obj_building_v where zip||'|'||street||'|'||name||'|'||volume = '|Teststrasse.|Testgebäude1|1025.00'), 'P3', 0, 80, 2013,null),</v>
      </c>
    </row>
    <row r="3178" spans="1:8" x14ac:dyDescent="0.25">
      <c r="A3178" s="9" t="s">
        <v>3091</v>
      </c>
      <c r="B3178" s="9" t="s">
        <v>1100</v>
      </c>
      <c r="C3178">
        <v>10</v>
      </c>
      <c r="D3178">
        <v>100</v>
      </c>
      <c r="E3178">
        <v>2013</v>
      </c>
      <c r="F3178" s="9"/>
      <c r="H3178" s="20" t="str">
        <f t="shared" si="49"/>
        <v>(nextval('obj_part_id_seq'), (select id from obj_building_v where zip||'|'||street||'|'||name||'|'||volume = '|Teststrasse.|Testgebäude1|1025.00'), 'P4', 10, 100, 2013,null),</v>
      </c>
    </row>
    <row r="3179" spans="1:8" x14ac:dyDescent="0.25">
      <c r="A3179" s="9" t="s">
        <v>3091</v>
      </c>
      <c r="B3179" s="9" t="s">
        <v>1102</v>
      </c>
      <c r="C3179">
        <v>12</v>
      </c>
      <c r="D3179">
        <v>70</v>
      </c>
      <c r="E3179">
        <v>2013</v>
      </c>
      <c r="F3179" s="9"/>
      <c r="H3179" s="20" t="str">
        <f t="shared" si="49"/>
        <v>(nextval('obj_part_id_seq'), (select id from obj_building_v where zip||'|'||street||'|'||name||'|'||volume = '|Teststrasse.|Testgebäude1|1025.00'), 'P5', 12, 70, 2013,null),</v>
      </c>
    </row>
    <row r="3180" spans="1:8" x14ac:dyDescent="0.25">
      <c r="A3180" s="9" t="s">
        <v>3091</v>
      </c>
      <c r="B3180" s="9" t="s">
        <v>1110</v>
      </c>
      <c r="C3180">
        <v>4</v>
      </c>
      <c r="D3180">
        <v>0</v>
      </c>
      <c r="E3180">
        <v>2013</v>
      </c>
      <c r="F3180" s="9"/>
      <c r="H3180" s="20" t="str">
        <f t="shared" si="49"/>
        <v>(nextval('obj_part_id_seq'), (select id from obj_building_v where zip||'|'||street||'|'||name||'|'||volume = '|Teststrasse.|Testgebäude1|1025.00'), 'P9', 4, 0, 2013,null),</v>
      </c>
    </row>
    <row r="3181" spans="1:8" x14ac:dyDescent="0.25">
      <c r="A3181" s="9" t="s">
        <v>3091</v>
      </c>
      <c r="B3181" s="9" t="s">
        <v>1104</v>
      </c>
      <c r="C3181">
        <v>1</v>
      </c>
      <c r="D3181">
        <v>0</v>
      </c>
      <c r="E3181">
        <v>2013</v>
      </c>
      <c r="F3181" s="9"/>
      <c r="H3181" s="20" t="str">
        <f t="shared" si="49"/>
        <v>(nextval('obj_part_id_seq'), (select id from obj_building_v where zip||'|'||street||'|'||name||'|'||volume = '|Teststrasse.|Testgebäude1|1025.00'), 'P6', 1, 0, 2013,null),</v>
      </c>
    </row>
    <row r="3182" spans="1:8" x14ac:dyDescent="0.25">
      <c r="A3182" s="9" t="s">
        <v>3091</v>
      </c>
      <c r="B3182" s="9" t="s">
        <v>1106</v>
      </c>
      <c r="C3182">
        <v>4</v>
      </c>
      <c r="D3182">
        <v>0</v>
      </c>
      <c r="E3182">
        <v>2013</v>
      </c>
      <c r="F3182" s="9"/>
      <c r="H3182" s="20" t="str">
        <f t="shared" si="49"/>
        <v>(nextval('obj_part_id_seq'), (select id from obj_building_v where zip||'|'||street||'|'||name||'|'||volume = '|Teststrasse.|Testgebäude1|1025.00'), 'P7', 4, 0, 2013,null),</v>
      </c>
    </row>
    <row r="3183" spans="1:8" x14ac:dyDescent="0.25">
      <c r="A3183" s="9" t="s">
        <v>3091</v>
      </c>
      <c r="B3183" s="9" t="s">
        <v>1403</v>
      </c>
      <c r="C3183">
        <v>3</v>
      </c>
      <c r="D3183">
        <v>0</v>
      </c>
      <c r="E3183">
        <v>2013</v>
      </c>
      <c r="F3183" s="9"/>
      <c r="H3183" s="20" t="str">
        <f t="shared" si="49"/>
        <v>(nextval('obj_part_id_seq'), (select id from obj_building_v where zip||'|'||street||'|'||name||'|'||volume = '|Teststrasse.|Testgebäude1|1025.00'), 'P52', 3, 0, 2013,null),</v>
      </c>
    </row>
    <row r="3184" spans="1:8" x14ac:dyDescent="0.25">
      <c r="A3184" s="9" t="s">
        <v>3091</v>
      </c>
      <c r="B3184" s="9" t="s">
        <v>1404</v>
      </c>
      <c r="C3184">
        <v>3</v>
      </c>
      <c r="D3184">
        <v>0</v>
      </c>
      <c r="E3184">
        <v>2013</v>
      </c>
      <c r="F3184" s="9"/>
      <c r="H3184" s="20" t="str">
        <f t="shared" si="49"/>
        <v>(nextval('obj_part_id_seq'), (select id from obj_building_v where zip||'|'||street||'|'||name||'|'||volume = '|Teststrasse.|Testgebäude1|1025.00'), 'P53', 3, 0, 2013,null),</v>
      </c>
    </row>
    <row r="3185" spans="1:8" x14ac:dyDescent="0.25">
      <c r="A3185" s="9" t="s">
        <v>3091</v>
      </c>
      <c r="B3185" s="9" t="s">
        <v>1108</v>
      </c>
      <c r="C3185">
        <v>5</v>
      </c>
      <c r="D3185">
        <v>0</v>
      </c>
      <c r="E3185">
        <v>2013</v>
      </c>
      <c r="F3185" s="9"/>
      <c r="H3185" s="20" t="str">
        <f t="shared" si="49"/>
        <v>(nextval('obj_part_id_seq'), (select id from obj_building_v where zip||'|'||street||'|'||name||'|'||volume = '|Teststrasse.|Testgebäude1|1025.00'), 'P8', 5, 0, 2013,null),</v>
      </c>
    </row>
    <row r="3186" spans="1:8" x14ac:dyDescent="0.25">
      <c r="A3186" s="9" t="s">
        <v>3091</v>
      </c>
      <c r="B3186" s="9" t="s">
        <v>1138</v>
      </c>
      <c r="C3186">
        <v>11</v>
      </c>
      <c r="D3186">
        <v>0</v>
      </c>
      <c r="E3186">
        <v>2013</v>
      </c>
      <c r="F3186" s="9"/>
      <c r="H3186" s="20" t="str">
        <f t="shared" si="49"/>
        <v>(nextval('obj_part_id_seq'), (select id from obj_building_v where zip||'|'||street||'|'||name||'|'||volume = '|Teststrasse.|Testgebäude1|1025.00'), 'P57', 11, 0, 2013,null),</v>
      </c>
    </row>
    <row r="3187" spans="1:8" x14ac:dyDescent="0.25">
      <c r="A3187" s="9" t="s">
        <v>3091</v>
      </c>
      <c r="B3187" s="9" t="s">
        <v>1140</v>
      </c>
      <c r="C3187">
        <v>4</v>
      </c>
      <c r="D3187">
        <v>0</v>
      </c>
      <c r="E3187">
        <v>2013</v>
      </c>
      <c r="F3187" s="9"/>
      <c r="H3187" s="20" t="str">
        <f t="shared" si="49"/>
        <v>(nextval('obj_part_id_seq'), (select id from obj_building_v where zip||'|'||street||'|'||name||'|'||volume = '|Teststrasse.|Testgebäude1|1025.00'), 'P58', 4, 0, 2013,null),</v>
      </c>
    </row>
    <row r="3188" spans="1:8" x14ac:dyDescent="0.25">
      <c r="A3188" s="9" t="s">
        <v>3091</v>
      </c>
      <c r="B3188" s="9" t="s">
        <v>1157</v>
      </c>
      <c r="C3188">
        <v>6</v>
      </c>
      <c r="D3188">
        <v>0</v>
      </c>
      <c r="E3188">
        <v>2013</v>
      </c>
      <c r="F3188" s="9"/>
      <c r="H3188" s="20" t="str">
        <f t="shared" si="49"/>
        <v>(nextval('obj_part_id_seq'), (select id from obj_building_v where zip||'|'||street||'|'||name||'|'||volume = '|Teststrasse.|Testgebäude1|1025.00'), 'P59', 6, 0, 2013,null),</v>
      </c>
    </row>
    <row r="3189" spans="1:8" x14ac:dyDescent="0.25">
      <c r="A3189" s="9" t="s">
        <v>3091</v>
      </c>
      <c r="B3189" s="9" t="s">
        <v>1142</v>
      </c>
      <c r="C3189">
        <v>0</v>
      </c>
      <c r="D3189" t="s">
        <v>4080</v>
      </c>
      <c r="E3189">
        <v>2013</v>
      </c>
      <c r="F3189" s="9"/>
      <c r="H3189" s="20" t="str">
        <f t="shared" si="49"/>
        <v>(nextval('obj_part_id_seq'), (select id from obj_building_v where zip||'|'||street||'|'||name||'|'||volume = '|Teststrasse.|Testgebäude1|1025.00'), 'P60', 0, null, 2013,null),</v>
      </c>
    </row>
    <row r="3190" spans="1:8" x14ac:dyDescent="0.25">
      <c r="A3190" s="9" t="s">
        <v>3091</v>
      </c>
      <c r="B3190" s="9" t="s">
        <v>1143</v>
      </c>
      <c r="C3190">
        <v>0</v>
      </c>
      <c r="D3190" t="s">
        <v>4080</v>
      </c>
      <c r="E3190">
        <v>2013</v>
      </c>
      <c r="F3190" s="9"/>
      <c r="H3190" s="20" t="str">
        <f t="shared" si="49"/>
        <v>(nextval('obj_part_id_seq'), (select id from obj_building_v where zip||'|'||street||'|'||name||'|'||volume = '|Teststrasse.|Testgebäude1|1025.00'), 'P61', 0, null, 2013,null),</v>
      </c>
    </row>
    <row r="3191" spans="1:8" x14ac:dyDescent="0.25">
      <c r="A3191" s="9" t="s">
        <v>3091</v>
      </c>
      <c r="B3191" s="9" t="s">
        <v>1144</v>
      </c>
      <c r="C3191">
        <v>0</v>
      </c>
      <c r="D3191" t="s">
        <v>4080</v>
      </c>
      <c r="E3191">
        <v>2013</v>
      </c>
      <c r="F3191" s="9"/>
      <c r="H3191" s="20" t="str">
        <f t="shared" si="49"/>
        <v>(nextval('obj_part_id_seq'), (select id from obj_building_v where zip||'|'||street||'|'||name||'|'||volume = '|Teststrasse.|Testgebäude1|1025.00'), 'P62', 0, null, 2013,null),</v>
      </c>
    </row>
    <row r="3192" spans="1:8" x14ac:dyDescent="0.25">
      <c r="A3192" s="9" t="s">
        <v>3092</v>
      </c>
      <c r="B3192" s="9" t="s">
        <v>1127</v>
      </c>
      <c r="C3192">
        <v>51</v>
      </c>
      <c r="D3192">
        <v>90</v>
      </c>
      <c r="E3192">
        <v>2012</v>
      </c>
      <c r="F3192" s="9" t="s">
        <v>1192</v>
      </c>
      <c r="H3192" s="20" t="str">
        <f t="shared" si="49"/>
        <v>(nextval('obj_part_id_seq'), (select id from obj_building_v where zip||'|'||street||'|'||name||'|'||volume = '3033|Schulgasse 14a|Garage (Nebengebäude)|145.00'), 'P48', 51, 90, 2012,'Stahlbeton'),</v>
      </c>
    </row>
    <row r="3193" spans="1:8" x14ac:dyDescent="0.25">
      <c r="A3193" s="9" t="s">
        <v>3092</v>
      </c>
      <c r="B3193" s="9" t="s">
        <v>1129</v>
      </c>
      <c r="C3193">
        <v>0</v>
      </c>
      <c r="D3193" t="s">
        <v>4080</v>
      </c>
      <c r="E3193">
        <v>2012</v>
      </c>
      <c r="F3193" s="9"/>
      <c r="H3193" s="20" t="str">
        <f t="shared" si="49"/>
        <v>(nextval('obj_part_id_seq'), (select id from obj_building_v where zip||'|'||street||'|'||name||'|'||volume = '3033|Schulgasse 14a|Garage (Nebengebäude)|145.00'), 'P49', 0, null, 2012,null),</v>
      </c>
    </row>
    <row r="3194" spans="1:8" x14ac:dyDescent="0.25">
      <c r="A3194" s="9" t="s">
        <v>3092</v>
      </c>
      <c r="B3194" s="9" t="s">
        <v>1097</v>
      </c>
      <c r="C3194">
        <v>0</v>
      </c>
      <c r="D3194" t="s">
        <v>4080</v>
      </c>
      <c r="E3194">
        <v>2012</v>
      </c>
      <c r="F3194" s="9"/>
      <c r="H3194" s="20" t="str">
        <f t="shared" si="49"/>
        <v>(nextval('obj_part_id_seq'), (select id from obj_building_v where zip||'|'||street||'|'||name||'|'||volume = '3033|Schulgasse 14a|Garage (Nebengebäude)|145.00'), 'P2', 0, null, 2012,null),</v>
      </c>
    </row>
    <row r="3195" spans="1:8" x14ac:dyDescent="0.25">
      <c r="A3195" s="9" t="s">
        <v>3092</v>
      </c>
      <c r="B3195" s="9" t="s">
        <v>1099</v>
      </c>
      <c r="C3195">
        <v>21</v>
      </c>
      <c r="D3195">
        <v>70</v>
      </c>
      <c r="E3195">
        <v>2012</v>
      </c>
      <c r="F3195" s="9" t="s">
        <v>3093</v>
      </c>
      <c r="H3195" s="20" t="str">
        <f t="shared" si="49"/>
        <v>(nextval('obj_part_id_seq'), (select id from obj_building_v where zip||'|'||street||'|'||name||'|'||volume = '3033|Schulgasse 14a|Garage (Nebengebäude)|145.00'), 'P3', 21, 70, 2012,'Bitumen (Nacktdach)'),</v>
      </c>
    </row>
    <row r="3196" spans="1:8" x14ac:dyDescent="0.25">
      <c r="A3196" s="9" t="s">
        <v>3092</v>
      </c>
      <c r="B3196" s="9" t="s">
        <v>1100</v>
      </c>
      <c r="C3196">
        <v>18</v>
      </c>
      <c r="D3196">
        <v>90</v>
      </c>
      <c r="E3196">
        <v>2012</v>
      </c>
      <c r="F3196" s="9" t="s">
        <v>3094</v>
      </c>
      <c r="H3196" s="20" t="str">
        <f t="shared" si="49"/>
        <v>(nextval('obj_part_id_seq'), (select id from obj_building_v where zip||'|'||street||'|'||name||'|'||volume = '3033|Schulgasse 14a|Garage (Nebengebäude)|145.00'), 'P4', 18, 90, 2012,'Sichtbeton, gestr.'),</v>
      </c>
    </row>
    <row r="3197" spans="1:8" x14ac:dyDescent="0.25">
      <c r="A3197" s="9" t="s">
        <v>3092</v>
      </c>
      <c r="B3197" s="9" t="s">
        <v>1102</v>
      </c>
      <c r="C3197">
        <v>4</v>
      </c>
      <c r="D3197">
        <v>80</v>
      </c>
      <c r="E3197">
        <v>2012</v>
      </c>
      <c r="F3197" s="9" t="s">
        <v>3095</v>
      </c>
      <c r="H3197" s="20" t="str">
        <f t="shared" si="49"/>
        <v>(nextval('obj_part_id_seq'), (select id from obj_building_v where zip||'|'||street||'|'||name||'|'||volume = '3033|Schulgasse 14a|Garage (Nebengebäude)|145.00'), 'P5', 4, 80, 2012,'Garagentor'),</v>
      </c>
    </row>
    <row r="3198" spans="1:8" x14ac:dyDescent="0.25">
      <c r="A3198" s="9" t="s">
        <v>3092</v>
      </c>
      <c r="B3198" s="9" t="s">
        <v>1164</v>
      </c>
      <c r="C3198">
        <v>6</v>
      </c>
      <c r="D3198">
        <v>90</v>
      </c>
      <c r="E3198">
        <v>2012</v>
      </c>
      <c r="F3198" s="9"/>
      <c r="H3198" s="20" t="str">
        <f t="shared" si="49"/>
        <v>(nextval('obj_part_id_seq'), (select id from obj_building_v where zip||'|'||street||'|'||name||'|'||volume = '3033|Schulgasse 14a|Garage (Nebengebäude)|145.00'), 'P50', 6, 90, 2012,null),</v>
      </c>
    </row>
    <row r="3199" spans="1:8" x14ac:dyDescent="0.25">
      <c r="A3199" s="9" t="s">
        <v>3092</v>
      </c>
      <c r="B3199" s="9" t="s">
        <v>1166</v>
      </c>
      <c r="C3199">
        <v>0</v>
      </c>
      <c r="D3199" t="s">
        <v>4080</v>
      </c>
      <c r="E3199">
        <v>2012</v>
      </c>
      <c r="F3199" s="9"/>
      <c r="H3199" s="20" t="str">
        <f t="shared" si="49"/>
        <v>(nextval('obj_part_id_seq'), (select id from obj_building_v where zip||'|'||street||'|'||name||'|'||volume = '3033|Schulgasse 14a|Garage (Nebengebäude)|145.00'), 'P51', 0, null, 2012,null),</v>
      </c>
    </row>
    <row r="3200" spans="1:8" x14ac:dyDescent="0.25">
      <c r="A3200" s="9" t="s">
        <v>3092</v>
      </c>
      <c r="B3200" s="9" t="s">
        <v>1104</v>
      </c>
      <c r="C3200">
        <v>0</v>
      </c>
      <c r="D3200" t="s">
        <v>4080</v>
      </c>
      <c r="E3200">
        <v>2012</v>
      </c>
      <c r="F3200" s="9"/>
      <c r="H3200" s="20" t="str">
        <f t="shared" si="49"/>
        <v>(nextval('obj_part_id_seq'), (select id from obj_building_v where zip||'|'||street||'|'||name||'|'||volume = '3033|Schulgasse 14a|Garage (Nebengebäude)|145.00'), 'P6', 0, null, 2012,null),</v>
      </c>
    </row>
    <row r="3201" spans="1:8" x14ac:dyDescent="0.25">
      <c r="A3201" s="9" t="s">
        <v>3092</v>
      </c>
      <c r="B3201" s="9" t="s">
        <v>1106</v>
      </c>
      <c r="C3201">
        <v>0</v>
      </c>
      <c r="D3201" t="s">
        <v>4080</v>
      </c>
      <c r="E3201">
        <v>2012</v>
      </c>
      <c r="F3201" s="9"/>
      <c r="H3201" s="20" t="str">
        <f t="shared" si="49"/>
        <v>(nextval('obj_part_id_seq'), (select id from obj_building_v where zip||'|'||street||'|'||name||'|'||volume = '3033|Schulgasse 14a|Garage (Nebengebäude)|145.00'), 'P7', 0, null, 2012,null),</v>
      </c>
    </row>
    <row r="3202" spans="1:8" x14ac:dyDescent="0.25">
      <c r="A3202" s="9" t="s">
        <v>3092</v>
      </c>
      <c r="B3202" s="9" t="s">
        <v>1108</v>
      </c>
      <c r="C3202">
        <v>0</v>
      </c>
      <c r="D3202" t="s">
        <v>4080</v>
      </c>
      <c r="E3202">
        <v>2012</v>
      </c>
      <c r="F3202" s="9"/>
      <c r="H3202" s="20" t="str">
        <f t="shared" si="49"/>
        <v>(nextval('obj_part_id_seq'), (select id from obj_building_v where zip||'|'||street||'|'||name||'|'||volume = '3033|Schulgasse 14a|Garage (Nebengebäude)|145.00'), 'P8', 0, null, 2012,null),</v>
      </c>
    </row>
    <row r="3203" spans="1:8" x14ac:dyDescent="0.25">
      <c r="A3203" s="9" t="s">
        <v>3092</v>
      </c>
      <c r="B3203" s="9" t="s">
        <v>1138</v>
      </c>
      <c r="C3203">
        <v>0</v>
      </c>
      <c r="D3203" t="s">
        <v>4080</v>
      </c>
      <c r="E3203">
        <v>2012</v>
      </c>
      <c r="F3203" s="9"/>
      <c r="H3203" s="20" t="str">
        <f t="shared" si="49"/>
        <v>(nextval('obj_part_id_seq'), (select id from obj_building_v where zip||'|'||street||'|'||name||'|'||volume = '3033|Schulgasse 14a|Garage (Nebengebäude)|145.00'), 'P57', 0, null, 2012,null),</v>
      </c>
    </row>
    <row r="3204" spans="1:8" x14ac:dyDescent="0.25">
      <c r="A3204" s="9" t="s">
        <v>3092</v>
      </c>
      <c r="B3204" s="9" t="s">
        <v>1140</v>
      </c>
      <c r="C3204">
        <v>0</v>
      </c>
      <c r="D3204" t="s">
        <v>4080</v>
      </c>
      <c r="E3204">
        <v>2012</v>
      </c>
      <c r="F3204" s="9"/>
      <c r="H3204" s="20" t="str">
        <f t="shared" si="49"/>
        <v>(nextval('obj_part_id_seq'), (select id from obj_building_v where zip||'|'||street||'|'||name||'|'||volume = '3033|Schulgasse 14a|Garage (Nebengebäude)|145.00'), 'P58', 0, null, 2012,null),</v>
      </c>
    </row>
    <row r="3205" spans="1:8" x14ac:dyDescent="0.25">
      <c r="A3205" s="9" t="s">
        <v>3092</v>
      </c>
      <c r="B3205" s="9" t="s">
        <v>1142</v>
      </c>
      <c r="C3205">
        <v>0</v>
      </c>
      <c r="D3205" t="s">
        <v>4080</v>
      </c>
      <c r="E3205">
        <v>2012</v>
      </c>
      <c r="F3205" s="9"/>
      <c r="H3205" s="20" t="str">
        <f t="shared" ref="H3205:H3268" si="50">"(nextval('obj_part_id_seq'), (select id from obj_building_v where zip||'|'||street||'|'||name||'|'||volume = '"&amp;A3205&amp;"'), '"&amp;B3205&amp;"', "&amp;C3205&amp;", "&amp;D3205&amp;", "&amp;IF(ISBLANK(E3205),"null",E3205)&amp;","&amp;IF(ISBLANK(F3205),"null","'"&amp;F3205&amp;"'")&amp;"),"</f>
        <v>(nextval('obj_part_id_seq'), (select id from obj_building_v where zip||'|'||street||'|'||name||'|'||volume = '3033|Schulgasse 14a|Garage (Nebengebäude)|145.00'), 'P60', 0, null, 2012,null),</v>
      </c>
    </row>
    <row r="3206" spans="1:8" x14ac:dyDescent="0.25">
      <c r="A3206" s="9" t="s">
        <v>3092</v>
      </c>
      <c r="B3206" s="9" t="s">
        <v>1143</v>
      </c>
      <c r="C3206">
        <v>0</v>
      </c>
      <c r="D3206" t="s">
        <v>4080</v>
      </c>
      <c r="E3206">
        <v>2012</v>
      </c>
      <c r="F3206" s="9"/>
      <c r="H3206" s="20" t="str">
        <f t="shared" si="50"/>
        <v>(nextval('obj_part_id_seq'), (select id from obj_building_v where zip||'|'||street||'|'||name||'|'||volume = '3033|Schulgasse 14a|Garage (Nebengebäude)|145.00'), 'P61', 0, null, 2012,null),</v>
      </c>
    </row>
    <row r="3207" spans="1:8" x14ac:dyDescent="0.25">
      <c r="A3207" s="9" t="s">
        <v>3092</v>
      </c>
      <c r="B3207" s="9" t="s">
        <v>1144</v>
      </c>
      <c r="C3207">
        <v>0</v>
      </c>
      <c r="D3207" t="s">
        <v>4080</v>
      </c>
      <c r="E3207">
        <v>2012</v>
      </c>
      <c r="F3207" s="9"/>
      <c r="H3207" s="20" t="str">
        <f t="shared" si="50"/>
        <v>(nextval('obj_part_id_seq'), (select id from obj_building_v where zip||'|'||street||'|'||name||'|'||volume = '3033|Schulgasse 14a|Garage (Nebengebäude)|145.00'), 'P62', 0, null, 2012,null),</v>
      </c>
    </row>
    <row r="3208" spans="1:8" x14ac:dyDescent="0.25">
      <c r="A3208" s="9" t="s">
        <v>3096</v>
      </c>
      <c r="B3208" s="9" t="s">
        <v>1127</v>
      </c>
      <c r="C3208">
        <v>39</v>
      </c>
      <c r="D3208">
        <v>90</v>
      </c>
      <c r="E3208">
        <v>2012</v>
      </c>
      <c r="F3208" s="9" t="s">
        <v>3097</v>
      </c>
      <c r="H3208" s="20" t="str">
        <f t="shared" si="50"/>
        <v>(nextval('obj_part_id_seq'), (select id from obj_building_v where zip||'|'||street||'|'||name||'|'||volume = '3034|Murzelenstrasse 84|Turnhalle|4608.00'), 'P48', 39, 90, 2012,'Stahlbeton, -stützen, -träger'),</v>
      </c>
    </row>
    <row r="3209" spans="1:8" x14ac:dyDescent="0.25">
      <c r="A3209" s="9" t="s">
        <v>3096</v>
      </c>
      <c r="B3209" s="9" t="s">
        <v>1129</v>
      </c>
      <c r="C3209">
        <v>0</v>
      </c>
      <c r="D3209" t="s">
        <v>4080</v>
      </c>
      <c r="E3209">
        <v>2012</v>
      </c>
      <c r="F3209" s="9"/>
      <c r="H3209" s="20" t="str">
        <f t="shared" si="50"/>
        <v>(nextval('obj_part_id_seq'), (select id from obj_building_v where zip||'|'||street||'|'||name||'|'||volume = '3034|Murzelenstrasse 84|Turnhalle|4608.00'), 'P49', 0, null, 2012,null),</v>
      </c>
    </row>
    <row r="3210" spans="1:8" x14ac:dyDescent="0.25">
      <c r="A3210" s="9" t="s">
        <v>3096</v>
      </c>
      <c r="B3210" s="9" t="s">
        <v>1097</v>
      </c>
      <c r="C3210">
        <v>8</v>
      </c>
      <c r="D3210">
        <v>80</v>
      </c>
      <c r="E3210">
        <v>2012</v>
      </c>
      <c r="F3210" s="9" t="s">
        <v>3098</v>
      </c>
      <c r="H3210" s="20" t="str">
        <f t="shared" si="50"/>
        <v>(nextval('obj_part_id_seq'), (select id from obj_building_v where zip||'|'||street||'|'||name||'|'||volume = '3034|Murzelenstrasse 84|Turnhalle|4608.00'), 'P2', 8, 80, 2012,'Welleternit'),</v>
      </c>
    </row>
    <row r="3211" spans="1:8" x14ac:dyDescent="0.25">
      <c r="A3211" s="9" t="s">
        <v>3096</v>
      </c>
      <c r="B3211" s="9" t="s">
        <v>1099</v>
      </c>
      <c r="C3211">
        <v>0</v>
      </c>
      <c r="D3211" t="s">
        <v>4080</v>
      </c>
      <c r="E3211">
        <v>2012</v>
      </c>
      <c r="F3211" s="9"/>
      <c r="H3211" s="20" t="str">
        <f t="shared" si="50"/>
        <v>(nextval('obj_part_id_seq'), (select id from obj_building_v where zip||'|'||street||'|'||name||'|'||volume = '3034|Murzelenstrasse 84|Turnhalle|4608.00'), 'P3', 0, null, 2012,null),</v>
      </c>
    </row>
    <row r="3212" spans="1:8" x14ac:dyDescent="0.25">
      <c r="A3212" s="9" t="s">
        <v>3096</v>
      </c>
      <c r="B3212" s="9" t="s">
        <v>1100</v>
      </c>
      <c r="C3212">
        <v>6</v>
      </c>
      <c r="D3212">
        <v>90</v>
      </c>
      <c r="E3212">
        <v>2012</v>
      </c>
      <c r="F3212" s="9" t="s">
        <v>3099</v>
      </c>
      <c r="H3212" s="20" t="str">
        <f t="shared" si="50"/>
        <v>(nextval('obj_part_id_seq'), (select id from obj_building_v where zip||'|'||street||'|'||name||'|'||volume = '3034|Murzelenstrasse 84|Turnhalle|4608.00'), 'P4', 6, 90, 2012,'Mauerwerk, verputzt, Welleternit'),</v>
      </c>
    </row>
    <row r="3213" spans="1:8" x14ac:dyDescent="0.25">
      <c r="A3213" s="9" t="s">
        <v>3096</v>
      </c>
      <c r="B3213" s="9" t="s">
        <v>1102</v>
      </c>
      <c r="C3213">
        <v>12</v>
      </c>
      <c r="D3213">
        <v>50</v>
      </c>
      <c r="E3213">
        <v>2012</v>
      </c>
      <c r="F3213" s="9" t="s">
        <v>3100</v>
      </c>
      <c r="H3213" s="20" t="str">
        <f t="shared" si="50"/>
        <v>(nextval('obj_part_id_seq'), (select id from obj_building_v where zip||'|'||street||'|'||name||'|'||volume = '3034|Murzelenstrasse 84|Turnhalle|4608.00'), 'P5', 12, 50, 2012,'Metallfenster, Holzf. in Gard./WC, Windfang: Gläser ''78'),</v>
      </c>
    </row>
    <row r="3214" spans="1:8" x14ac:dyDescent="0.25">
      <c r="A3214" s="9" t="s">
        <v>3096</v>
      </c>
      <c r="B3214" s="9" t="s">
        <v>1164</v>
      </c>
      <c r="C3214">
        <v>6</v>
      </c>
      <c r="D3214">
        <v>70</v>
      </c>
      <c r="E3214">
        <v>2012</v>
      </c>
      <c r="F3214" s="9" t="s">
        <v>3101</v>
      </c>
      <c r="H3214" s="20" t="str">
        <f t="shared" si="50"/>
        <v>(nextval('obj_part_id_seq'), (select id from obj_building_v where zip||'|'||street||'|'||name||'|'||volume = '3034|Murzelenstrasse 84|Turnhalle|4608.00'), 'P50', 6, 70, 2012,'Beleuchtung alt, Notbeleuchtung, alte Sicherungen'),</v>
      </c>
    </row>
    <row r="3215" spans="1:8" x14ac:dyDescent="0.25">
      <c r="A3215" s="9" t="s">
        <v>3096</v>
      </c>
      <c r="B3215" s="9" t="s">
        <v>1166</v>
      </c>
      <c r="C3215">
        <v>1</v>
      </c>
      <c r="D3215">
        <v>90</v>
      </c>
      <c r="E3215">
        <v>2012</v>
      </c>
      <c r="F3215" s="9" t="s">
        <v>3102</v>
      </c>
      <c r="H3215" s="20" t="str">
        <f t="shared" si="50"/>
        <v>(nextval('obj_part_id_seq'), (select id from obj_building_v where zip||'|'||street||'|'||name||'|'||volume = '3034|Murzelenstrasse 84|Turnhalle|4608.00'), 'P51', 1, 90, 2012,'Uhr, LS-Anlage'),</v>
      </c>
    </row>
    <row r="3216" spans="1:8" x14ac:dyDescent="0.25">
      <c r="A3216" s="9" t="s">
        <v>3096</v>
      </c>
      <c r="B3216" s="9" t="s">
        <v>1104</v>
      </c>
      <c r="C3216">
        <v>2</v>
      </c>
      <c r="D3216">
        <v>75</v>
      </c>
      <c r="E3216">
        <v>2012</v>
      </c>
      <c r="F3216" s="9" t="s">
        <v>3103</v>
      </c>
      <c r="H3216" s="20" t="str">
        <f t="shared" si="50"/>
        <v>(nextval('obj_part_id_seq'), (select id from obj_building_v where zip||'|'||street||'|'||name||'|'||volume = '3034|Murzelenstrasse 84|Turnhalle|4608.00'), 'P6', 2, 75, 2012,'Holzschnitzelfeuerung ''09'),</v>
      </c>
    </row>
    <row r="3217" spans="1:8" x14ac:dyDescent="0.25">
      <c r="A3217" s="9" t="s">
        <v>3096</v>
      </c>
      <c r="B3217" s="9" t="s">
        <v>1106</v>
      </c>
      <c r="C3217">
        <v>3</v>
      </c>
      <c r="D3217">
        <v>75</v>
      </c>
      <c r="E3217">
        <v>2012</v>
      </c>
      <c r="F3217" s="9" t="s">
        <v>3104</v>
      </c>
      <c r="H3217" s="20" t="str">
        <f t="shared" si="50"/>
        <v>(nextval('obj_part_id_seq'), (select id from obj_building_v where zip||'|'||street||'|'||name||'|'||volume = '3034|Murzelenstrasse 84|Turnhalle|4608.00'), 'P7', 3, 75, 2012,'Lüftungsheizung (alt), Radiatoren m. Thermostaten'),</v>
      </c>
    </row>
    <row r="3218" spans="1:8" x14ac:dyDescent="0.25">
      <c r="A3218" s="9" t="s">
        <v>3096</v>
      </c>
      <c r="B3218" s="9" t="s">
        <v>1108</v>
      </c>
      <c r="C3218">
        <v>4</v>
      </c>
      <c r="D3218">
        <v>70</v>
      </c>
      <c r="E3218">
        <v>2012</v>
      </c>
      <c r="F3218" s="9" t="s">
        <v>3105</v>
      </c>
      <c r="H3218" s="20" t="str">
        <f t="shared" si="50"/>
        <v>(nextval('obj_part_id_seq'), (select id from obj_building_v where zip||'|'||street||'|'||name||'|'||volume = '3034|Murzelenstrasse 84|Turnhalle|4608.00'), 'P8', 4, 70, 2012,'Abwasserschacht unter Treppe schadhaft -&gt; rep. im ''13, Leitungen tw. rostig'),</v>
      </c>
    </row>
    <row r="3219" spans="1:8" x14ac:dyDescent="0.25">
      <c r="A3219" s="9" t="s">
        <v>3096</v>
      </c>
      <c r="B3219" s="9" t="s">
        <v>1138</v>
      </c>
      <c r="C3219">
        <v>11</v>
      </c>
      <c r="D3219">
        <v>90</v>
      </c>
      <c r="E3219">
        <v>2012</v>
      </c>
      <c r="F3219" s="9" t="s">
        <v>3106</v>
      </c>
      <c r="H3219" s="20" t="str">
        <f t="shared" si="50"/>
        <v>(nextval('obj_part_id_seq'), (select id from obj_building_v where zip||'|'||street||'|'||name||'|'||volume = '3034|Murzelenstrasse 84|Turnhalle|4608.00'), 'P57', 11, 90, 2012,'Tore Geräteraum neu, Garderobenschränke'),</v>
      </c>
    </row>
    <row r="3220" spans="1:8" x14ac:dyDescent="0.25">
      <c r="A3220" s="9" t="s">
        <v>3096</v>
      </c>
      <c r="B3220" s="9" t="s">
        <v>1140</v>
      </c>
      <c r="C3220">
        <v>8</v>
      </c>
      <c r="D3220">
        <v>80</v>
      </c>
      <c r="E3220">
        <v>2012</v>
      </c>
      <c r="F3220" s="9" t="s">
        <v>3107</v>
      </c>
      <c r="H3220" s="20" t="str">
        <f t="shared" si="50"/>
        <v>(nextval('obj_part_id_seq'), (select id from obj_building_v where zip||'|'||street||'|'||name||'|'||volume = '3034|Murzelenstrasse 84|Turnhalle|4608.00'), 'P58', 8, 80, 2012,'B: Hallenboden intakt, Gumminoppenbel., Teppichschleuse, Logop.: Teppich W: Putz, Keramik in WC, Putz in Logop. D: Täfer, Metalldecke, Pavatexpl. gestr.'),</v>
      </c>
    </row>
    <row r="3221" spans="1:8" x14ac:dyDescent="0.25">
      <c r="A3221" s="9" t="s">
        <v>3096</v>
      </c>
      <c r="B3221" s="9" t="s">
        <v>1142</v>
      </c>
      <c r="C3221">
        <v>0</v>
      </c>
      <c r="D3221" t="s">
        <v>4080</v>
      </c>
      <c r="E3221">
        <v>2012</v>
      </c>
      <c r="F3221" s="9"/>
      <c r="H3221" s="20" t="str">
        <f t="shared" si="50"/>
        <v>(nextval('obj_part_id_seq'), (select id from obj_building_v where zip||'|'||street||'|'||name||'|'||volume = '3034|Murzelenstrasse 84|Turnhalle|4608.00'), 'P60', 0, null, 2012,null),</v>
      </c>
    </row>
    <row r="3222" spans="1:8" x14ac:dyDescent="0.25">
      <c r="A3222" s="9" t="s">
        <v>3096</v>
      </c>
      <c r="B3222" s="9" t="s">
        <v>1143</v>
      </c>
      <c r="C3222">
        <v>0</v>
      </c>
      <c r="D3222" t="s">
        <v>4080</v>
      </c>
      <c r="E3222">
        <v>2012</v>
      </c>
      <c r="F3222" s="9"/>
      <c r="H3222" s="20" t="str">
        <f t="shared" si="50"/>
        <v>(nextval('obj_part_id_seq'), (select id from obj_building_v where zip||'|'||street||'|'||name||'|'||volume = '3034|Murzelenstrasse 84|Turnhalle|4608.00'), 'P61', 0, null, 2012,null),</v>
      </c>
    </row>
    <row r="3223" spans="1:8" x14ac:dyDescent="0.25">
      <c r="A3223" s="9" t="s">
        <v>3096</v>
      </c>
      <c r="B3223" s="9" t="s">
        <v>1144</v>
      </c>
      <c r="C3223">
        <v>0</v>
      </c>
      <c r="D3223" t="s">
        <v>4080</v>
      </c>
      <c r="E3223">
        <v>2012</v>
      </c>
      <c r="F3223" s="9"/>
      <c r="H3223" s="20" t="str">
        <f t="shared" si="50"/>
        <v>(nextval('obj_part_id_seq'), (select id from obj_building_v where zip||'|'||street||'|'||name||'|'||volume = '3034|Murzelenstrasse 84|Turnhalle|4608.00'), 'P62', 0, null, 2012,null),</v>
      </c>
    </row>
    <row r="3224" spans="1:8" x14ac:dyDescent="0.25">
      <c r="A3224" s="9" t="s">
        <v>3108</v>
      </c>
      <c r="B3224" s="9" t="s">
        <v>1127</v>
      </c>
      <c r="C3224">
        <v>34</v>
      </c>
      <c r="D3224">
        <v>90</v>
      </c>
      <c r="E3224">
        <v>2019</v>
      </c>
      <c r="F3224" s="9" t="s">
        <v>3109</v>
      </c>
      <c r="H3224" s="20" t="str">
        <f t="shared" si="50"/>
        <v>(nextval('obj_part_id_seq'), (select id from obj_building_v where zip||'|'||street||'|'||name||'|'||volume = '4303|Dorfstrasse 18|Turnhalle Dorf|6792.00'), 'P48', 34, 90, 2019,'Stahlbeton, KS-Mauerwerk, Brettschichträger in Halle'),</v>
      </c>
    </row>
    <row r="3225" spans="1:8" x14ac:dyDescent="0.25">
      <c r="A3225" s="9" t="s">
        <v>3108</v>
      </c>
      <c r="B3225" s="9" t="s">
        <v>1129</v>
      </c>
      <c r="C3225">
        <v>0</v>
      </c>
      <c r="D3225" t="s">
        <v>4080</v>
      </c>
      <c r="E3225">
        <v>2019</v>
      </c>
      <c r="F3225" s="9"/>
      <c r="H3225" s="20" t="str">
        <f t="shared" si="50"/>
        <v>(nextval('obj_part_id_seq'), (select id from obj_building_v where zip||'|'||street||'|'||name||'|'||volume = '4303|Dorfstrasse 18|Turnhalle Dorf|6792.00'), 'P49', 0, null, 2019,null),</v>
      </c>
    </row>
    <row r="3226" spans="1:8" x14ac:dyDescent="0.25">
      <c r="A3226" s="9" t="s">
        <v>3108</v>
      </c>
      <c r="B3226" s="9" t="s">
        <v>1097</v>
      </c>
      <c r="C3226">
        <v>11</v>
      </c>
      <c r="D3226">
        <v>85</v>
      </c>
      <c r="E3226">
        <v>2019</v>
      </c>
      <c r="F3226" s="9" t="s">
        <v>3110</v>
      </c>
      <c r="H3226" s="20" t="str">
        <f t="shared" si="50"/>
        <v>(nextval('obj_part_id_seq'), (select id from obj_building_v where zip||'|'||street||'|'||name||'|'||volume = '4303|Dorfstrasse 18|Turnhalle Dorf|6792.00'), 'P2', 11, 85, 2019,'Ziegeldach (in Anschuss an Flachdach undicht), Dachflächenfenster: Spuren von Kondenswasser an Rahmen vorh.'),</v>
      </c>
    </row>
    <row r="3227" spans="1:8" x14ac:dyDescent="0.25">
      <c r="A3227" s="9" t="s">
        <v>3108</v>
      </c>
      <c r="B3227" s="9" t="s">
        <v>1099</v>
      </c>
      <c r="C3227">
        <v>2</v>
      </c>
      <c r="D3227">
        <v>90</v>
      </c>
      <c r="E3227">
        <v>2019</v>
      </c>
      <c r="F3227" s="9" t="s">
        <v>3111</v>
      </c>
      <c r="H3227" s="20" t="str">
        <f t="shared" si="50"/>
        <v>(nextval('obj_part_id_seq'), (select id from obj_building_v where zip||'|'||street||'|'||name||'|'||volume = '4303|Dorfstrasse 18|Turnhalle Dorf|6792.00'), 'P3', 2, 90, 2019,'Kiesdach bei Verbindungsbau'),</v>
      </c>
    </row>
    <row r="3228" spans="1:8" x14ac:dyDescent="0.25">
      <c r="A3228" s="9" t="s">
        <v>3108</v>
      </c>
      <c r="B3228" s="9" t="s">
        <v>1100</v>
      </c>
      <c r="C3228">
        <v>6</v>
      </c>
      <c r="D3228">
        <v>85</v>
      </c>
      <c r="E3228">
        <v>2019</v>
      </c>
      <c r="F3228" s="9" t="s">
        <v>3112</v>
      </c>
      <c r="H3228" s="20" t="str">
        <f t="shared" si="50"/>
        <v>(nextval('obj_part_id_seq'), (select id from obj_building_v where zip||'|'||street||'|'||name||'|'||volume = '4303|Dorfstrasse 18|Turnhalle Dorf|6792.00'), 'P4', 6, 85, 2019,'Aussenwärmedämmung'),</v>
      </c>
    </row>
    <row r="3229" spans="1:8" x14ac:dyDescent="0.25">
      <c r="A3229" s="9" t="s">
        <v>3108</v>
      </c>
      <c r="B3229" s="9" t="s">
        <v>1102</v>
      </c>
      <c r="C3229">
        <v>8</v>
      </c>
      <c r="D3229">
        <v>80</v>
      </c>
      <c r="E3229">
        <v>2019</v>
      </c>
      <c r="F3229" s="9" t="s">
        <v>3113</v>
      </c>
      <c r="H3229" s="20" t="str">
        <f t="shared" si="50"/>
        <v>(nextval('obj_part_id_seq'), (select id from obj_building_v where zip||'|'||street||'|'||name||'|'||volume = '4303|Dorfstrasse 18|Turnhalle Dorf|6792.00'), 'P5', 8, 80, 2019,'Holz-Metall ''85 IV (dicht), Eingangstüre aus Holz; alt, undicht'),</v>
      </c>
    </row>
    <row r="3230" spans="1:8" x14ac:dyDescent="0.25">
      <c r="A3230" s="9" t="s">
        <v>3108</v>
      </c>
      <c r="B3230" s="9" t="s">
        <v>1110</v>
      </c>
      <c r="C3230">
        <v>5</v>
      </c>
      <c r="D3230">
        <v>80</v>
      </c>
      <c r="E3230">
        <v>2019</v>
      </c>
      <c r="F3230" s="9" t="s">
        <v>3114</v>
      </c>
      <c r="H3230" s="20" t="str">
        <f t="shared" si="50"/>
        <v>(nextval('obj_part_id_seq'), (select id from obj_building_v where zip||'|'||street||'|'||name||'|'||volume = '4303|Dorfstrasse 18|Turnhalle Dorf|6792.00'), 'P9', 5, 80, 2019,'tw. Fl-Schalter vorhanden, tw. noch alte Keramiksicherungen, Bühnentechnik alt (tw. erneuert)'),</v>
      </c>
    </row>
    <row r="3231" spans="1:8" x14ac:dyDescent="0.25">
      <c r="A3231" s="9" t="s">
        <v>3108</v>
      </c>
      <c r="B3231" s="9" t="s">
        <v>1104</v>
      </c>
      <c r="C3231">
        <v>1</v>
      </c>
      <c r="D3231">
        <v>90</v>
      </c>
      <c r="E3231">
        <v>2019</v>
      </c>
      <c r="F3231" s="9" t="s">
        <v>3115</v>
      </c>
      <c r="H3231" s="20" t="str">
        <f t="shared" si="50"/>
        <v>(nextval('obj_part_id_seq'), (select id from obj_building_v where zip||'|'||street||'|'||name||'|'||volume = '4303|Dorfstrasse 18|Turnhalle Dorf|6792.00'), 'P6', 1, 90, 2019,'Fernwärme ohne Plattentauscher, Boiler'),</v>
      </c>
    </row>
    <row r="3232" spans="1:8" x14ac:dyDescent="0.25">
      <c r="A3232" s="9" t="s">
        <v>3108</v>
      </c>
      <c r="B3232" s="9" t="s">
        <v>1106</v>
      </c>
      <c r="C3232">
        <v>3</v>
      </c>
      <c r="D3232">
        <v>85</v>
      </c>
      <c r="E3232">
        <v>2019</v>
      </c>
      <c r="F3232" s="9" t="s">
        <v>3116</v>
      </c>
      <c r="H3232" s="20" t="str">
        <f t="shared" si="50"/>
        <v>(nextval('obj_part_id_seq'), (select id from obj_building_v where zip||'|'||street||'|'||name||'|'||volume = '4303|Dorfstrasse 18|Turnhalle Dorf|6792.00'), 'P7', 3, 85, 2019,'Radiatoren, meist ohne Thermostaten, Pumpen älter, aber funktionstüchtig'),</v>
      </c>
    </row>
    <row r="3233" spans="1:8" x14ac:dyDescent="0.25">
      <c r="A3233" s="9" t="s">
        <v>3108</v>
      </c>
      <c r="B3233" s="9" t="s">
        <v>1403</v>
      </c>
      <c r="C3233">
        <v>2</v>
      </c>
      <c r="D3233">
        <v>85</v>
      </c>
      <c r="E3233">
        <v>2019</v>
      </c>
      <c r="F3233" s="9" t="s">
        <v>3117</v>
      </c>
      <c r="H3233" s="20" t="str">
        <f t="shared" si="50"/>
        <v>(nextval('obj_part_id_seq'), (select id from obj_building_v where zip||'|'||street||'|'||name||'|'||volume = '4303|Dorfstrasse 18|Turnhalle Dorf|6792.00'), 'P52', 2, 85, 2019,'Hallenlüftung, orig. mit WRG, Garderoben- und WC Lüftung'),</v>
      </c>
    </row>
    <row r="3234" spans="1:8" x14ac:dyDescent="0.25">
      <c r="A3234" s="9" t="s">
        <v>3108</v>
      </c>
      <c r="B3234" s="9" t="s">
        <v>1404</v>
      </c>
      <c r="C3234">
        <v>2</v>
      </c>
      <c r="D3234">
        <v>85</v>
      </c>
      <c r="E3234">
        <v>2019</v>
      </c>
      <c r="F3234" s="9" t="s">
        <v>3117</v>
      </c>
      <c r="H3234" s="20" t="str">
        <f t="shared" si="50"/>
        <v>(nextval('obj_part_id_seq'), (select id from obj_building_v where zip||'|'||street||'|'||name||'|'||volume = '4303|Dorfstrasse 18|Turnhalle Dorf|6792.00'), 'P53', 2, 85, 2019,'Hallenlüftung, orig. mit WRG, Garderoben- und WC Lüftung'),</v>
      </c>
    </row>
    <row r="3235" spans="1:8" x14ac:dyDescent="0.25">
      <c r="A3235" s="9" t="s">
        <v>3108</v>
      </c>
      <c r="B3235" s="9" t="s">
        <v>1135</v>
      </c>
      <c r="C3235">
        <v>2</v>
      </c>
      <c r="D3235">
        <v>85</v>
      </c>
      <c r="E3235">
        <v>2019</v>
      </c>
      <c r="F3235" s="9" t="s">
        <v>3118</v>
      </c>
      <c r="H3235" s="20" t="str">
        <f t="shared" si="50"/>
        <v>(nextval('obj_part_id_seq'), (select id from obj_building_v where zip||'|'||street||'|'||name||'|'||volume = '4303|Dorfstrasse 18|Turnhalle Dorf|6792.00'), 'P54', 2, 85, 2019,'alte Apparate, aber funktionstüchtig'),</v>
      </c>
    </row>
    <row r="3236" spans="1:8" x14ac:dyDescent="0.25">
      <c r="A3236" s="9" t="s">
        <v>3108</v>
      </c>
      <c r="B3236" s="9" t="s">
        <v>1137</v>
      </c>
      <c r="C3236">
        <v>3</v>
      </c>
      <c r="D3236">
        <v>85</v>
      </c>
      <c r="E3236">
        <v>2019</v>
      </c>
      <c r="F3236" s="9" t="s">
        <v>3119</v>
      </c>
      <c r="H3236" s="20" t="str">
        <f t="shared" si="50"/>
        <v>(nextval('obj_part_id_seq'), (select id from obj_building_v where zip||'|'||street||'|'||name||'|'||volume = '4303|Dorfstrasse 18|Turnhalle Dorf|6792.00'), 'P55', 3, 85, 2019,'genügender Druck vorhanden, Wasser kann ungehindert ablaufen'),</v>
      </c>
    </row>
    <row r="3237" spans="1:8" x14ac:dyDescent="0.25">
      <c r="A3237" s="9" t="s">
        <v>3108</v>
      </c>
      <c r="B3237" s="9" t="s">
        <v>1138</v>
      </c>
      <c r="C3237">
        <v>10</v>
      </c>
      <c r="D3237">
        <v>80</v>
      </c>
      <c r="E3237">
        <v>2019</v>
      </c>
      <c r="F3237" s="9" t="s">
        <v>3120</v>
      </c>
      <c r="H3237" s="20" t="str">
        <f t="shared" si="50"/>
        <v>(nextval('obj_part_id_seq'), (select id from obj_building_v where zip||'|'||street||'|'||name||'|'||volume = '4303|Dorfstrasse 18|Turnhalle Dorf|6792.00'), 'P57', 10, 80, 2019,'Industrieküche tw. neu, Sprossenwand etc., Wandtafeln und Bühne'),</v>
      </c>
    </row>
    <row r="3238" spans="1:8" x14ac:dyDescent="0.25">
      <c r="A3238" s="9" t="s">
        <v>3108</v>
      </c>
      <c r="B3238" s="9" t="s">
        <v>1140</v>
      </c>
      <c r="C3238">
        <v>11</v>
      </c>
      <c r="D3238">
        <v>85</v>
      </c>
      <c r="E3238">
        <v>2019</v>
      </c>
      <c r="F3238" s="9" t="s">
        <v>3121</v>
      </c>
      <c r="H3238" s="20" t="str">
        <f t="shared" si="50"/>
        <v>(nextval('obj_part_id_seq'), (select id from obj_building_v where zip||'|'||street||'|'||name||'|'||volume = '4303|Dorfstrasse 18|Turnhalle Dorf|6792.00'), 'P58', 11, 85, 2019,'Boden: TH-Boden i.O., PVC, Gang: Kunstst.pl., Garderobe: Keramikpl., Linol, Wand: Putz, Keramikpl., Decke: Abrieb, Anstrich, Holztäfer, Akustikdecken'),</v>
      </c>
    </row>
    <row r="3239" spans="1:8" x14ac:dyDescent="0.25">
      <c r="A3239" s="9" t="s">
        <v>3108</v>
      </c>
      <c r="B3239" s="9" t="s">
        <v>1142</v>
      </c>
      <c r="C3239">
        <v>0</v>
      </c>
      <c r="D3239" t="s">
        <v>4080</v>
      </c>
      <c r="E3239">
        <v>2019</v>
      </c>
      <c r="F3239" s="9"/>
      <c r="H3239" s="20" t="str">
        <f t="shared" si="50"/>
        <v>(nextval('obj_part_id_seq'), (select id from obj_building_v where zip||'|'||street||'|'||name||'|'||volume = '4303|Dorfstrasse 18|Turnhalle Dorf|6792.00'), 'P60', 0, null, 2019,null),</v>
      </c>
    </row>
    <row r="3240" spans="1:8" x14ac:dyDescent="0.25">
      <c r="A3240" s="9" t="s">
        <v>3108</v>
      </c>
      <c r="B3240" s="9" t="s">
        <v>1143</v>
      </c>
      <c r="C3240">
        <v>0</v>
      </c>
      <c r="D3240" t="s">
        <v>4080</v>
      </c>
      <c r="E3240">
        <v>2019</v>
      </c>
      <c r="F3240" s="9"/>
      <c r="H3240" s="20" t="str">
        <f t="shared" si="50"/>
        <v>(nextval('obj_part_id_seq'), (select id from obj_building_v where zip||'|'||street||'|'||name||'|'||volume = '4303|Dorfstrasse 18|Turnhalle Dorf|6792.00'), 'P61', 0, null, 2019,null),</v>
      </c>
    </row>
    <row r="3241" spans="1:8" x14ac:dyDescent="0.25">
      <c r="A3241" s="9" t="s">
        <v>3108</v>
      </c>
      <c r="B3241" s="9" t="s">
        <v>1144</v>
      </c>
      <c r="C3241">
        <v>0</v>
      </c>
      <c r="D3241" t="s">
        <v>4080</v>
      </c>
      <c r="E3241">
        <v>2019</v>
      </c>
      <c r="F3241" s="9"/>
      <c r="H3241" s="20" t="str">
        <f t="shared" si="50"/>
        <v>(nextval('obj_part_id_seq'), (select id from obj_building_v where zip||'|'||street||'|'||name||'|'||volume = '4303|Dorfstrasse 18|Turnhalle Dorf|6792.00'), 'P62', 0, null, 2019,null),</v>
      </c>
    </row>
    <row r="3242" spans="1:8" x14ac:dyDescent="0.25">
      <c r="A3242" s="9" t="s">
        <v>3122</v>
      </c>
      <c r="B3242" s="9" t="s">
        <v>1127</v>
      </c>
      <c r="C3242">
        <v>36</v>
      </c>
      <c r="D3242">
        <v>85</v>
      </c>
      <c r="E3242">
        <v>2019</v>
      </c>
      <c r="F3242" s="9" t="s">
        <v>3123</v>
      </c>
      <c r="H3242" s="20" t="str">
        <f t="shared" si="50"/>
        <v>(nextval('obj_part_id_seq'), (select id from obj_building_v where zip||'|'||street||'|'||name||'|'||volume = '4303|Dorfstrasse 20|Schulhaus Dorf inkl. Blockheizkraftwerk|4875.00'), 'P48', 36, 85, 2019,'Mauerwerk, Hourdisdecken, mögl.w. noch tw. Holzdecken'),</v>
      </c>
    </row>
    <row r="3243" spans="1:8" x14ac:dyDescent="0.25">
      <c r="A3243" s="9" t="s">
        <v>3122</v>
      </c>
      <c r="B3243" s="9" t="s">
        <v>1129</v>
      </c>
      <c r="C3243">
        <v>0</v>
      </c>
      <c r="D3243" t="s">
        <v>4080</v>
      </c>
      <c r="E3243">
        <v>2019</v>
      </c>
      <c r="F3243" s="9"/>
      <c r="H3243" s="20" t="str">
        <f t="shared" si="50"/>
        <v>(nextval('obj_part_id_seq'), (select id from obj_building_v where zip||'|'||street||'|'||name||'|'||volume = '4303|Dorfstrasse 20|Schulhaus Dorf inkl. Blockheizkraftwerk|4875.00'), 'P49', 0, null, 2019,null),</v>
      </c>
    </row>
    <row r="3244" spans="1:8" x14ac:dyDescent="0.25">
      <c r="A3244" s="9" t="s">
        <v>3122</v>
      </c>
      <c r="B3244" s="9" t="s">
        <v>1097</v>
      </c>
      <c r="C3244">
        <v>8</v>
      </c>
      <c r="D3244">
        <v>90</v>
      </c>
      <c r="E3244">
        <v>2019</v>
      </c>
      <c r="F3244" s="9" t="s">
        <v>1907</v>
      </c>
      <c r="H3244" s="20" t="str">
        <f t="shared" si="50"/>
        <v>(nextval('obj_part_id_seq'), (select id from obj_building_v where zip||'|'||street||'|'||name||'|'||volume = '4303|Dorfstrasse 20|Schulhaus Dorf inkl. Blockheizkraftwerk|4875.00'), 'P2', 8, 90, 2019,'Ziegeleindeckung'),</v>
      </c>
    </row>
    <row r="3245" spans="1:8" x14ac:dyDescent="0.25">
      <c r="A3245" s="9" t="s">
        <v>3122</v>
      </c>
      <c r="B3245" s="9" t="s">
        <v>1099</v>
      </c>
      <c r="C3245">
        <v>0</v>
      </c>
      <c r="D3245" t="s">
        <v>4080</v>
      </c>
      <c r="E3245">
        <v>2019</v>
      </c>
      <c r="F3245" s="9"/>
      <c r="H3245" s="20" t="str">
        <f t="shared" si="50"/>
        <v>(nextval('obj_part_id_seq'), (select id from obj_building_v where zip||'|'||street||'|'||name||'|'||volume = '4303|Dorfstrasse 20|Schulhaus Dorf inkl. Blockheizkraftwerk|4875.00'), 'P3', 0, null, 2019,null),</v>
      </c>
    </row>
    <row r="3246" spans="1:8" x14ac:dyDescent="0.25">
      <c r="A3246" s="9" t="s">
        <v>3122</v>
      </c>
      <c r="B3246" s="9" t="s">
        <v>1100</v>
      </c>
      <c r="C3246">
        <v>7</v>
      </c>
      <c r="D3246">
        <v>90</v>
      </c>
      <c r="E3246">
        <v>2019</v>
      </c>
      <c r="F3246" s="9" t="s">
        <v>3124</v>
      </c>
      <c r="H3246" s="20" t="str">
        <f t="shared" si="50"/>
        <v>(nextval('obj_part_id_seq'), (select id from obj_building_v where zip||'|'||street||'|'||name||'|'||volume = '4303|Dorfstrasse 20|Schulhaus Dorf inkl. Blockheizkraftwerk|4875.00'), 'P4', 7, 90, 2019,'Mauerwerk, verputzt, Kunstst.gewände'),</v>
      </c>
    </row>
    <row r="3247" spans="1:8" x14ac:dyDescent="0.25">
      <c r="A3247" s="9" t="s">
        <v>3122</v>
      </c>
      <c r="B3247" s="9" t="s">
        <v>1102</v>
      </c>
      <c r="C3247">
        <v>10</v>
      </c>
      <c r="D3247">
        <v>85</v>
      </c>
      <c r="E3247">
        <v>2019</v>
      </c>
      <c r="F3247" s="9" t="s">
        <v>3125</v>
      </c>
      <c r="H3247" s="20" t="str">
        <f t="shared" si="50"/>
        <v>(nextval('obj_part_id_seq'), (select id from obj_building_v where zip||'|'||street||'|'||name||'|'||volume = '4303|Dorfstrasse 20|Schulhaus Dorf inkl. Blockheizkraftwerk|4875.00'), 'P5', 10, 85, 2019,'Holz IV, Aussentüre aus Holz mit Beistössen'),</v>
      </c>
    </row>
    <row r="3248" spans="1:8" x14ac:dyDescent="0.25">
      <c r="A3248" s="9" t="s">
        <v>3122</v>
      </c>
      <c r="B3248" s="9" t="s">
        <v>1164</v>
      </c>
      <c r="C3248">
        <v>6</v>
      </c>
      <c r="D3248">
        <v>90</v>
      </c>
      <c r="E3248">
        <v>2019</v>
      </c>
      <c r="F3248" s="9" t="s">
        <v>3126</v>
      </c>
      <c r="H3248" s="20" t="str">
        <f t="shared" si="50"/>
        <v>(nextval('obj_part_id_seq'), (select id from obj_building_v where zip||'|'||street||'|'||name||'|'||volume = '4303|Dorfstrasse 20|Schulhaus Dorf inkl. Blockheizkraftwerk|4875.00'), 'P50', 6, 90, 2019,'FI-Schalter vorhanden'),</v>
      </c>
    </row>
    <row r="3249" spans="1:8" x14ac:dyDescent="0.25">
      <c r="A3249" s="9" t="s">
        <v>3122</v>
      </c>
      <c r="B3249" s="9" t="s">
        <v>1166</v>
      </c>
      <c r="C3249">
        <v>1</v>
      </c>
      <c r="D3249">
        <v>90</v>
      </c>
      <c r="E3249">
        <v>2019</v>
      </c>
      <c r="F3249" s="9" t="s">
        <v>3127</v>
      </c>
      <c r="H3249" s="20" t="str">
        <f t="shared" si="50"/>
        <v>(nextval('obj_part_id_seq'), (select id from obj_building_v where zip||'|'||street||'|'||name||'|'||volume = '4303|Dorfstrasse 20|Schulhaus Dorf inkl. Blockheizkraftwerk|4875.00'), 'P51', 1, 90, 2019,'EDV-Verkabelung, Gaswarnanlage'),</v>
      </c>
    </row>
    <row r="3250" spans="1:8" x14ac:dyDescent="0.25">
      <c r="A3250" s="9" t="s">
        <v>3122</v>
      </c>
      <c r="B3250" s="9" t="s">
        <v>1104</v>
      </c>
      <c r="C3250">
        <v>6</v>
      </c>
      <c r="D3250">
        <v>80</v>
      </c>
      <c r="E3250">
        <v>2019</v>
      </c>
      <c r="F3250" s="9" t="s">
        <v>3128</v>
      </c>
      <c r="H3250" s="20" t="str">
        <f t="shared" si="50"/>
        <v>(nextval('obj_part_id_seq'), (select id from obj_building_v where zip||'|'||street||'|'||name||'|'||volume = '4303|Dorfstrasse 20|Schulhaus Dorf inkl. Blockheizkraftwerk|4875.00'), 'P6', 6, 80, 2019,'Gasheizung Avesco 97.9 kW therm. Leist., Bj. 2009 und Ygnis-Gastherme'),</v>
      </c>
    </row>
    <row r="3251" spans="1:8" x14ac:dyDescent="0.25">
      <c r="A3251" s="9" t="s">
        <v>3122</v>
      </c>
      <c r="B3251" s="9" t="s">
        <v>1106</v>
      </c>
      <c r="C3251">
        <v>3</v>
      </c>
      <c r="D3251">
        <v>90</v>
      </c>
      <c r="E3251">
        <v>2019</v>
      </c>
      <c r="F3251" s="9" t="s">
        <v>1107</v>
      </c>
      <c r="H3251" s="20" t="str">
        <f t="shared" si="50"/>
        <v>(nextval('obj_part_id_seq'), (select id from obj_building_v where zip||'|'||street||'|'||name||'|'||volume = '4303|Dorfstrasse 20|Schulhaus Dorf inkl. Blockheizkraftwerk|4875.00'), 'P7', 3, 90, 2019,'Radiatoren mit Thermostaten'),</v>
      </c>
    </row>
    <row r="3252" spans="1:8" x14ac:dyDescent="0.25">
      <c r="A3252" s="9" t="s">
        <v>3122</v>
      </c>
      <c r="B3252" s="9" t="s">
        <v>1108</v>
      </c>
      <c r="C3252">
        <v>4</v>
      </c>
      <c r="D3252">
        <v>90</v>
      </c>
      <c r="E3252">
        <v>2019</v>
      </c>
      <c r="F3252" s="9" t="s">
        <v>3129</v>
      </c>
      <c r="H3252" s="20" t="str">
        <f t="shared" si="50"/>
        <v>(nextval('obj_part_id_seq'), (select id from obj_building_v where zip||'|'||street||'|'||name||'|'||volume = '4303|Dorfstrasse 20|Schulhaus Dorf inkl. Blockheizkraftwerk|4875.00'), 'P8', 4, 90, 2019,'Apparate: alt, aber i.O., genügender Druck vorh., keine Mängel bekannt'),</v>
      </c>
    </row>
    <row r="3253" spans="1:8" x14ac:dyDescent="0.25">
      <c r="A3253" s="9" t="s">
        <v>3122</v>
      </c>
      <c r="B3253" s="9" t="s">
        <v>1138</v>
      </c>
      <c r="C3253">
        <v>11</v>
      </c>
      <c r="D3253">
        <v>85</v>
      </c>
      <c r="E3253">
        <v>2019</v>
      </c>
      <c r="F3253" s="9" t="s">
        <v>3130</v>
      </c>
      <c r="H3253" s="20" t="str">
        <f t="shared" si="50"/>
        <v>(nextval('obj_part_id_seq'), (select id from obj_building_v where zip||'|'||street||'|'||name||'|'||volume = '4303|Dorfstrasse 20|Schulhaus Dorf inkl. Blockheizkraftwerk|4875.00'), 'P57', 11, 85, 2019,'Wandschränke, Garderoben, Teeküchen mit Backofen, Innentüren aus Holz'),</v>
      </c>
    </row>
    <row r="3254" spans="1:8" x14ac:dyDescent="0.25">
      <c r="A3254" s="9" t="s">
        <v>3122</v>
      </c>
      <c r="B3254" s="9" t="s">
        <v>1140</v>
      </c>
      <c r="C3254">
        <v>8</v>
      </c>
      <c r="D3254">
        <v>90</v>
      </c>
      <c r="E3254">
        <v>2019</v>
      </c>
      <c r="F3254" s="9" t="s">
        <v>3131</v>
      </c>
      <c r="H3254" s="20" t="str">
        <f t="shared" si="50"/>
        <v>(nextval('obj_part_id_seq'), (select id from obj_building_v where zip||'|'||street||'|'||name||'|'||volume = '4303|Dorfstrasse 20|Schulhaus Dorf inkl. Blockheizkraftwerk|4875.00'), 'P58', 8, 90, 2019,'Boden: Kunststein, Parkett, Klinker, Linol, Wand: Putz, Keramik, Decken:Täfer, Abtrieb, Täfer, Holzwerkstoffpl., Pressspanpl.'),</v>
      </c>
    </row>
    <row r="3255" spans="1:8" x14ac:dyDescent="0.25">
      <c r="A3255" s="9" t="s">
        <v>3122</v>
      </c>
      <c r="B3255" s="9" t="s">
        <v>1142</v>
      </c>
      <c r="C3255">
        <v>0</v>
      </c>
      <c r="D3255" t="s">
        <v>4080</v>
      </c>
      <c r="E3255">
        <v>2019</v>
      </c>
      <c r="F3255" s="9"/>
      <c r="H3255" s="20" t="str">
        <f t="shared" si="50"/>
        <v>(nextval('obj_part_id_seq'), (select id from obj_building_v where zip||'|'||street||'|'||name||'|'||volume = '4303|Dorfstrasse 20|Schulhaus Dorf inkl. Blockheizkraftwerk|4875.00'), 'P60', 0, null, 2019,null),</v>
      </c>
    </row>
    <row r="3256" spans="1:8" x14ac:dyDescent="0.25">
      <c r="A3256" s="9" t="s">
        <v>3122</v>
      </c>
      <c r="B3256" s="9" t="s">
        <v>1143</v>
      </c>
      <c r="C3256">
        <v>0</v>
      </c>
      <c r="D3256" t="s">
        <v>4080</v>
      </c>
      <c r="E3256">
        <v>2019</v>
      </c>
      <c r="F3256" s="9"/>
      <c r="H3256" s="20" t="str">
        <f t="shared" si="50"/>
        <v>(nextval('obj_part_id_seq'), (select id from obj_building_v where zip||'|'||street||'|'||name||'|'||volume = '4303|Dorfstrasse 20|Schulhaus Dorf inkl. Blockheizkraftwerk|4875.00'), 'P61', 0, null, 2019,null),</v>
      </c>
    </row>
    <row r="3257" spans="1:8" x14ac:dyDescent="0.25">
      <c r="A3257" s="9" t="s">
        <v>3122</v>
      </c>
      <c r="B3257" s="9" t="s">
        <v>1144</v>
      </c>
      <c r="C3257">
        <v>0</v>
      </c>
      <c r="D3257" t="s">
        <v>4080</v>
      </c>
      <c r="E3257">
        <v>2019</v>
      </c>
      <c r="F3257" s="9"/>
      <c r="H3257" s="20" t="str">
        <f t="shared" si="50"/>
        <v>(nextval('obj_part_id_seq'), (select id from obj_building_v where zip||'|'||street||'|'||name||'|'||volume = '4303|Dorfstrasse 20|Schulhaus Dorf inkl. Blockheizkraftwerk|4875.00'), 'P62', 0, null, 2019,null),</v>
      </c>
    </row>
    <row r="3258" spans="1:8" x14ac:dyDescent="0.25">
      <c r="A3258" s="9" t="s">
        <v>3132</v>
      </c>
      <c r="B3258" s="9" t="s">
        <v>1127</v>
      </c>
      <c r="C3258">
        <v>63</v>
      </c>
      <c r="D3258">
        <v>90</v>
      </c>
      <c r="E3258">
        <v>2019</v>
      </c>
      <c r="F3258" s="9" t="s">
        <v>3133</v>
      </c>
      <c r="H3258" s="20" t="str">
        <f t="shared" si="50"/>
        <v>(nextval('obj_part_id_seq'), (select id from obj_building_v where zip||'|'||street||'|'||name||'|'||volume = '4303|Kastellstrasse 3|Löwenparking|6907.00'), 'P48', 63, 90, 2019,'Stahlbeton, Wassereintritt bei Dilatationsfuge'),</v>
      </c>
    </row>
    <row r="3259" spans="1:8" x14ac:dyDescent="0.25">
      <c r="A3259" s="9" t="s">
        <v>3132</v>
      </c>
      <c r="B3259" s="9" t="s">
        <v>1129</v>
      </c>
      <c r="C3259">
        <v>0</v>
      </c>
      <c r="D3259" t="s">
        <v>4080</v>
      </c>
      <c r="E3259">
        <v>2019</v>
      </c>
      <c r="F3259" s="9"/>
      <c r="H3259" s="20" t="str">
        <f t="shared" si="50"/>
        <v>(nextval('obj_part_id_seq'), (select id from obj_building_v where zip||'|'||street||'|'||name||'|'||volume = '4303|Kastellstrasse 3|Löwenparking|6907.00'), 'P49', 0, null, 2019,null),</v>
      </c>
    </row>
    <row r="3260" spans="1:8" x14ac:dyDescent="0.25">
      <c r="A3260" s="9" t="s">
        <v>3132</v>
      </c>
      <c r="B3260" s="9" t="s">
        <v>1099</v>
      </c>
      <c r="C3260">
        <v>18</v>
      </c>
      <c r="D3260">
        <v>90</v>
      </c>
      <c r="E3260">
        <v>2019</v>
      </c>
      <c r="F3260" s="9" t="s">
        <v>3134</v>
      </c>
      <c r="H3260" s="20" t="str">
        <f t="shared" si="50"/>
        <v>(nextval('obj_part_id_seq'), (select id from obj_building_v where zip||'|'||street||'|'||name||'|'||volume = '4303|Kastellstrasse 3|Löwenparking|6907.00'), 'P3', 18, 90, 2019,'mit Biotop, rest. Asphalt, tw. eingefärbt, tw. Fallschutzplatten, tw. Rasen'),</v>
      </c>
    </row>
    <row r="3261" spans="1:8" x14ac:dyDescent="0.25">
      <c r="A3261" s="9" t="s">
        <v>3132</v>
      </c>
      <c r="B3261" s="9" t="s">
        <v>1100</v>
      </c>
      <c r="C3261">
        <v>2</v>
      </c>
      <c r="D3261">
        <v>90</v>
      </c>
      <c r="E3261">
        <v>2019</v>
      </c>
      <c r="F3261" s="9" t="s">
        <v>1698</v>
      </c>
      <c r="H3261" s="20" t="str">
        <f t="shared" si="50"/>
        <v>(nextval('obj_part_id_seq'), (select id from obj_building_v where zip||'|'||street||'|'||name||'|'||volume = '4303|Kastellstrasse 3|Löwenparking|6907.00'), 'P4', 2, 90, 2019,'Sichtbeton'),</v>
      </c>
    </row>
    <row r="3262" spans="1:8" x14ac:dyDescent="0.25">
      <c r="A3262" s="9" t="s">
        <v>3132</v>
      </c>
      <c r="B3262" s="9" t="s">
        <v>1102</v>
      </c>
      <c r="C3262">
        <v>2</v>
      </c>
      <c r="D3262">
        <v>90</v>
      </c>
      <c r="E3262">
        <v>2019</v>
      </c>
      <c r="F3262" s="9" t="s">
        <v>3135</v>
      </c>
      <c r="H3262" s="20" t="str">
        <f t="shared" si="50"/>
        <v>(nextval('obj_part_id_seq'), (select id from obj_building_v where zip||'|'||street||'|'||name||'|'||volume = '4303|Kastellstrasse 3|Löwenparking|6907.00'), 'P5', 2, 90, 2019,'Tore + Türe, Fenster Metall, Einscheibenglas'),</v>
      </c>
    </row>
    <row r="3263" spans="1:8" x14ac:dyDescent="0.25">
      <c r="A3263" s="9" t="s">
        <v>3132</v>
      </c>
      <c r="B3263" s="9" t="s">
        <v>1164</v>
      </c>
      <c r="C3263">
        <v>3</v>
      </c>
      <c r="D3263">
        <v>90</v>
      </c>
      <c r="E3263">
        <v>2019</v>
      </c>
      <c r="F3263" s="9" t="s">
        <v>3136</v>
      </c>
      <c r="H3263" s="20" t="str">
        <f t="shared" si="50"/>
        <v>(nextval('obj_part_id_seq'), (select id from obj_building_v where zip||'|'||street||'|'||name||'|'||volume = '4303|Kastellstrasse 3|Löwenparking|6907.00'), 'P50', 3, 90, 2019,'Garagenbeleuchtung'),</v>
      </c>
    </row>
    <row r="3264" spans="1:8" x14ac:dyDescent="0.25">
      <c r="A3264" s="9" t="s">
        <v>3132</v>
      </c>
      <c r="B3264" s="9" t="s">
        <v>1166</v>
      </c>
      <c r="C3264">
        <v>3</v>
      </c>
      <c r="D3264">
        <v>90</v>
      </c>
      <c r="E3264">
        <v>2019</v>
      </c>
      <c r="F3264" s="9" t="s">
        <v>3137</v>
      </c>
      <c r="H3264" s="20" t="str">
        <f t="shared" si="50"/>
        <v>(nextval('obj_part_id_seq'), (select id from obj_building_v where zip||'|'||street||'|'||name||'|'||volume = '4303|Kastellstrasse 3|Löwenparking|6907.00'), 'P51', 3, 90, 2019,'Videoüberwachung, Gasmelder, Torsteuerung'),</v>
      </c>
    </row>
    <row r="3265" spans="1:8" x14ac:dyDescent="0.25">
      <c r="A3265" s="9" t="s">
        <v>3132</v>
      </c>
      <c r="B3265" s="9" t="s">
        <v>1403</v>
      </c>
      <c r="C3265">
        <v>1</v>
      </c>
      <c r="D3265">
        <v>90</v>
      </c>
      <c r="E3265">
        <v>2019</v>
      </c>
      <c r="F3265" s="9" t="s">
        <v>3138</v>
      </c>
      <c r="H3265" s="20" t="str">
        <f t="shared" si="50"/>
        <v>(nextval('obj_part_id_seq'), (select id from obj_building_v where zip||'|'||street||'|'||name||'|'||volume = '4303|Kastellstrasse 3|Löwenparking|6907.00'), 'P52', 1, 90, 2019,'Lüftungsanlage'),</v>
      </c>
    </row>
    <row r="3266" spans="1:8" x14ac:dyDescent="0.25">
      <c r="A3266" s="9" t="s">
        <v>3132</v>
      </c>
      <c r="B3266" s="9" t="s">
        <v>1404</v>
      </c>
      <c r="C3266">
        <v>1</v>
      </c>
      <c r="D3266">
        <v>90</v>
      </c>
      <c r="E3266">
        <v>2019</v>
      </c>
      <c r="F3266" s="9" t="s">
        <v>3138</v>
      </c>
      <c r="H3266" s="20" t="str">
        <f t="shared" si="50"/>
        <v>(nextval('obj_part_id_seq'), (select id from obj_building_v where zip||'|'||street||'|'||name||'|'||volume = '4303|Kastellstrasse 3|Löwenparking|6907.00'), 'P53', 1, 90, 2019,'Lüftungsanlage'),</v>
      </c>
    </row>
    <row r="3267" spans="1:8" x14ac:dyDescent="0.25">
      <c r="A3267" s="9" t="s">
        <v>3132</v>
      </c>
      <c r="B3267" s="9" t="s">
        <v>1108</v>
      </c>
      <c r="C3267">
        <v>1</v>
      </c>
      <c r="D3267">
        <v>90</v>
      </c>
      <c r="E3267">
        <v>2019</v>
      </c>
      <c r="F3267" s="9" t="s">
        <v>3139</v>
      </c>
      <c r="H3267" s="20" t="str">
        <f t="shared" si="50"/>
        <v>(nextval('obj_part_id_seq'), (select id from obj_building_v where zip||'|'||street||'|'||name||'|'||volume = '4303|Kastellstrasse 3|Löwenparking|6907.00'), 'P8', 1, 90, 2019,'Waschbecken und Durchlauferhitzer'),</v>
      </c>
    </row>
    <row r="3268" spans="1:8" x14ac:dyDescent="0.25">
      <c r="A3268" s="9" t="s">
        <v>3132</v>
      </c>
      <c r="B3268" s="9" t="s">
        <v>1155</v>
      </c>
      <c r="C3268">
        <v>0</v>
      </c>
      <c r="D3268" t="s">
        <v>4080</v>
      </c>
      <c r="E3268">
        <v>2019</v>
      </c>
      <c r="F3268" s="9"/>
      <c r="H3268" s="20" t="str">
        <f t="shared" si="50"/>
        <v>(nextval('obj_part_id_seq'), (select id from obj_building_v where zip||'|'||street||'|'||name||'|'||volume = '4303|Kastellstrasse 3|Löwenparking|6907.00'), 'P56', 0, null, 2019,null),</v>
      </c>
    </row>
    <row r="3269" spans="1:8" x14ac:dyDescent="0.25">
      <c r="A3269" s="9" t="s">
        <v>3132</v>
      </c>
      <c r="B3269" s="9" t="s">
        <v>1114</v>
      </c>
      <c r="C3269">
        <v>6</v>
      </c>
      <c r="D3269">
        <v>90</v>
      </c>
      <c r="E3269">
        <v>2019</v>
      </c>
      <c r="F3269" s="9" t="s">
        <v>3140</v>
      </c>
      <c r="H3269" s="20" t="str">
        <f t="shared" ref="H3269:H3332" si="51">"(nextval('obj_part_id_seq'), (select id from obj_building_v where zip||'|'||street||'|'||name||'|'||volume = '"&amp;A3269&amp;"'), '"&amp;B3269&amp;"', "&amp;C3269&amp;", "&amp;D3269&amp;", "&amp;IF(ISBLANK(E3269),"null",E3269)&amp;","&amp;IF(ISBLANK(F3269),"null","'"&amp;F3269&amp;"'")&amp;"),"</f>
        <v>(nextval('obj_part_id_seq'), (select id from obj_building_v where zip||'|'||street||'|'||name||'|'||volume = '4303|Kastellstrasse 3|Löwenparking|6907.00'), 'P11', 6, 90, 2019,'B: Hartbeton, W: Anstrich, D: Anstrich'),</v>
      </c>
    </row>
    <row r="3270" spans="1:8" x14ac:dyDescent="0.25">
      <c r="A3270" s="9" t="s">
        <v>3132</v>
      </c>
      <c r="B3270" s="9" t="s">
        <v>1142</v>
      </c>
      <c r="C3270">
        <v>0</v>
      </c>
      <c r="D3270" t="s">
        <v>4080</v>
      </c>
      <c r="E3270">
        <v>2019</v>
      </c>
      <c r="F3270" s="9"/>
      <c r="H3270" s="20" t="str">
        <f t="shared" si="51"/>
        <v>(nextval('obj_part_id_seq'), (select id from obj_building_v where zip||'|'||street||'|'||name||'|'||volume = '4303|Kastellstrasse 3|Löwenparking|6907.00'), 'P60', 0, null, 2019,null),</v>
      </c>
    </row>
    <row r="3271" spans="1:8" x14ac:dyDescent="0.25">
      <c r="A3271" s="9" t="s">
        <v>3132</v>
      </c>
      <c r="B3271" s="9" t="s">
        <v>1143</v>
      </c>
      <c r="C3271">
        <v>0</v>
      </c>
      <c r="D3271" t="s">
        <v>4080</v>
      </c>
      <c r="E3271">
        <v>2019</v>
      </c>
      <c r="F3271" s="9"/>
      <c r="H3271" s="20" t="str">
        <f t="shared" si="51"/>
        <v>(nextval('obj_part_id_seq'), (select id from obj_building_v where zip||'|'||street||'|'||name||'|'||volume = '4303|Kastellstrasse 3|Löwenparking|6907.00'), 'P61', 0, null, 2019,null),</v>
      </c>
    </row>
    <row r="3272" spans="1:8" x14ac:dyDescent="0.25">
      <c r="A3272" s="9" t="s">
        <v>3132</v>
      </c>
      <c r="B3272" s="9" t="s">
        <v>1144</v>
      </c>
      <c r="C3272">
        <v>0</v>
      </c>
      <c r="D3272" t="s">
        <v>4080</v>
      </c>
      <c r="E3272">
        <v>2019</v>
      </c>
      <c r="F3272" s="9"/>
      <c r="H3272" s="20" t="str">
        <f t="shared" si="51"/>
        <v>(nextval('obj_part_id_seq'), (select id from obj_building_v where zip||'|'||street||'|'||name||'|'||volume = '4303|Kastellstrasse 3|Löwenparking|6907.00'), 'P62', 0, null, 2019,null),</v>
      </c>
    </row>
    <row r="3273" spans="1:8" x14ac:dyDescent="0.25">
      <c r="A3273" s="9" t="s">
        <v>3141</v>
      </c>
      <c r="B3273" s="9" t="s">
        <v>1127</v>
      </c>
      <c r="C3273">
        <v>24</v>
      </c>
      <c r="D3273">
        <v>90</v>
      </c>
      <c r="E3273">
        <v>2019</v>
      </c>
      <c r="F3273" s="9" t="s">
        <v>1303</v>
      </c>
      <c r="H3273" s="20" t="str">
        <f t="shared" si="51"/>
        <v>(nextval('obj_part_id_seq'), (select id from obj_building_v where zip||'|'||street||'|'||name||'|'||volume = '4303|Dorfstrasse 19|Kindergarten Dorf|1993.00'), 'P48', 24, 90, 2019,'Holzbau'),</v>
      </c>
    </row>
    <row r="3274" spans="1:8" x14ac:dyDescent="0.25">
      <c r="A3274" s="9" t="s">
        <v>3141</v>
      </c>
      <c r="B3274" s="9" t="s">
        <v>1129</v>
      </c>
      <c r="C3274">
        <v>0</v>
      </c>
      <c r="D3274" t="s">
        <v>4080</v>
      </c>
      <c r="E3274">
        <v>2019</v>
      </c>
      <c r="F3274" s="9"/>
      <c r="H3274" s="20" t="str">
        <f t="shared" si="51"/>
        <v>(nextval('obj_part_id_seq'), (select id from obj_building_v where zip||'|'||street||'|'||name||'|'||volume = '4303|Dorfstrasse 19|Kindergarten Dorf|1993.00'), 'P49', 0, null, 2019,null),</v>
      </c>
    </row>
    <row r="3275" spans="1:8" x14ac:dyDescent="0.25">
      <c r="A3275" s="9" t="s">
        <v>3141</v>
      </c>
      <c r="B3275" s="9" t="s">
        <v>1097</v>
      </c>
      <c r="C3275">
        <v>0</v>
      </c>
      <c r="D3275" t="s">
        <v>4080</v>
      </c>
      <c r="E3275">
        <v>2019</v>
      </c>
      <c r="F3275" s="9"/>
      <c r="H3275" s="20" t="str">
        <f t="shared" si="51"/>
        <v>(nextval('obj_part_id_seq'), (select id from obj_building_v where zip||'|'||street||'|'||name||'|'||volume = '4303|Dorfstrasse 19|Kindergarten Dorf|1993.00'), 'P2', 0, null, 2019,null),</v>
      </c>
    </row>
    <row r="3276" spans="1:8" x14ac:dyDescent="0.25">
      <c r="A3276" s="9" t="s">
        <v>3141</v>
      </c>
      <c r="B3276" s="9" t="s">
        <v>1099</v>
      </c>
      <c r="C3276">
        <v>13</v>
      </c>
      <c r="D3276">
        <v>90</v>
      </c>
      <c r="E3276">
        <v>2019</v>
      </c>
      <c r="F3276" s="9" t="s">
        <v>3142</v>
      </c>
      <c r="H3276" s="20" t="str">
        <f t="shared" si="51"/>
        <v>(nextval('obj_part_id_seq'), (select id from obj_building_v where zip||'|'||street||'|'||name||'|'||volume = '4303|Dorfstrasse 19|Kindergarten Dorf|1993.00'), 'P3', 13, 90, 2019,'Extensiv-Begrünung, Cupolux Oblichter'),</v>
      </c>
    </row>
    <row r="3277" spans="1:8" x14ac:dyDescent="0.25">
      <c r="A3277" s="9" t="s">
        <v>3141</v>
      </c>
      <c r="B3277" s="9" t="s">
        <v>1100</v>
      </c>
      <c r="C3277">
        <v>8</v>
      </c>
      <c r="D3277">
        <v>90</v>
      </c>
      <c r="E3277">
        <v>2019</v>
      </c>
      <c r="F3277" s="9" t="s">
        <v>1305</v>
      </c>
      <c r="H3277" s="20" t="str">
        <f t="shared" si="51"/>
        <v>(nextval('obj_part_id_seq'), (select id from obj_building_v where zip||'|'||street||'|'||name||'|'||volume = '4303|Dorfstrasse 19|Kindergarten Dorf|1993.00'), 'P4', 8, 90, 2019,'Holz'),</v>
      </c>
    </row>
    <row r="3278" spans="1:8" x14ac:dyDescent="0.25">
      <c r="A3278" s="9" t="s">
        <v>3141</v>
      </c>
      <c r="B3278" s="9" t="s">
        <v>1102</v>
      </c>
      <c r="C3278">
        <v>14</v>
      </c>
      <c r="D3278">
        <v>90</v>
      </c>
      <c r="E3278">
        <v>2019</v>
      </c>
      <c r="F3278" s="9" t="s">
        <v>3143</v>
      </c>
      <c r="H3278" s="20" t="str">
        <f t="shared" si="51"/>
        <v>(nextval('obj_part_id_seq'), (select id from obj_building_v where zip||'|'||street||'|'||name||'|'||volume = '4303|Dorfstrasse 19|Kindergarten Dorf|1993.00'), 'P5', 14, 90, 2019,'Holz-Metallfenster, Metalltüren, Rafflamellenstoren, el.'),</v>
      </c>
    </row>
    <row r="3279" spans="1:8" x14ac:dyDescent="0.25">
      <c r="A3279" s="9" t="s">
        <v>3141</v>
      </c>
      <c r="B3279" s="9" t="s">
        <v>1110</v>
      </c>
      <c r="C3279">
        <v>8</v>
      </c>
      <c r="D3279">
        <v>90</v>
      </c>
      <c r="E3279">
        <v>2019</v>
      </c>
      <c r="F3279" s="9" t="s">
        <v>3144</v>
      </c>
      <c r="H3279" s="20" t="str">
        <f t="shared" si="51"/>
        <v>(nextval('obj_part_id_seq'), (select id from obj_building_v where zip||'|'||street||'|'||name||'|'||volume = '4303|Dorfstrasse 19|Kindergarten Dorf|1993.00'), 'P9', 8, 90, 2019,'Neuwertig, inkl. PV-Anlage'),</v>
      </c>
    </row>
    <row r="3280" spans="1:8" x14ac:dyDescent="0.25">
      <c r="A3280" s="9" t="s">
        <v>3141</v>
      </c>
      <c r="B3280" s="9" t="s">
        <v>1104</v>
      </c>
      <c r="C3280">
        <v>3</v>
      </c>
      <c r="D3280">
        <v>90</v>
      </c>
      <c r="E3280">
        <v>2019</v>
      </c>
      <c r="F3280" s="9" t="s">
        <v>1363</v>
      </c>
      <c r="H3280" s="20" t="str">
        <f t="shared" si="51"/>
        <v>(nextval('obj_part_id_seq'), (select id from obj_building_v where zip||'|'||street||'|'||name||'|'||volume = '4303|Dorfstrasse 19|Kindergarten Dorf|1993.00'), 'P6', 3, 90, 2019,'Wärmepumpe'),</v>
      </c>
    </row>
    <row r="3281" spans="1:8" x14ac:dyDescent="0.25">
      <c r="A3281" s="9" t="s">
        <v>3141</v>
      </c>
      <c r="B3281" s="9" t="s">
        <v>1106</v>
      </c>
      <c r="C3281">
        <v>3</v>
      </c>
      <c r="D3281">
        <v>90</v>
      </c>
      <c r="E3281">
        <v>2019</v>
      </c>
      <c r="F3281" s="9" t="s">
        <v>1571</v>
      </c>
      <c r="H3281" s="20" t="str">
        <f t="shared" si="51"/>
        <v>(nextval('obj_part_id_seq'), (select id from obj_building_v where zip||'|'||street||'|'||name||'|'||volume = '4303|Dorfstrasse 19|Kindergarten Dorf|1993.00'), 'P7', 3, 90, 2019,'Bodenheizung'),</v>
      </c>
    </row>
    <row r="3282" spans="1:8" x14ac:dyDescent="0.25">
      <c r="A3282" s="9" t="s">
        <v>3141</v>
      </c>
      <c r="B3282" s="9" t="s">
        <v>1135</v>
      </c>
      <c r="C3282">
        <v>1</v>
      </c>
      <c r="D3282">
        <v>90</v>
      </c>
      <c r="E3282">
        <v>2019</v>
      </c>
      <c r="F3282" s="9" t="s">
        <v>3145</v>
      </c>
      <c r="H3282" s="20" t="str">
        <f t="shared" si="51"/>
        <v>(nextval('obj_part_id_seq'), (select id from obj_building_v where zip||'|'||street||'|'||name||'|'||volume = '4303|Dorfstrasse 19|Kindergarten Dorf|1993.00'), 'P54', 1, 90, 2019,'Apparate und Armaturen neuwertig, Chromstahlbecken'),</v>
      </c>
    </row>
    <row r="3283" spans="1:8" x14ac:dyDescent="0.25">
      <c r="A3283" s="9" t="s">
        <v>3141</v>
      </c>
      <c r="B3283" s="9" t="s">
        <v>1137</v>
      </c>
      <c r="C3283">
        <v>3</v>
      </c>
      <c r="D3283">
        <v>90</v>
      </c>
      <c r="E3283">
        <v>2019</v>
      </c>
      <c r="F3283" s="9" t="s">
        <v>3146</v>
      </c>
      <c r="H3283" s="20" t="str">
        <f t="shared" si="51"/>
        <v>(nextval('obj_part_id_seq'), (select id from obj_building_v where zip||'|'||street||'|'||name||'|'||volume = '4303|Dorfstrasse 19|Kindergarten Dorf|1993.00'), 'P55', 3, 90, 2019,'Leitungen neuwertig'),</v>
      </c>
    </row>
    <row r="3284" spans="1:8" x14ac:dyDescent="0.25">
      <c r="A3284" s="9" t="s">
        <v>3141</v>
      </c>
      <c r="B3284" s="9" t="s">
        <v>1138</v>
      </c>
      <c r="C3284">
        <v>17</v>
      </c>
      <c r="D3284">
        <v>90</v>
      </c>
      <c r="E3284">
        <v>2019</v>
      </c>
      <c r="F3284" s="9" t="s">
        <v>3147</v>
      </c>
      <c r="H3284" s="20" t="str">
        <f t="shared" si="51"/>
        <v>(nextval('obj_part_id_seq'), (select id from obj_building_v where zip||'|'||street||'|'||name||'|'||volume = '4303|Dorfstrasse 19|Kindergarten Dorf|1993.00'), 'P57', 17, 90, 2019,'Innere Verglasungen, Innentüren, Einbaukästen, Garderoben, Küche'),</v>
      </c>
    </row>
    <row r="3285" spans="1:8" x14ac:dyDescent="0.25">
      <c r="A3285" s="9" t="s">
        <v>3141</v>
      </c>
      <c r="B3285" s="9" t="s">
        <v>1140</v>
      </c>
      <c r="C3285">
        <v>3</v>
      </c>
      <c r="D3285">
        <v>90</v>
      </c>
      <c r="E3285">
        <v>2019</v>
      </c>
      <c r="F3285" s="9" t="s">
        <v>3148</v>
      </c>
      <c r="H3285" s="20" t="str">
        <f t="shared" si="51"/>
        <v>(nextval('obj_part_id_seq'), (select id from obj_building_v where zip||'|'||street||'|'||name||'|'||volume = '4303|Dorfstrasse 19|Kindergarten Dorf|1993.00'), 'P58', 3, 90, 2019,'Boden: Linol, Parkett, Keramikplatten. Wand: Glasfasertapeten, Keramikpl. Decke: Holz/Akustikdecken'),</v>
      </c>
    </row>
    <row r="3286" spans="1:8" x14ac:dyDescent="0.25">
      <c r="A3286" s="9" t="s">
        <v>3141</v>
      </c>
      <c r="B3286" s="9" t="s">
        <v>1142</v>
      </c>
      <c r="C3286">
        <v>0</v>
      </c>
      <c r="D3286" t="s">
        <v>4080</v>
      </c>
      <c r="E3286">
        <v>2019</v>
      </c>
      <c r="F3286" s="9"/>
      <c r="H3286" s="20" t="str">
        <f t="shared" si="51"/>
        <v>(nextval('obj_part_id_seq'), (select id from obj_building_v where zip||'|'||street||'|'||name||'|'||volume = '4303|Dorfstrasse 19|Kindergarten Dorf|1993.00'), 'P60', 0, null, 2019,null),</v>
      </c>
    </row>
    <row r="3287" spans="1:8" x14ac:dyDescent="0.25">
      <c r="A3287" s="9" t="s">
        <v>3141</v>
      </c>
      <c r="B3287" s="9" t="s">
        <v>1143</v>
      </c>
      <c r="C3287">
        <v>3</v>
      </c>
      <c r="D3287">
        <v>85</v>
      </c>
      <c r="E3287">
        <v>2019</v>
      </c>
      <c r="F3287" s="9" t="s">
        <v>3149</v>
      </c>
      <c r="H3287" s="20" t="str">
        <f t="shared" si="51"/>
        <v>(nextval('obj_part_id_seq'), (select id from obj_building_v where zip||'|'||street||'|'||name||'|'||volume = '4303|Dorfstrasse 19|Kindergarten Dorf|1993.00'), 'P61', 3, 85, 2019,'Lüftung mit WRG je KG'),</v>
      </c>
    </row>
    <row r="3288" spans="1:8" x14ac:dyDescent="0.25">
      <c r="A3288" s="9" t="s">
        <v>3141</v>
      </c>
      <c r="B3288" s="9" t="s">
        <v>1144</v>
      </c>
      <c r="C3288">
        <v>0</v>
      </c>
      <c r="D3288" t="s">
        <v>4080</v>
      </c>
      <c r="E3288">
        <v>2019</v>
      </c>
      <c r="F3288" s="9"/>
      <c r="H3288" s="20" t="str">
        <f t="shared" si="51"/>
        <v>(nextval('obj_part_id_seq'), (select id from obj_building_v where zip||'|'||street||'|'||name||'|'||volume = '4303|Dorfstrasse 19|Kindergarten Dorf|1993.00'), 'P62', 0, null, 2019,null),</v>
      </c>
    </row>
    <row r="3289" spans="1:8" x14ac:dyDescent="0.25">
      <c r="A3289" s="9" t="s">
        <v>3150</v>
      </c>
      <c r="B3289" s="9" t="s">
        <v>1095</v>
      </c>
      <c r="C3289">
        <v>40</v>
      </c>
      <c r="D3289">
        <v>90</v>
      </c>
      <c r="E3289">
        <v>2019</v>
      </c>
      <c r="F3289" s="9" t="s">
        <v>1303</v>
      </c>
      <c r="H3289" s="20" t="str">
        <f t="shared" si="51"/>
        <v>(nextval('obj_part_id_seq'), (select id from obj_building_v where zip||'|'||street||'|'||name||'|'||volume = '4303|Dorfstrasse 19|Geräteschopf|23.00'), 'P1', 40, 90, 2019,'Holzbau'),</v>
      </c>
    </row>
    <row r="3290" spans="1:8" x14ac:dyDescent="0.25">
      <c r="A3290" s="9" t="s">
        <v>3150</v>
      </c>
      <c r="B3290" s="9" t="s">
        <v>1097</v>
      </c>
      <c r="C3290">
        <v>0</v>
      </c>
      <c r="D3290" t="s">
        <v>4080</v>
      </c>
      <c r="E3290">
        <v>2019</v>
      </c>
      <c r="F3290" s="9" t="s">
        <v>1692</v>
      </c>
      <c r="H3290" s="20" t="str">
        <f t="shared" si="51"/>
        <v>(nextval('obj_part_id_seq'), (select id from obj_building_v where zip||'|'||street||'|'||name||'|'||volume = '4303|Dorfstrasse 19|Geräteschopf|23.00'), 'P2', 0, null, 2019,'-'),</v>
      </c>
    </row>
    <row r="3291" spans="1:8" x14ac:dyDescent="0.25">
      <c r="A3291" s="9" t="s">
        <v>3150</v>
      </c>
      <c r="B3291" s="9" t="s">
        <v>1099</v>
      </c>
      <c r="C3291">
        <v>8</v>
      </c>
      <c r="D3291">
        <v>90</v>
      </c>
      <c r="E3291">
        <v>2019</v>
      </c>
      <c r="F3291" s="9" t="s">
        <v>3151</v>
      </c>
      <c r="H3291" s="20" t="str">
        <f t="shared" si="51"/>
        <v>(nextval('obj_part_id_seq'), (select id from obj_building_v where zip||'|'||street||'|'||name||'|'||volume = '4303|Dorfstrasse 19|Geräteschopf|23.00'), 'P3', 8, 90, 2019,'Nacktdach'),</v>
      </c>
    </row>
    <row r="3292" spans="1:8" x14ac:dyDescent="0.25">
      <c r="A3292" s="9" t="s">
        <v>3150</v>
      </c>
      <c r="B3292" s="9" t="s">
        <v>1100</v>
      </c>
      <c r="C3292">
        <v>44</v>
      </c>
      <c r="D3292">
        <v>85</v>
      </c>
      <c r="E3292">
        <v>2019</v>
      </c>
      <c r="F3292" s="9" t="s">
        <v>1305</v>
      </c>
      <c r="H3292" s="20" t="str">
        <f t="shared" si="51"/>
        <v>(nextval('obj_part_id_seq'), (select id from obj_building_v where zip||'|'||street||'|'||name||'|'||volume = '4303|Dorfstrasse 19|Geräteschopf|23.00'), 'P4', 44, 85, 2019,'Holz'),</v>
      </c>
    </row>
    <row r="3293" spans="1:8" x14ac:dyDescent="0.25">
      <c r="A3293" s="9" t="s">
        <v>3150</v>
      </c>
      <c r="B3293" s="9" t="s">
        <v>1102</v>
      </c>
      <c r="C3293">
        <v>8</v>
      </c>
      <c r="D3293">
        <v>90</v>
      </c>
      <c r="E3293">
        <v>2019</v>
      </c>
      <c r="F3293" s="9" t="s">
        <v>3152</v>
      </c>
      <c r="H3293" s="20" t="str">
        <f t="shared" si="51"/>
        <v>(nextval('obj_part_id_seq'), (select id from obj_building_v where zip||'|'||street||'|'||name||'|'||volume = '4303|Dorfstrasse 19|Geräteschopf|23.00'), 'P5', 8, 90, 2019,'Holztüre'),</v>
      </c>
    </row>
    <row r="3294" spans="1:8" x14ac:dyDescent="0.25">
      <c r="A3294" s="9" t="s">
        <v>3150</v>
      </c>
      <c r="B3294" s="9" t="s">
        <v>1104</v>
      </c>
      <c r="C3294">
        <v>0</v>
      </c>
      <c r="D3294" t="s">
        <v>4080</v>
      </c>
      <c r="E3294">
        <v>2019</v>
      </c>
      <c r="F3294" s="9" t="s">
        <v>1692</v>
      </c>
      <c r="H3294" s="20" t="str">
        <f t="shared" si="51"/>
        <v>(nextval('obj_part_id_seq'), (select id from obj_building_v where zip||'|'||street||'|'||name||'|'||volume = '4303|Dorfstrasse 19|Geräteschopf|23.00'), 'P6', 0, null, 2019,'-'),</v>
      </c>
    </row>
    <row r="3295" spans="1:8" x14ac:dyDescent="0.25">
      <c r="A3295" s="9" t="s">
        <v>3150</v>
      </c>
      <c r="B3295" s="9" t="s">
        <v>1106</v>
      </c>
      <c r="C3295">
        <v>0</v>
      </c>
      <c r="D3295" t="s">
        <v>4080</v>
      </c>
      <c r="E3295">
        <v>2019</v>
      </c>
      <c r="F3295" s="9" t="s">
        <v>1692</v>
      </c>
      <c r="H3295" s="20" t="str">
        <f t="shared" si="51"/>
        <v>(nextval('obj_part_id_seq'), (select id from obj_building_v where zip||'|'||street||'|'||name||'|'||volume = '4303|Dorfstrasse 19|Geräteschopf|23.00'), 'P7', 0, null, 2019,'-'),</v>
      </c>
    </row>
    <row r="3296" spans="1:8" x14ac:dyDescent="0.25">
      <c r="A3296" s="9" t="s">
        <v>3150</v>
      </c>
      <c r="B3296" s="9" t="s">
        <v>1108</v>
      </c>
      <c r="C3296">
        <v>0</v>
      </c>
      <c r="D3296" t="s">
        <v>4080</v>
      </c>
      <c r="E3296">
        <v>2019</v>
      </c>
      <c r="F3296" s="9" t="s">
        <v>1692</v>
      </c>
      <c r="H3296" s="20" t="str">
        <f t="shared" si="51"/>
        <v>(nextval('obj_part_id_seq'), (select id from obj_building_v where zip||'|'||street||'|'||name||'|'||volume = '4303|Dorfstrasse 19|Geräteschopf|23.00'), 'P8', 0, null, 2019,'-'),</v>
      </c>
    </row>
    <row r="3297" spans="1:8" x14ac:dyDescent="0.25">
      <c r="A3297" s="9" t="s">
        <v>3150</v>
      </c>
      <c r="B3297" s="9" t="s">
        <v>1110</v>
      </c>
      <c r="C3297">
        <v>0</v>
      </c>
      <c r="D3297" t="s">
        <v>4080</v>
      </c>
      <c r="E3297">
        <v>2019</v>
      </c>
      <c r="F3297" s="9" t="s">
        <v>1692</v>
      </c>
      <c r="H3297" s="20" t="str">
        <f t="shared" si="51"/>
        <v>(nextval('obj_part_id_seq'), (select id from obj_building_v where zip||'|'||street||'|'||name||'|'||volume = '4303|Dorfstrasse 19|Geräteschopf|23.00'), 'P9', 0, null, 2019,'-'),</v>
      </c>
    </row>
    <row r="3298" spans="1:8" x14ac:dyDescent="0.25">
      <c r="A3298" s="9" t="s">
        <v>3150</v>
      </c>
      <c r="B3298" s="9" t="s">
        <v>1112</v>
      </c>
      <c r="C3298">
        <v>0</v>
      </c>
      <c r="D3298" t="s">
        <v>4080</v>
      </c>
      <c r="E3298">
        <v>2019</v>
      </c>
      <c r="F3298" s="9" t="s">
        <v>1692</v>
      </c>
      <c r="H3298" s="20" t="str">
        <f t="shared" si="51"/>
        <v>(nextval('obj_part_id_seq'), (select id from obj_building_v where zip||'|'||street||'|'||name||'|'||volume = '4303|Dorfstrasse 19|Geräteschopf|23.00'), 'P10', 0, null, 2019,'-'),</v>
      </c>
    </row>
    <row r="3299" spans="1:8" x14ac:dyDescent="0.25">
      <c r="A3299" s="9" t="s">
        <v>3150</v>
      </c>
      <c r="B3299" s="9" t="s">
        <v>1114</v>
      </c>
      <c r="C3299">
        <v>0</v>
      </c>
      <c r="D3299" t="s">
        <v>4080</v>
      </c>
      <c r="E3299">
        <v>2019</v>
      </c>
      <c r="F3299" s="9" t="s">
        <v>1692</v>
      </c>
      <c r="H3299" s="20" t="str">
        <f t="shared" si="51"/>
        <v>(nextval('obj_part_id_seq'), (select id from obj_building_v where zip||'|'||street||'|'||name||'|'||volume = '4303|Dorfstrasse 19|Geräteschopf|23.00'), 'P11', 0, null, 2019,'-'),</v>
      </c>
    </row>
    <row r="3300" spans="1:8" x14ac:dyDescent="0.25">
      <c r="A3300" s="9" t="s">
        <v>3150</v>
      </c>
      <c r="B3300" s="9" t="s">
        <v>1114</v>
      </c>
      <c r="C3300">
        <v>0</v>
      </c>
      <c r="D3300" t="s">
        <v>4080</v>
      </c>
      <c r="E3300">
        <v>2019</v>
      </c>
      <c r="F3300" s="9" t="s">
        <v>1692</v>
      </c>
      <c r="H3300" s="20" t="str">
        <f t="shared" si="51"/>
        <v>(nextval('obj_part_id_seq'), (select id from obj_building_v where zip||'|'||street||'|'||name||'|'||volume = '4303|Dorfstrasse 19|Geräteschopf|23.00'), 'P11', 0, null, 2019,'-'),</v>
      </c>
    </row>
    <row r="3301" spans="1:8" x14ac:dyDescent="0.25">
      <c r="A3301" s="9" t="s">
        <v>3150</v>
      </c>
      <c r="B3301" s="9" t="s">
        <v>1116</v>
      </c>
      <c r="C3301">
        <v>0</v>
      </c>
      <c r="D3301" t="s">
        <v>4080</v>
      </c>
      <c r="E3301">
        <v>2019</v>
      </c>
      <c r="F3301" s="9" t="s">
        <v>1692</v>
      </c>
      <c r="H3301" s="20" t="str">
        <f t="shared" si="51"/>
        <v>(nextval('obj_part_id_seq'), (select id from obj_building_v where zip||'|'||street||'|'||name||'|'||volume = '4303|Dorfstrasse 19|Geräteschopf|23.00'), 'P12', 0, null, 2019,'-'),</v>
      </c>
    </row>
    <row r="3302" spans="1:8" x14ac:dyDescent="0.25">
      <c r="A3302" s="9" t="s">
        <v>3153</v>
      </c>
      <c r="B3302" s="9" t="s">
        <v>1127</v>
      </c>
      <c r="C3302">
        <v>37</v>
      </c>
      <c r="D3302">
        <v>80</v>
      </c>
      <c r="E3302">
        <v>2019</v>
      </c>
      <c r="F3302" s="9" t="s">
        <v>3154</v>
      </c>
      <c r="H3302" s="20" t="str">
        <f t="shared" si="51"/>
        <v>(nextval('obj_part_id_seq'), (select id from obj_building_v where zip||'|'||street||'|'||name||'|'||volume = '4303|Dorfstrasse 27|Wohnhaus Dorfstr. 27|1156.00'), 'P48', 37, 80, 2019,'Mauerwerk, Holzdecken, Holzwerk im UG tw. morsch'),</v>
      </c>
    </row>
    <row r="3303" spans="1:8" x14ac:dyDescent="0.25">
      <c r="A3303" s="9" t="s">
        <v>3153</v>
      </c>
      <c r="B3303" s="9" t="s">
        <v>1129</v>
      </c>
      <c r="C3303">
        <v>0</v>
      </c>
      <c r="D3303" t="s">
        <v>4080</v>
      </c>
      <c r="E3303">
        <v>2019</v>
      </c>
      <c r="F3303" s="9"/>
      <c r="H3303" s="20" t="str">
        <f t="shared" si="51"/>
        <v>(nextval('obj_part_id_seq'), (select id from obj_building_v where zip||'|'||street||'|'||name||'|'||volume = '4303|Dorfstrasse 27|Wohnhaus Dorfstr. 27|1156.00'), 'P49', 0, null, 2019,null),</v>
      </c>
    </row>
    <row r="3304" spans="1:8" x14ac:dyDescent="0.25">
      <c r="A3304" s="9" t="s">
        <v>3153</v>
      </c>
      <c r="B3304" s="9" t="s">
        <v>1097</v>
      </c>
      <c r="C3304">
        <v>8</v>
      </c>
      <c r="D3304">
        <v>85</v>
      </c>
      <c r="E3304">
        <v>2019</v>
      </c>
      <c r="F3304" s="9" t="s">
        <v>3155</v>
      </c>
      <c r="H3304" s="20" t="str">
        <f t="shared" si="51"/>
        <v>(nextval('obj_part_id_seq'), (select id from obj_building_v where zip||'|'||street||'|'||name||'|'||volume = '4303|Dorfstrasse 27|Wohnhaus Dorfstr. 27|1156.00'), 'P2', 8, 85, 2019,'Ziegeldach mit Lukarnen, isoliert m. Unterdach'),</v>
      </c>
    </row>
    <row r="3305" spans="1:8" x14ac:dyDescent="0.25">
      <c r="A3305" s="9" t="s">
        <v>3153</v>
      </c>
      <c r="B3305" s="9" t="s">
        <v>1099</v>
      </c>
      <c r="C3305">
        <v>0</v>
      </c>
      <c r="D3305" t="s">
        <v>4080</v>
      </c>
      <c r="E3305">
        <v>2019</v>
      </c>
      <c r="F3305" s="9"/>
      <c r="H3305" s="20" t="str">
        <f t="shared" si="51"/>
        <v>(nextval('obj_part_id_seq'), (select id from obj_building_v where zip||'|'||street||'|'||name||'|'||volume = '4303|Dorfstrasse 27|Wohnhaus Dorfstr. 27|1156.00'), 'P3', 0, null, 2019,null),</v>
      </c>
    </row>
    <row r="3306" spans="1:8" x14ac:dyDescent="0.25">
      <c r="A3306" s="9" t="s">
        <v>3153</v>
      </c>
      <c r="B3306" s="9" t="s">
        <v>1100</v>
      </c>
      <c r="C3306">
        <v>8</v>
      </c>
      <c r="D3306">
        <v>90</v>
      </c>
      <c r="E3306">
        <v>2019</v>
      </c>
      <c r="F3306" s="9" t="s">
        <v>3156</v>
      </c>
      <c r="H3306" s="20" t="str">
        <f t="shared" si="51"/>
        <v>(nextval('obj_part_id_seq'), (select id from obj_building_v where zip||'|'||street||'|'||name||'|'||volume = '4303|Dorfstrasse 27|Wohnhaus Dorfstr. 27|1156.00'), 'P4', 8, 90, 2019,'Mauerwerk, verputzt mit Kunststeingewänden, unisoliert'),</v>
      </c>
    </row>
    <row r="3307" spans="1:8" x14ac:dyDescent="0.25">
      <c r="A3307" s="9" t="s">
        <v>3153</v>
      </c>
      <c r="B3307" s="9" t="s">
        <v>1102</v>
      </c>
      <c r="C3307">
        <v>11</v>
      </c>
      <c r="D3307">
        <v>90</v>
      </c>
      <c r="E3307">
        <v>2019</v>
      </c>
      <c r="F3307" s="9" t="s">
        <v>3157</v>
      </c>
      <c r="H3307" s="20" t="str">
        <f t="shared" si="51"/>
        <v>(nextval('obj_part_id_seq'), (select id from obj_building_v where zip||'|'||street||'|'||name||'|'||volume = '4303|Dorfstrasse 27|Wohnhaus Dorfstr. 27|1156.00'), 'P5', 11, 90, 2019,'Kunststofffenster (''05), Holzläden, Rafflamellenstoren'),</v>
      </c>
    </row>
    <row r="3308" spans="1:8" x14ac:dyDescent="0.25">
      <c r="A3308" s="9" t="s">
        <v>3153</v>
      </c>
      <c r="B3308" s="9" t="s">
        <v>1110</v>
      </c>
      <c r="C3308">
        <v>4</v>
      </c>
      <c r="D3308">
        <v>80</v>
      </c>
      <c r="E3308">
        <v>2019</v>
      </c>
      <c r="F3308" s="9" t="s">
        <v>3158</v>
      </c>
      <c r="H3308" s="20" t="str">
        <f t="shared" si="51"/>
        <v>(nextval('obj_part_id_seq'), (select id from obj_building_v where zip||'|'||street||'|'||name||'|'||volume = '4303|Dorfstrasse 27|Wohnhaus Dorfstr. 27|1156.00'), 'P9', 4, 80, 2019,'Etagenverteilung: keine Fl-Schalter (nur OG), tw. Keramiksicherungen'),</v>
      </c>
    </row>
    <row r="3309" spans="1:8" x14ac:dyDescent="0.25">
      <c r="A3309" s="9" t="s">
        <v>3153</v>
      </c>
      <c r="B3309" s="9" t="s">
        <v>1104</v>
      </c>
      <c r="C3309">
        <v>1</v>
      </c>
      <c r="D3309">
        <v>90</v>
      </c>
      <c r="E3309">
        <v>2019</v>
      </c>
      <c r="F3309" s="9" t="s">
        <v>1235</v>
      </c>
      <c r="H3309" s="20" t="str">
        <f t="shared" si="51"/>
        <v>(nextval('obj_part_id_seq'), (select id from obj_building_v where zip||'|'||street||'|'||name||'|'||volume = '4303|Dorfstrasse 27|Wohnhaus Dorfstr. 27|1156.00'), 'P6', 1, 90, 2019,'Fernwärme'),</v>
      </c>
    </row>
    <row r="3310" spans="1:8" x14ac:dyDescent="0.25">
      <c r="A3310" s="9" t="s">
        <v>3153</v>
      </c>
      <c r="B3310" s="9" t="s">
        <v>1106</v>
      </c>
      <c r="C3310">
        <v>3</v>
      </c>
      <c r="D3310">
        <v>90</v>
      </c>
      <c r="E3310">
        <v>2019</v>
      </c>
      <c r="F3310" s="9" t="s">
        <v>1375</v>
      </c>
      <c r="H3310" s="20" t="str">
        <f t="shared" si="51"/>
        <v>(nextval('obj_part_id_seq'), (select id from obj_building_v where zip||'|'||street||'|'||name||'|'||volume = '4303|Dorfstrasse 27|Wohnhaus Dorfstr. 27|1156.00'), 'P7', 3, 90, 2019,'Radiatoren m. Thermostaten'),</v>
      </c>
    </row>
    <row r="3311" spans="1:8" x14ac:dyDescent="0.25">
      <c r="A3311" s="9" t="s">
        <v>3153</v>
      </c>
      <c r="B3311" s="9" t="s">
        <v>1135</v>
      </c>
      <c r="C3311">
        <v>3</v>
      </c>
      <c r="D3311">
        <v>85</v>
      </c>
      <c r="E3311">
        <v>2019</v>
      </c>
      <c r="F3311" s="9" t="s">
        <v>3159</v>
      </c>
      <c r="H3311" s="20" t="str">
        <f t="shared" si="51"/>
        <v>(nextval('obj_part_id_seq'), (select id from obj_building_v where zip||'|'||street||'|'||name||'|'||volume = '4303|Dorfstrasse 27|Wohnhaus Dorfstr. 27|1156.00'), 'P54', 3, 85, 2019,'Ältere Apparate und Armaturen, jedoch funktionsfähig'),</v>
      </c>
    </row>
    <row r="3312" spans="1:8" x14ac:dyDescent="0.25">
      <c r="A3312" s="9" t="s">
        <v>3153</v>
      </c>
      <c r="B3312" s="9" t="s">
        <v>1137</v>
      </c>
      <c r="C3312">
        <v>4</v>
      </c>
      <c r="D3312">
        <v>80</v>
      </c>
      <c r="E3312">
        <v>2019</v>
      </c>
      <c r="F3312" s="9" t="s">
        <v>3160</v>
      </c>
      <c r="H3312" s="20" t="str">
        <f t="shared" si="51"/>
        <v>(nextval('obj_part_id_seq'), (select id from obj_building_v where zip||'|'||street||'|'||name||'|'||volume = '4303|Dorfstrasse 27|Wohnhaus Dorfstr. 27|1156.00'), 'P55', 4, 80, 2019,'Kaltwasser:Druckabfall (im  Vergleich zu WW)'),</v>
      </c>
    </row>
    <row r="3313" spans="1:8" x14ac:dyDescent="0.25">
      <c r="A3313" s="9" t="s">
        <v>3153</v>
      </c>
      <c r="B3313" s="9" t="s">
        <v>1155</v>
      </c>
      <c r="C3313">
        <v>0</v>
      </c>
      <c r="D3313" t="s">
        <v>4080</v>
      </c>
      <c r="E3313">
        <v>2019</v>
      </c>
      <c r="F3313" s="9"/>
      <c r="H3313" s="20" t="str">
        <f t="shared" si="51"/>
        <v>(nextval('obj_part_id_seq'), (select id from obj_building_v where zip||'|'||street||'|'||name||'|'||volume = '4303|Dorfstrasse 27|Wohnhaus Dorfstr. 27|1156.00'), 'P56', 0, null, 2019,null),</v>
      </c>
    </row>
    <row r="3314" spans="1:8" x14ac:dyDescent="0.25">
      <c r="A3314" s="9" t="s">
        <v>3153</v>
      </c>
      <c r="B3314" s="9" t="s">
        <v>1138</v>
      </c>
      <c r="C3314">
        <v>9</v>
      </c>
      <c r="D3314">
        <v>85</v>
      </c>
      <c r="E3314">
        <v>2019</v>
      </c>
      <c r="F3314" s="9" t="s">
        <v>3161</v>
      </c>
      <c r="H3314" s="20" t="str">
        <f t="shared" si="51"/>
        <v>(nextval('obj_part_id_seq'), (select id from obj_building_v where zip||'|'||street||'|'||name||'|'||volume = '4303|Dorfstrasse 27|Wohnhaus Dorfstr. 27|1156.00'), 'P57', 9, 85, 2019,'Innentüren, Geländer, Vorhangbretter, Simse'),</v>
      </c>
    </row>
    <row r="3315" spans="1:8" x14ac:dyDescent="0.25">
      <c r="A3315" s="9" t="s">
        <v>3153</v>
      </c>
      <c r="B3315" s="9" t="s">
        <v>1140</v>
      </c>
      <c r="C3315">
        <v>8</v>
      </c>
      <c r="D3315">
        <v>80</v>
      </c>
      <c r="E3315">
        <v>2019</v>
      </c>
      <c r="F3315" s="9" t="s">
        <v>3162</v>
      </c>
      <c r="H3315" s="20" t="str">
        <f t="shared" si="51"/>
        <v>(nextval('obj_part_id_seq'), (select id from obj_building_v where zip||'|'||street||'|'||name||'|'||volume = '4303|Dorfstrasse 27|Wohnhaus Dorfstr. 27|1156.00'), 'P58', 8, 80, 2019,'Boden: PVC, Vinyl, Teppich, Tonplatten, Parkett, Wand: Abrieb, Keramikplatten, Dach: Pavatex, Putz'),</v>
      </c>
    </row>
    <row r="3316" spans="1:8" x14ac:dyDescent="0.25">
      <c r="A3316" s="9" t="s">
        <v>3153</v>
      </c>
      <c r="B3316" s="9" t="s">
        <v>1157</v>
      </c>
      <c r="C3316">
        <v>4</v>
      </c>
      <c r="D3316">
        <v>80</v>
      </c>
      <c r="E3316">
        <v>2019</v>
      </c>
      <c r="F3316" s="9" t="s">
        <v>3163</v>
      </c>
      <c r="H3316" s="20" t="str">
        <f t="shared" si="51"/>
        <v>(nextval('obj_part_id_seq'), (select id from obj_building_v where zip||'|'||street||'|'||name||'|'||volume = '4303|Dorfstrasse 27|Wohnhaus Dorfstr. 27|1156.00'), 'P59', 4, 80, 2019,'Küchen tw. alt, im OG neu'),</v>
      </c>
    </row>
    <row r="3317" spans="1:8" x14ac:dyDescent="0.25">
      <c r="A3317" s="9" t="s">
        <v>3153</v>
      </c>
      <c r="B3317" s="9" t="s">
        <v>1142</v>
      </c>
      <c r="C3317">
        <v>0</v>
      </c>
      <c r="D3317" t="s">
        <v>4080</v>
      </c>
      <c r="E3317">
        <v>2019</v>
      </c>
      <c r="F3317" s="9"/>
      <c r="H3317" s="20" t="str">
        <f t="shared" si="51"/>
        <v>(nextval('obj_part_id_seq'), (select id from obj_building_v where zip||'|'||street||'|'||name||'|'||volume = '4303|Dorfstrasse 27|Wohnhaus Dorfstr. 27|1156.00'), 'P60', 0, null, 2019,null),</v>
      </c>
    </row>
    <row r="3318" spans="1:8" x14ac:dyDescent="0.25">
      <c r="A3318" s="9" t="s">
        <v>3153</v>
      </c>
      <c r="B3318" s="9" t="s">
        <v>1143</v>
      </c>
      <c r="C3318">
        <v>0</v>
      </c>
      <c r="D3318" t="s">
        <v>4080</v>
      </c>
      <c r="E3318">
        <v>2019</v>
      </c>
      <c r="F3318" s="9"/>
      <c r="H3318" s="20" t="str">
        <f t="shared" si="51"/>
        <v>(nextval('obj_part_id_seq'), (select id from obj_building_v where zip||'|'||street||'|'||name||'|'||volume = '4303|Dorfstrasse 27|Wohnhaus Dorfstr. 27|1156.00'), 'P61', 0, null, 2019,null),</v>
      </c>
    </row>
    <row r="3319" spans="1:8" x14ac:dyDescent="0.25">
      <c r="A3319" s="9" t="s">
        <v>3153</v>
      </c>
      <c r="B3319" s="9" t="s">
        <v>1144</v>
      </c>
      <c r="C3319">
        <v>0</v>
      </c>
      <c r="D3319" t="s">
        <v>4080</v>
      </c>
      <c r="E3319">
        <v>2019</v>
      </c>
      <c r="F3319" s="9"/>
      <c r="H3319" s="20" t="str">
        <f t="shared" si="51"/>
        <v>(nextval('obj_part_id_seq'), (select id from obj_building_v where zip||'|'||street||'|'||name||'|'||volume = '4303|Dorfstrasse 27|Wohnhaus Dorfstr. 27|1156.00'), 'P62', 0, null, 2019,null),</v>
      </c>
    </row>
    <row r="3320" spans="1:8" x14ac:dyDescent="0.25">
      <c r="A3320" s="9" t="s">
        <v>3164</v>
      </c>
      <c r="B3320" s="9" t="s">
        <v>1127</v>
      </c>
      <c r="C3320">
        <v>32</v>
      </c>
      <c r="D3320">
        <v>90</v>
      </c>
      <c r="E3320">
        <v>2019</v>
      </c>
      <c r="F3320" s="9" t="s">
        <v>3165</v>
      </c>
      <c r="H3320" s="20" t="str">
        <f t="shared" si="51"/>
        <v>(nextval('obj_part_id_seq'), (select id from obj_building_v where zip||'|'||street||'|'||name||'|'||volume = '4303|Hintere Liebrüti|Schulhaus Liebrüti|32195.00'), 'P48', 32, 90, 2019,'Stahlbeton, Stahlträger im Saal'),</v>
      </c>
    </row>
    <row r="3321" spans="1:8" x14ac:dyDescent="0.25">
      <c r="A3321" s="9" t="s">
        <v>3164</v>
      </c>
      <c r="B3321" s="9" t="s">
        <v>1129</v>
      </c>
      <c r="C3321">
        <v>0</v>
      </c>
      <c r="D3321" t="s">
        <v>4080</v>
      </c>
      <c r="E3321">
        <v>2019</v>
      </c>
      <c r="F3321" s="9"/>
      <c r="H3321" s="20" t="str">
        <f t="shared" si="51"/>
        <v>(nextval('obj_part_id_seq'), (select id from obj_building_v where zip||'|'||street||'|'||name||'|'||volume = '4303|Hintere Liebrüti|Schulhaus Liebrüti|32195.00'), 'P49', 0, null, 2019,null),</v>
      </c>
    </row>
    <row r="3322" spans="1:8" x14ac:dyDescent="0.25">
      <c r="A3322" s="9" t="s">
        <v>3164</v>
      </c>
      <c r="B3322" s="9" t="s">
        <v>1097</v>
      </c>
      <c r="C3322">
        <v>0</v>
      </c>
      <c r="D3322" t="s">
        <v>4080</v>
      </c>
      <c r="E3322">
        <v>2019</v>
      </c>
      <c r="F3322" s="9" t="s">
        <v>1692</v>
      </c>
      <c r="H3322" s="20" t="str">
        <f t="shared" si="51"/>
        <v>(nextval('obj_part_id_seq'), (select id from obj_building_v where zip||'|'||street||'|'||name||'|'||volume = '4303|Hintere Liebrüti|Schulhaus Liebrüti|32195.00'), 'P2', 0, null, 2019,'-'),</v>
      </c>
    </row>
    <row r="3323" spans="1:8" x14ac:dyDescent="0.25">
      <c r="A3323" s="9" t="s">
        <v>3164</v>
      </c>
      <c r="B3323" s="9" t="s">
        <v>1099</v>
      </c>
      <c r="C3323">
        <v>6</v>
      </c>
      <c r="D3323">
        <v>90</v>
      </c>
      <c r="E3323">
        <v>2019</v>
      </c>
      <c r="F3323" s="9" t="s">
        <v>3166</v>
      </c>
      <c r="H3323" s="20" t="str">
        <f t="shared" si="51"/>
        <v>(nextval('obj_part_id_seq'), (select id from obj_building_v where zip||'|'||street||'|'||name||'|'||volume = '4303|Hintere Liebrüti|Schulhaus Liebrüti|32195.00'), 'P3', 6, 90, 2019,'Kies 2017/2018, saniert 2014, Vordach Eingang'),</v>
      </c>
    </row>
    <row r="3324" spans="1:8" x14ac:dyDescent="0.25">
      <c r="A3324" s="9" t="s">
        <v>3164</v>
      </c>
      <c r="B3324" s="9" t="s">
        <v>1100</v>
      </c>
      <c r="C3324">
        <v>11</v>
      </c>
      <c r="D3324">
        <v>80</v>
      </c>
      <c r="E3324">
        <v>2019</v>
      </c>
      <c r="F3324" s="9" t="s">
        <v>3167</v>
      </c>
      <c r="H3324" s="20" t="str">
        <f t="shared" si="51"/>
        <v>(nextval('obj_part_id_seq'), (select id from obj_building_v where zip||'|'||street||'|'||name||'|'||volume = '4303|Hintere Liebrüti|Schulhaus Liebrüti|32195.00'), 'P4', 11, 80, 2019,'Metall, Eternit'),</v>
      </c>
    </row>
    <row r="3325" spans="1:8" x14ac:dyDescent="0.25">
      <c r="A3325" s="9" t="s">
        <v>3164</v>
      </c>
      <c r="B3325" s="9" t="s">
        <v>1102</v>
      </c>
      <c r="C3325">
        <v>9</v>
      </c>
      <c r="D3325">
        <v>90</v>
      </c>
      <c r="E3325">
        <v>2019</v>
      </c>
      <c r="F3325" s="9" t="s">
        <v>3168</v>
      </c>
      <c r="H3325" s="20" t="str">
        <f t="shared" si="51"/>
        <v>(nextval('obj_part_id_seq'), (select id from obj_building_v where zip||'|'||street||'|'||name||'|'||volume = '4303|Hintere Liebrüti|Schulhaus Liebrüti|32195.00'), 'P5', 9, 90, 2019,'Holz-Metall,3-fach IV\nIn Gang Pfosten/Riegel-System\nIn Altbau Metallfenster'),</v>
      </c>
    </row>
    <row r="3326" spans="1:8" x14ac:dyDescent="0.25">
      <c r="A3326" s="9" t="s">
        <v>3164</v>
      </c>
      <c r="B3326" s="9" t="s">
        <v>1164</v>
      </c>
      <c r="C3326">
        <v>6</v>
      </c>
      <c r="D3326">
        <v>90</v>
      </c>
      <c r="E3326">
        <v>2019</v>
      </c>
      <c r="F3326" s="9" t="s">
        <v>1295</v>
      </c>
      <c r="H3326" s="20" t="str">
        <f t="shared" si="51"/>
        <v>(nextval('obj_part_id_seq'), (select id from obj_building_v where zip||'|'||street||'|'||name||'|'||volume = '4303|Hintere Liebrüti|Schulhaus Liebrüti|32195.00'), 'P50', 6, 90, 2019,'Beleuchtung'),</v>
      </c>
    </row>
    <row r="3327" spans="1:8" x14ac:dyDescent="0.25">
      <c r="A3327" s="9" t="s">
        <v>3164</v>
      </c>
      <c r="B3327" s="9" t="s">
        <v>1166</v>
      </c>
      <c r="C3327">
        <v>1</v>
      </c>
      <c r="D3327">
        <v>90</v>
      </c>
      <c r="E3327">
        <v>2019</v>
      </c>
      <c r="F3327" s="9" t="s">
        <v>3169</v>
      </c>
      <c r="H3327" s="20" t="str">
        <f t="shared" si="51"/>
        <v>(nextval('obj_part_id_seq'), (select id from obj_building_v where zip||'|'||street||'|'||name||'|'||volume = '4303|Hintere Liebrüti|Schulhaus Liebrüti|32195.00'), 'P51', 1, 90, 2019,'EDV, Brandmeldeanlage nachgerüstet'),</v>
      </c>
    </row>
    <row r="3328" spans="1:8" x14ac:dyDescent="0.25">
      <c r="A3328" s="9" t="s">
        <v>3164</v>
      </c>
      <c r="B3328" s="9" t="s">
        <v>1104</v>
      </c>
      <c r="C3328">
        <v>1</v>
      </c>
      <c r="D3328">
        <v>90</v>
      </c>
      <c r="E3328">
        <v>2019</v>
      </c>
      <c r="F3328" s="9" t="s">
        <v>1235</v>
      </c>
      <c r="H3328" s="20" t="str">
        <f t="shared" si="51"/>
        <v>(nextval('obj_part_id_seq'), (select id from obj_building_v where zip||'|'||street||'|'||name||'|'||volume = '4303|Hintere Liebrüti|Schulhaus Liebrüti|32195.00'), 'P6', 1, 90, 2019,'Fernwärme'),</v>
      </c>
    </row>
    <row r="3329" spans="1:8" x14ac:dyDescent="0.25">
      <c r="A3329" s="9" t="s">
        <v>3164</v>
      </c>
      <c r="B3329" s="9" t="s">
        <v>1106</v>
      </c>
      <c r="C3329">
        <v>2</v>
      </c>
      <c r="D3329">
        <v>90</v>
      </c>
      <c r="E3329">
        <v>2019</v>
      </c>
      <c r="F3329" s="9" t="s">
        <v>3170</v>
      </c>
      <c r="H3329" s="20" t="str">
        <f t="shared" si="51"/>
        <v>(nextval('obj_part_id_seq'), (select id from obj_building_v where zip||'|'||street||'|'||name||'|'||volume = '4303|Hintere Liebrüti|Schulhaus Liebrüti|32195.00'), 'P7', 2, 90, 2019,'Bodenheizung, Radiatoren mit Thermostaten im Altbau'),</v>
      </c>
    </row>
    <row r="3330" spans="1:8" x14ac:dyDescent="0.25">
      <c r="A3330" s="9" t="s">
        <v>3164</v>
      </c>
      <c r="B3330" s="9" t="s">
        <v>1403</v>
      </c>
      <c r="C3330">
        <v>3</v>
      </c>
      <c r="D3330">
        <v>90</v>
      </c>
      <c r="E3330">
        <v>2019</v>
      </c>
      <c r="F3330" s="9" t="s">
        <v>1850</v>
      </c>
      <c r="H3330" s="20" t="str">
        <f t="shared" si="51"/>
        <v>(nextval('obj_part_id_seq'), (select id from obj_building_v where zip||'|'||street||'|'||name||'|'||volume = '4303|Hintere Liebrüti|Schulhaus Liebrüti|32195.00'), 'P52', 3, 90, 2019,'keine Mängel bekannt'),</v>
      </c>
    </row>
    <row r="3331" spans="1:8" x14ac:dyDescent="0.25">
      <c r="A3331" s="9" t="s">
        <v>3164</v>
      </c>
      <c r="B3331" s="9" t="s">
        <v>1404</v>
      </c>
      <c r="C3331">
        <v>3</v>
      </c>
      <c r="D3331">
        <v>90</v>
      </c>
      <c r="E3331">
        <v>2019</v>
      </c>
      <c r="F3331" s="9" t="s">
        <v>1850</v>
      </c>
      <c r="H3331" s="20" t="str">
        <f t="shared" si="51"/>
        <v>(nextval('obj_part_id_seq'), (select id from obj_building_v where zip||'|'||street||'|'||name||'|'||volume = '4303|Hintere Liebrüti|Schulhaus Liebrüti|32195.00'), 'P53', 3, 90, 2019,'keine Mängel bekannt'),</v>
      </c>
    </row>
    <row r="3332" spans="1:8" x14ac:dyDescent="0.25">
      <c r="A3332" s="9" t="s">
        <v>3164</v>
      </c>
      <c r="B3332" s="9" t="s">
        <v>1108</v>
      </c>
      <c r="C3332">
        <v>4</v>
      </c>
      <c r="D3332">
        <v>90</v>
      </c>
      <c r="E3332">
        <v>2019</v>
      </c>
      <c r="F3332" s="9" t="s">
        <v>3171</v>
      </c>
      <c r="H3332" s="20" t="str">
        <f t="shared" si="51"/>
        <v>(nextval('obj_part_id_seq'), (select id from obj_building_v where zip||'|'||street||'|'||name||'|'||volume = '4303|Hintere Liebrüti|Schulhaus Liebrüti|32195.00'), 'P8', 4, 90, 2019,'genügender Druck vorhanden, Wasser kann ungehindert ablaufen, moderne Apparate und Armaturen, Händetrockner, Waschmaschine'),</v>
      </c>
    </row>
    <row r="3333" spans="1:8" x14ac:dyDescent="0.25">
      <c r="A3333" s="9" t="s">
        <v>3164</v>
      </c>
      <c r="B3333" s="9" t="s">
        <v>1155</v>
      </c>
      <c r="C3333">
        <v>1</v>
      </c>
      <c r="D3333">
        <v>90</v>
      </c>
      <c r="E3333">
        <v>2019</v>
      </c>
      <c r="F3333" s="9" t="s">
        <v>2378</v>
      </c>
      <c r="H3333" s="20" t="str">
        <f t="shared" ref="H3333:H3396" si="52">"(nextval('obj_part_id_seq'), (select id from obj_building_v where zip||'|'||street||'|'||name||'|'||volume = '"&amp;A3333&amp;"'), '"&amp;B3333&amp;"', "&amp;C3333&amp;", "&amp;D3333&amp;", "&amp;IF(ISBLANK(E3333),"null",E3333)&amp;","&amp;IF(ISBLANK(F3333),"null","'"&amp;F3333&amp;"'")&amp;"),"</f>
        <v>(nextval('obj_part_id_seq'), (select id from obj_building_v where zip||'|'||street||'|'||name||'|'||volume = '4303|Hintere Liebrüti|Schulhaus Liebrüti|32195.00'), 'P56', 1, 90, 2019,'Aufzug'),</v>
      </c>
    </row>
    <row r="3334" spans="1:8" x14ac:dyDescent="0.25">
      <c r="A3334" s="9" t="s">
        <v>3164</v>
      </c>
      <c r="B3334" s="9" t="s">
        <v>1138</v>
      </c>
      <c r="C3334">
        <v>12</v>
      </c>
      <c r="D3334">
        <v>90</v>
      </c>
      <c r="E3334">
        <v>2019</v>
      </c>
      <c r="F3334" s="9" t="s">
        <v>3172</v>
      </c>
      <c r="H3334" s="20" t="str">
        <f t="shared" si="52"/>
        <v>(nextval('obj_part_id_seq'), (select id from obj_building_v where zip||'|'||street||'|'||name||'|'||volume = '4303|Hintere Liebrüti|Schulhaus Liebrüti|32195.00'), 'P57', 12, 90, 2019,'Geländer, Einbaukästen, Garderoben, Schulküchen, Wandtafeln (ev. nicht in GV-Wert enth.)'),</v>
      </c>
    </row>
    <row r="3335" spans="1:8" x14ac:dyDescent="0.25">
      <c r="A3335" s="9" t="s">
        <v>3164</v>
      </c>
      <c r="B3335" s="9" t="s">
        <v>1140</v>
      </c>
      <c r="C3335">
        <v>9</v>
      </c>
      <c r="D3335">
        <v>90</v>
      </c>
      <c r="E3335">
        <v>2019</v>
      </c>
      <c r="F3335" s="9" t="s">
        <v>3173</v>
      </c>
      <c r="H3335" s="20" t="str">
        <f t="shared" si="52"/>
        <v>(nextval('obj_part_id_seq'), (select id from obj_building_v where zip||'|'||street||'|'||name||'|'||volume = '4303|Hintere Liebrüti|Schulhaus Liebrüti|32195.00'), 'P58', 9, 90, 2019,'Boden: Linol, Kunststein, Waschbeton in Altbau, Schmutzschleuse textil, Parkett in Werkräumen, Zementboden in Chemiezimmer, Wand: Glasfasertapeten\nKZ: Holz, Decke: Heraklith, in KZ Holz, Akustikdecke, in Verbindungsbau: Metalldecke'),</v>
      </c>
    </row>
    <row r="3336" spans="1:8" x14ac:dyDescent="0.25">
      <c r="A3336" s="9" t="s">
        <v>3164</v>
      </c>
      <c r="B3336" s="9" t="s">
        <v>1142</v>
      </c>
      <c r="C3336">
        <v>0</v>
      </c>
      <c r="D3336" t="s">
        <v>4080</v>
      </c>
      <c r="E3336">
        <v>2019</v>
      </c>
      <c r="F3336" s="9"/>
      <c r="H3336" s="20" t="str">
        <f t="shared" si="52"/>
        <v>(nextval('obj_part_id_seq'), (select id from obj_building_v where zip||'|'||street||'|'||name||'|'||volume = '4303|Hintere Liebrüti|Schulhaus Liebrüti|32195.00'), 'P60', 0, null, 2019,null),</v>
      </c>
    </row>
    <row r="3337" spans="1:8" x14ac:dyDescent="0.25">
      <c r="A3337" s="9" t="s">
        <v>3164</v>
      </c>
      <c r="B3337" s="9" t="s">
        <v>1143</v>
      </c>
      <c r="C3337">
        <v>0</v>
      </c>
      <c r="D3337" t="s">
        <v>4080</v>
      </c>
      <c r="E3337">
        <v>2019</v>
      </c>
      <c r="F3337" s="9"/>
      <c r="H3337" s="20" t="str">
        <f t="shared" si="52"/>
        <v>(nextval('obj_part_id_seq'), (select id from obj_building_v where zip||'|'||street||'|'||name||'|'||volume = '4303|Hintere Liebrüti|Schulhaus Liebrüti|32195.00'), 'P61', 0, null, 2019,null),</v>
      </c>
    </row>
    <row r="3338" spans="1:8" x14ac:dyDescent="0.25">
      <c r="A3338" s="9" t="s">
        <v>3164</v>
      </c>
      <c r="B3338" s="9" t="s">
        <v>1144</v>
      </c>
      <c r="C3338">
        <v>0</v>
      </c>
      <c r="D3338" t="s">
        <v>4080</v>
      </c>
      <c r="E3338">
        <v>2019</v>
      </c>
      <c r="F3338" s="9"/>
      <c r="H3338" s="20" t="str">
        <f t="shared" si="52"/>
        <v>(nextval('obj_part_id_seq'), (select id from obj_building_v where zip||'|'||street||'|'||name||'|'||volume = '4303|Hintere Liebrüti|Schulhaus Liebrüti|32195.00'), 'P62', 0, null, 2019,null),</v>
      </c>
    </row>
    <row r="3339" spans="1:8" x14ac:dyDescent="0.25">
      <c r="A3339" s="9" t="s">
        <v>3174</v>
      </c>
      <c r="B3339" s="9" t="s">
        <v>1127</v>
      </c>
      <c r="C3339">
        <v>41</v>
      </c>
      <c r="D3339">
        <v>90</v>
      </c>
      <c r="E3339">
        <v>2019</v>
      </c>
      <c r="F3339" s="9" t="s">
        <v>3175</v>
      </c>
      <c r="H3339" s="20" t="str">
        <f t="shared" si="52"/>
        <v>(nextval('obj_part_id_seq'), (select id from obj_building_v where zip||'|'||street||'|'||name||'|'||volume = '4303|Hintere Liebrüti|Pavillon Liebrüti|2204.00'), 'P48', 41, 90, 2019,'Systemholzbau (Erne)'),</v>
      </c>
    </row>
    <row r="3340" spans="1:8" x14ac:dyDescent="0.25">
      <c r="A3340" s="9" t="s">
        <v>3174</v>
      </c>
      <c r="B3340" s="9" t="s">
        <v>1129</v>
      </c>
      <c r="C3340">
        <v>0</v>
      </c>
      <c r="D3340" t="s">
        <v>4080</v>
      </c>
      <c r="E3340">
        <v>2019</v>
      </c>
      <c r="F3340" s="9"/>
      <c r="H3340" s="20" t="str">
        <f t="shared" si="52"/>
        <v>(nextval('obj_part_id_seq'), (select id from obj_building_v where zip||'|'||street||'|'||name||'|'||volume = '4303|Hintere Liebrüti|Pavillon Liebrüti|2204.00'), 'P49', 0, null, 2019,null),</v>
      </c>
    </row>
    <row r="3341" spans="1:8" x14ac:dyDescent="0.25">
      <c r="A3341" s="9" t="s">
        <v>3174</v>
      </c>
      <c r="B3341" s="9" t="s">
        <v>1097</v>
      </c>
      <c r="C3341">
        <v>0</v>
      </c>
      <c r="D3341" t="s">
        <v>4080</v>
      </c>
      <c r="E3341">
        <v>2019</v>
      </c>
      <c r="F3341" s="9"/>
      <c r="H3341" s="20" t="str">
        <f t="shared" si="52"/>
        <v>(nextval('obj_part_id_seq'), (select id from obj_building_v where zip||'|'||street||'|'||name||'|'||volume = '4303|Hintere Liebrüti|Pavillon Liebrüti|2204.00'), 'P2', 0, null, 2019,null),</v>
      </c>
    </row>
    <row r="3342" spans="1:8" x14ac:dyDescent="0.25">
      <c r="A3342" s="9" t="s">
        <v>3174</v>
      </c>
      <c r="B3342" s="9" t="s">
        <v>1099</v>
      </c>
      <c r="C3342">
        <v>8</v>
      </c>
      <c r="D3342">
        <v>90</v>
      </c>
      <c r="E3342">
        <v>2019</v>
      </c>
      <c r="F3342" s="9" t="s">
        <v>1874</v>
      </c>
      <c r="H3342" s="20" t="str">
        <f t="shared" si="52"/>
        <v>(nextval('obj_part_id_seq'), (select id from obj_building_v where zip||'|'||street||'|'||name||'|'||volume = '4303|Hintere Liebrüti|Pavillon Liebrüti|2204.00'), 'P3', 8, 90, 2019,'Kiesklebedach'),</v>
      </c>
    </row>
    <row r="3343" spans="1:8" x14ac:dyDescent="0.25">
      <c r="A3343" s="9" t="s">
        <v>3174</v>
      </c>
      <c r="B3343" s="9" t="s">
        <v>1100</v>
      </c>
      <c r="C3343">
        <v>7</v>
      </c>
      <c r="D3343">
        <v>90</v>
      </c>
      <c r="E3343">
        <v>2019</v>
      </c>
      <c r="F3343" s="9" t="s">
        <v>3176</v>
      </c>
      <c r="H3343" s="20" t="str">
        <f t="shared" si="52"/>
        <v>(nextval('obj_part_id_seq'), (select id from obj_building_v where zip||'|'||street||'|'||name||'|'||volume = '4303|Hintere Liebrüti|Pavillon Liebrüti|2204.00'), 'P4', 7, 90, 2019,'Eternitplatten, grossformatig'),</v>
      </c>
    </row>
    <row r="3344" spans="1:8" x14ac:dyDescent="0.25">
      <c r="A3344" s="9" t="s">
        <v>3174</v>
      </c>
      <c r="B3344" s="9" t="s">
        <v>1102</v>
      </c>
      <c r="C3344">
        <v>10</v>
      </c>
      <c r="D3344">
        <v>90</v>
      </c>
      <c r="E3344">
        <v>2019</v>
      </c>
      <c r="F3344" s="9" t="s">
        <v>3177</v>
      </c>
      <c r="H3344" s="20" t="str">
        <f t="shared" si="52"/>
        <v>(nextval('obj_part_id_seq'), (select id from obj_building_v where zip||'|'||street||'|'||name||'|'||volume = '4303|Hintere Liebrüti|Pavillon Liebrüti|2204.00'), 'P5', 10, 90, 2019,'Kunststofffenster, Aussentür aus Metall, Rafflamellenstoren, man.'),</v>
      </c>
    </row>
    <row r="3345" spans="1:8" x14ac:dyDescent="0.25">
      <c r="A3345" s="9" t="s">
        <v>3174</v>
      </c>
      <c r="B3345" s="9" t="s">
        <v>1164</v>
      </c>
      <c r="C3345">
        <v>6</v>
      </c>
      <c r="D3345">
        <v>90</v>
      </c>
      <c r="E3345">
        <v>2019</v>
      </c>
      <c r="F3345" s="9" t="s">
        <v>3178</v>
      </c>
      <c r="H3345" s="20" t="str">
        <f t="shared" si="52"/>
        <v>(nextval('obj_part_id_seq'), (select id from obj_building_v where zip||'|'||street||'|'||name||'|'||volume = '4303|Hintere Liebrüti|Pavillon Liebrüti|2204.00'), 'P50', 6, 90, 2019,'Genügende Absicherung, Beleuchtung, Uhrenanlage, Beamer'),</v>
      </c>
    </row>
    <row r="3346" spans="1:8" x14ac:dyDescent="0.25">
      <c r="A3346" s="9" t="s">
        <v>3174</v>
      </c>
      <c r="B3346" s="9" t="s">
        <v>1166</v>
      </c>
      <c r="C3346">
        <v>1</v>
      </c>
      <c r="D3346">
        <v>90</v>
      </c>
      <c r="E3346">
        <v>2019</v>
      </c>
      <c r="F3346" s="9" t="s">
        <v>3179</v>
      </c>
      <c r="H3346" s="20" t="str">
        <f t="shared" si="52"/>
        <v>(nextval('obj_part_id_seq'), (select id from obj_building_v where zip||'|'||street||'|'||name||'|'||volume = '4303|Hintere Liebrüti|Pavillon Liebrüti|2204.00'), 'P51', 1, 90, 2019,'EDV'),</v>
      </c>
    </row>
    <row r="3347" spans="1:8" x14ac:dyDescent="0.25">
      <c r="A3347" s="9" t="s">
        <v>3174</v>
      </c>
      <c r="B3347" s="9" t="s">
        <v>1104</v>
      </c>
      <c r="C3347">
        <v>1</v>
      </c>
      <c r="D3347">
        <v>90</v>
      </c>
      <c r="E3347">
        <v>2019</v>
      </c>
      <c r="F3347" s="9" t="s">
        <v>1235</v>
      </c>
      <c r="H3347" s="20" t="str">
        <f t="shared" si="52"/>
        <v>(nextval('obj_part_id_seq'), (select id from obj_building_v where zip||'|'||street||'|'||name||'|'||volume = '4303|Hintere Liebrüti|Pavillon Liebrüti|2204.00'), 'P6', 1, 90, 2019,'Fernwärme'),</v>
      </c>
    </row>
    <row r="3348" spans="1:8" x14ac:dyDescent="0.25">
      <c r="A3348" s="9" t="s">
        <v>3174</v>
      </c>
      <c r="B3348" s="9" t="s">
        <v>1106</v>
      </c>
      <c r="C3348">
        <v>3</v>
      </c>
      <c r="D3348">
        <v>90</v>
      </c>
      <c r="E3348">
        <v>2019</v>
      </c>
      <c r="F3348" s="9" t="s">
        <v>1107</v>
      </c>
      <c r="H3348" s="20" t="str">
        <f t="shared" si="52"/>
        <v>(nextval('obj_part_id_seq'), (select id from obj_building_v where zip||'|'||street||'|'||name||'|'||volume = '4303|Hintere Liebrüti|Pavillon Liebrüti|2204.00'), 'P7', 3, 90, 2019,'Radiatoren mit Thermostaten'),</v>
      </c>
    </row>
    <row r="3349" spans="1:8" x14ac:dyDescent="0.25">
      <c r="A3349" s="9" t="s">
        <v>3174</v>
      </c>
      <c r="B3349" s="9" t="s">
        <v>1108</v>
      </c>
      <c r="C3349">
        <v>4</v>
      </c>
      <c r="D3349">
        <v>90</v>
      </c>
      <c r="E3349">
        <v>2019</v>
      </c>
      <c r="F3349" s="9" t="s">
        <v>3180</v>
      </c>
      <c r="H3349" s="20" t="str">
        <f t="shared" si="52"/>
        <v>(nextval('obj_part_id_seq'), (select id from obj_building_v where zip||'|'||street||'|'||name||'|'||volume = '4303|Hintere Liebrüti|Pavillon Liebrüti|2204.00'), 'P8', 4, 90, 2019,'Zeitgemässe Armaturen und Apparate, keine Mängel bekannt'),</v>
      </c>
    </row>
    <row r="3350" spans="1:8" x14ac:dyDescent="0.25">
      <c r="A3350" s="9" t="s">
        <v>3174</v>
      </c>
      <c r="B3350" s="9" t="s">
        <v>1138</v>
      </c>
      <c r="C3350">
        <v>11</v>
      </c>
      <c r="D3350">
        <v>90</v>
      </c>
      <c r="E3350">
        <v>2019</v>
      </c>
      <c r="F3350" s="9" t="s">
        <v>3181</v>
      </c>
      <c r="H3350" s="20" t="str">
        <f t="shared" si="52"/>
        <v>(nextval('obj_part_id_seq'), (select id from obj_building_v where zip||'|'||street||'|'||name||'|'||volume = '4303|Hintere Liebrüti|Pavillon Liebrüti|2204.00'), 'P57', 11, 90, 2019,'Wandtafeln, Garderobe, Innentüren'),</v>
      </c>
    </row>
    <row r="3351" spans="1:8" x14ac:dyDescent="0.25">
      <c r="A3351" s="9" t="s">
        <v>3174</v>
      </c>
      <c r="B3351" s="9" t="s">
        <v>1140</v>
      </c>
      <c r="C3351">
        <v>8</v>
      </c>
      <c r="D3351">
        <v>90</v>
      </c>
      <c r="E3351">
        <v>2019</v>
      </c>
      <c r="F3351" s="9" t="s">
        <v>3182</v>
      </c>
      <c r="H3351" s="20" t="str">
        <f t="shared" si="52"/>
        <v>(nextval('obj_part_id_seq'), (select id from obj_building_v where zip||'|'||street||'|'||name||'|'||volume = '4303|Hintere Liebrüti|Pavillon Liebrüti|2204.00'), 'P58', 8, 90, 2019,'Boden: Linol, im Eingangsbereich Schmutzschleuse\nWand: Glasfasertapeten\nDecke: Holz'),</v>
      </c>
    </row>
    <row r="3352" spans="1:8" x14ac:dyDescent="0.25">
      <c r="A3352" s="9" t="s">
        <v>3174</v>
      </c>
      <c r="B3352" s="9" t="s">
        <v>1142</v>
      </c>
      <c r="C3352">
        <v>0</v>
      </c>
      <c r="D3352" t="s">
        <v>4080</v>
      </c>
      <c r="E3352">
        <v>2019</v>
      </c>
      <c r="F3352" s="9"/>
      <c r="H3352" s="20" t="str">
        <f t="shared" si="52"/>
        <v>(nextval('obj_part_id_seq'), (select id from obj_building_v where zip||'|'||street||'|'||name||'|'||volume = '4303|Hintere Liebrüti|Pavillon Liebrüti|2204.00'), 'P60', 0, null, 2019,null),</v>
      </c>
    </row>
    <row r="3353" spans="1:8" x14ac:dyDescent="0.25">
      <c r="A3353" s="9" t="s">
        <v>3174</v>
      </c>
      <c r="B3353" s="9" t="s">
        <v>1143</v>
      </c>
      <c r="C3353">
        <v>0</v>
      </c>
      <c r="D3353" t="s">
        <v>4080</v>
      </c>
      <c r="E3353">
        <v>2019</v>
      </c>
      <c r="F3353" s="9"/>
      <c r="H3353" s="20" t="str">
        <f t="shared" si="52"/>
        <v>(nextval('obj_part_id_seq'), (select id from obj_building_v where zip||'|'||street||'|'||name||'|'||volume = '4303|Hintere Liebrüti|Pavillon Liebrüti|2204.00'), 'P61', 0, null, 2019,null),</v>
      </c>
    </row>
    <row r="3354" spans="1:8" x14ac:dyDescent="0.25">
      <c r="A3354" s="9" t="s">
        <v>3174</v>
      </c>
      <c r="B3354" s="9" t="s">
        <v>1144</v>
      </c>
      <c r="C3354">
        <v>0</v>
      </c>
      <c r="D3354" t="s">
        <v>4080</v>
      </c>
      <c r="E3354">
        <v>2019</v>
      </c>
      <c r="F3354" s="9"/>
      <c r="H3354" s="20" t="str">
        <f t="shared" si="52"/>
        <v>(nextval('obj_part_id_seq'), (select id from obj_building_v where zip||'|'||street||'|'||name||'|'||volume = '4303|Hintere Liebrüti|Pavillon Liebrüti|2204.00'), 'P62', 0, null, 2019,null),</v>
      </c>
    </row>
    <row r="3355" spans="1:8" x14ac:dyDescent="0.25">
      <c r="A3355" s="9" t="s">
        <v>3183</v>
      </c>
      <c r="B3355" s="9" t="s">
        <v>1127</v>
      </c>
      <c r="C3355">
        <v>34</v>
      </c>
      <c r="D3355">
        <v>90</v>
      </c>
      <c r="E3355">
        <v>2019</v>
      </c>
      <c r="F3355" s="9" t="s">
        <v>3184</v>
      </c>
      <c r="H3355" s="20" t="str">
        <f t="shared" si="52"/>
        <v>(nextval('obj_part_id_seq'), (select id from obj_building_v where zip||'|'||street||'|'||name||'|'||volume = '4303|Hintere Liebrüti|Turnhalle Liebrüti|23095.00'), 'P48', 34, 90, 2019,'Stahlstützen, Stahlbeton'),</v>
      </c>
    </row>
    <row r="3356" spans="1:8" x14ac:dyDescent="0.25">
      <c r="A3356" s="9" t="s">
        <v>3183</v>
      </c>
      <c r="B3356" s="9" t="s">
        <v>1129</v>
      </c>
      <c r="C3356">
        <v>0</v>
      </c>
      <c r="D3356" t="s">
        <v>4080</v>
      </c>
      <c r="E3356">
        <v>2019</v>
      </c>
      <c r="F3356" s="9"/>
      <c r="H3356" s="20" t="str">
        <f t="shared" si="52"/>
        <v>(nextval('obj_part_id_seq'), (select id from obj_building_v where zip||'|'||street||'|'||name||'|'||volume = '4303|Hintere Liebrüti|Turnhalle Liebrüti|23095.00'), 'P49', 0, null, 2019,null),</v>
      </c>
    </row>
    <row r="3357" spans="1:8" x14ac:dyDescent="0.25">
      <c r="A3357" s="9" t="s">
        <v>3183</v>
      </c>
      <c r="B3357" s="9" t="s">
        <v>1097</v>
      </c>
      <c r="C3357">
        <v>0</v>
      </c>
      <c r="D3357" t="s">
        <v>4080</v>
      </c>
      <c r="E3357">
        <v>2019</v>
      </c>
      <c r="F3357" s="9"/>
      <c r="H3357" s="20" t="str">
        <f t="shared" si="52"/>
        <v>(nextval('obj_part_id_seq'), (select id from obj_building_v where zip||'|'||street||'|'||name||'|'||volume = '4303|Hintere Liebrüti|Turnhalle Liebrüti|23095.00'), 'P2', 0, null, 2019,null),</v>
      </c>
    </row>
    <row r="3358" spans="1:8" x14ac:dyDescent="0.25">
      <c r="A3358" s="9" t="s">
        <v>3183</v>
      </c>
      <c r="B3358" s="9" t="s">
        <v>1099</v>
      </c>
      <c r="C3358">
        <v>13</v>
      </c>
      <c r="D3358">
        <v>80</v>
      </c>
      <c r="E3358">
        <v>2019</v>
      </c>
      <c r="F3358" s="9" t="s">
        <v>3185</v>
      </c>
      <c r="H3358" s="20" t="str">
        <f t="shared" si="52"/>
        <v>(nextval('obj_part_id_seq'), (select id from obj_building_v where zip||'|'||street||'|'||name||'|'||volume = '4303|Hintere Liebrüti|Turnhalle Liebrüti|23095.00'), 'P3', 13, 80, 2019,'Extensivbegrünung, Vordächer: Gitterroste mit Glas'),</v>
      </c>
    </row>
    <row r="3359" spans="1:8" x14ac:dyDescent="0.25">
      <c r="A3359" s="9" t="s">
        <v>3183</v>
      </c>
      <c r="B3359" s="9" t="s">
        <v>1100</v>
      </c>
      <c r="C3359">
        <v>6</v>
      </c>
      <c r="D3359">
        <v>90</v>
      </c>
      <c r="E3359">
        <v>2019</v>
      </c>
      <c r="F3359" s="9" t="s">
        <v>3186</v>
      </c>
      <c r="H3359" s="20" t="str">
        <f t="shared" si="52"/>
        <v>(nextval('obj_part_id_seq'), (select id from obj_building_v where zip||'|'||street||'|'||name||'|'||volume = '4303|Hintere Liebrüti|Turnhalle Liebrüti|23095.00'), 'P4', 6, 90, 2019,'Metallpaneele'),</v>
      </c>
    </row>
    <row r="3360" spans="1:8" x14ac:dyDescent="0.25">
      <c r="A3360" s="9" t="s">
        <v>3183</v>
      </c>
      <c r="B3360" s="9" t="s">
        <v>1102</v>
      </c>
      <c r="C3360">
        <v>8</v>
      </c>
      <c r="D3360">
        <v>90</v>
      </c>
      <c r="E3360">
        <v>2019</v>
      </c>
      <c r="F3360" s="9" t="s">
        <v>3187</v>
      </c>
      <c r="H3360" s="20" t="str">
        <f t="shared" si="52"/>
        <v>(nextval('obj_part_id_seq'), (select id from obj_building_v where zip||'|'||street||'|'||name||'|'||volume = '4303|Hintere Liebrüti|Turnhalle Liebrüti|23095.00'), 'P5', 8, 90, 2019,'Pfosten-/Riegelsystem, Metalltüren'),</v>
      </c>
    </row>
    <row r="3361" spans="1:8" x14ac:dyDescent="0.25">
      <c r="A3361" s="9" t="s">
        <v>3183</v>
      </c>
      <c r="B3361" s="9" t="s">
        <v>1110</v>
      </c>
      <c r="C3361">
        <v>5</v>
      </c>
      <c r="D3361">
        <v>80</v>
      </c>
      <c r="E3361">
        <v>2019</v>
      </c>
      <c r="F3361" s="9" t="s">
        <v>3188</v>
      </c>
      <c r="H3361" s="20" t="str">
        <f t="shared" si="52"/>
        <v>(nextval('obj_part_id_seq'), (select id from obj_building_v where zip||'|'||street||'|'||name||'|'||volume = '4303|Hintere Liebrüti|Turnhalle Liebrüti|23095.00'), 'P9', 5, 80, 2019,'EDV, Beleuchtung alt, tw. alte Sicherungen (kein Ersatz mehr erhältlich)'),</v>
      </c>
    </row>
    <row r="3362" spans="1:8" x14ac:dyDescent="0.25">
      <c r="A3362" s="9" t="s">
        <v>3183</v>
      </c>
      <c r="B3362" s="9" t="s">
        <v>1104</v>
      </c>
      <c r="C3362">
        <v>1</v>
      </c>
      <c r="D3362">
        <v>90</v>
      </c>
      <c r="E3362">
        <v>2019</v>
      </c>
      <c r="F3362" s="9" t="s">
        <v>1235</v>
      </c>
      <c r="H3362" s="20" t="str">
        <f t="shared" si="52"/>
        <v>(nextval('obj_part_id_seq'), (select id from obj_building_v where zip||'|'||street||'|'||name||'|'||volume = '4303|Hintere Liebrüti|Turnhalle Liebrüti|23095.00'), 'P6', 1, 90, 2019,'Fernwärme'),</v>
      </c>
    </row>
    <row r="3363" spans="1:8" x14ac:dyDescent="0.25">
      <c r="A3363" s="9" t="s">
        <v>3183</v>
      </c>
      <c r="B3363" s="9" t="s">
        <v>1106</v>
      </c>
      <c r="C3363">
        <v>3</v>
      </c>
      <c r="D3363">
        <v>90</v>
      </c>
      <c r="E3363">
        <v>2019</v>
      </c>
      <c r="F3363" s="9" t="s">
        <v>1107</v>
      </c>
      <c r="H3363" s="20" t="str">
        <f t="shared" si="52"/>
        <v>(nextval('obj_part_id_seq'), (select id from obj_building_v where zip||'|'||street||'|'||name||'|'||volume = '4303|Hintere Liebrüti|Turnhalle Liebrüti|23095.00'), 'P7', 3, 90, 2019,'Radiatoren mit Thermostaten'),</v>
      </c>
    </row>
    <row r="3364" spans="1:8" x14ac:dyDescent="0.25">
      <c r="A3364" s="9" t="s">
        <v>3183</v>
      </c>
      <c r="B3364" s="9" t="s">
        <v>1403</v>
      </c>
      <c r="C3364">
        <v>2</v>
      </c>
      <c r="D3364">
        <v>80</v>
      </c>
      <c r="E3364">
        <v>2019</v>
      </c>
      <c r="F3364" s="9" t="s">
        <v>3189</v>
      </c>
      <c r="H3364" s="20" t="str">
        <f t="shared" si="52"/>
        <v>(nextval('obj_part_id_seq'), (select id from obj_building_v where zip||'|'||street||'|'||name||'|'||volume = '4303|Hintere Liebrüti|Turnhalle Liebrüti|23095.00'), 'P52', 2, 80, 2019,'Lüftungsanlage alt, rev., Schtzraumlüftung'),</v>
      </c>
    </row>
    <row r="3365" spans="1:8" x14ac:dyDescent="0.25">
      <c r="A3365" s="9" t="s">
        <v>3183</v>
      </c>
      <c r="B3365" s="9" t="s">
        <v>1404</v>
      </c>
      <c r="C3365">
        <v>2</v>
      </c>
      <c r="D3365">
        <v>85</v>
      </c>
      <c r="E3365">
        <v>2019</v>
      </c>
      <c r="F3365" s="9" t="s">
        <v>1850</v>
      </c>
      <c r="H3365" s="20" t="str">
        <f t="shared" si="52"/>
        <v>(nextval('obj_part_id_seq'), (select id from obj_building_v where zip||'|'||street||'|'||name||'|'||volume = '4303|Hintere Liebrüti|Turnhalle Liebrüti|23095.00'), 'P53', 2, 85, 2019,'keine Mängel bekannt'),</v>
      </c>
    </row>
    <row r="3366" spans="1:8" x14ac:dyDescent="0.25">
      <c r="A3366" s="9" t="s">
        <v>3183</v>
      </c>
      <c r="B3366" s="9" t="s">
        <v>1135</v>
      </c>
      <c r="C3366">
        <v>2</v>
      </c>
      <c r="D3366">
        <v>90</v>
      </c>
      <c r="E3366">
        <v>2019</v>
      </c>
      <c r="F3366" s="9" t="s">
        <v>3190</v>
      </c>
      <c r="H3366" s="20" t="str">
        <f t="shared" si="52"/>
        <v>(nextval('obj_part_id_seq'), (select id from obj_building_v where zip||'|'||street||'|'||name||'|'||volume = '4303|Hintere Liebrüti|Turnhalle Liebrüti|23095.00'), 'P54', 2, 90, 2019,'Apparate ok'),</v>
      </c>
    </row>
    <row r="3367" spans="1:8" x14ac:dyDescent="0.25">
      <c r="A3367" s="9" t="s">
        <v>3183</v>
      </c>
      <c r="B3367" s="9" t="s">
        <v>1137</v>
      </c>
      <c r="C3367">
        <v>3</v>
      </c>
      <c r="D3367">
        <v>70</v>
      </c>
      <c r="E3367">
        <v>2019</v>
      </c>
      <c r="F3367" s="9" t="s">
        <v>3191</v>
      </c>
      <c r="H3367" s="20" t="str">
        <f t="shared" si="52"/>
        <v>(nextval('obj_part_id_seq'), (select id from obj_building_v where zip||'|'||street||'|'||name||'|'||volume = '4303|Hintere Liebrüti|Turnhalle Liebrüti|23095.00'), 'P55', 3, 70, 2019,'Leitungen und Abläufe rostig, Bewässerungsanlage Spielfeld'),</v>
      </c>
    </row>
    <row r="3368" spans="1:8" x14ac:dyDescent="0.25">
      <c r="A3368" s="9" t="s">
        <v>3183</v>
      </c>
      <c r="B3368" s="9" t="s">
        <v>1138</v>
      </c>
      <c r="C3368">
        <v>10</v>
      </c>
      <c r="D3368">
        <v>90</v>
      </c>
      <c r="E3368">
        <v>2019</v>
      </c>
      <c r="F3368" s="9" t="s">
        <v>3192</v>
      </c>
      <c r="H3368" s="20" t="str">
        <f t="shared" si="52"/>
        <v>(nextval('obj_part_id_seq'), (select id from obj_building_v where zip||'|'||street||'|'||name||'|'||volume = '4303|Hintere Liebrüti|Turnhalle Liebrüti|23095.00'), 'P57', 10, 90, 2019,'Küchen, Garderoben, Türzargen tw. rostig, Kletterwand, Turngeräte'),</v>
      </c>
    </row>
    <row r="3369" spans="1:8" x14ac:dyDescent="0.25">
      <c r="A3369" s="9" t="s">
        <v>3183</v>
      </c>
      <c r="B3369" s="9" t="s">
        <v>1140</v>
      </c>
      <c r="C3369">
        <v>11</v>
      </c>
      <c r="D3369">
        <v>85</v>
      </c>
      <c r="E3369">
        <v>2019</v>
      </c>
      <c r="F3369" s="9" t="s">
        <v>3193</v>
      </c>
      <c r="H3369" s="20" t="str">
        <f t="shared" si="52"/>
        <v>(nextval('obj_part_id_seq'), (select id from obj_building_v where zip||'|'||street||'|'||name||'|'||volume = '4303|Hintere Liebrüti|Turnhalle Liebrüti|23095.00'), 'P58', 11, 85, 2019,'Boden: Keramik, Kunststoff, TH-Boden vor 2 Jahren saniert für ca. CHF 90''000\nWand: Gips, Holz, Abrieb\nDach: Holz, Metall im UG'),</v>
      </c>
    </row>
    <row r="3370" spans="1:8" x14ac:dyDescent="0.25">
      <c r="A3370" s="9" t="s">
        <v>3183</v>
      </c>
      <c r="B3370" s="9" t="s">
        <v>1142</v>
      </c>
      <c r="C3370">
        <v>0</v>
      </c>
      <c r="D3370" t="s">
        <v>4080</v>
      </c>
      <c r="E3370">
        <v>2019</v>
      </c>
      <c r="F3370" s="9"/>
      <c r="H3370" s="20" t="str">
        <f t="shared" si="52"/>
        <v>(nextval('obj_part_id_seq'), (select id from obj_building_v where zip||'|'||street||'|'||name||'|'||volume = '4303|Hintere Liebrüti|Turnhalle Liebrüti|23095.00'), 'P60', 0, null, 2019,null),</v>
      </c>
    </row>
    <row r="3371" spans="1:8" x14ac:dyDescent="0.25">
      <c r="A3371" s="9" t="s">
        <v>3183</v>
      </c>
      <c r="B3371" s="9" t="s">
        <v>1143</v>
      </c>
      <c r="C3371">
        <v>0</v>
      </c>
      <c r="D3371" t="s">
        <v>4080</v>
      </c>
      <c r="E3371">
        <v>2019</v>
      </c>
      <c r="F3371" s="9"/>
      <c r="H3371" s="20" t="str">
        <f t="shared" si="52"/>
        <v>(nextval('obj_part_id_seq'), (select id from obj_building_v where zip||'|'||street||'|'||name||'|'||volume = '4303|Hintere Liebrüti|Turnhalle Liebrüti|23095.00'), 'P61', 0, null, 2019,null),</v>
      </c>
    </row>
    <row r="3372" spans="1:8" x14ac:dyDescent="0.25">
      <c r="A3372" s="9" t="s">
        <v>3183</v>
      </c>
      <c r="B3372" s="9" t="s">
        <v>1144</v>
      </c>
      <c r="C3372">
        <v>0</v>
      </c>
      <c r="D3372" t="s">
        <v>4080</v>
      </c>
      <c r="E3372">
        <v>2019</v>
      </c>
      <c r="F3372" s="9"/>
      <c r="H3372" s="20" t="str">
        <f t="shared" si="52"/>
        <v>(nextval('obj_part_id_seq'), (select id from obj_building_v where zip||'|'||street||'|'||name||'|'||volume = '4303|Hintere Liebrüti|Turnhalle Liebrüti|23095.00'), 'P62', 0, null, 2019,null),</v>
      </c>
    </row>
    <row r="3373" spans="1:8" x14ac:dyDescent="0.25">
      <c r="A3373" s="9" t="s">
        <v>3194</v>
      </c>
      <c r="B3373" s="9" t="s">
        <v>1095</v>
      </c>
      <c r="C3373">
        <v>42</v>
      </c>
      <c r="D3373">
        <v>90</v>
      </c>
      <c r="E3373">
        <v>2019</v>
      </c>
      <c r="F3373" s="9" t="s">
        <v>1192</v>
      </c>
      <c r="H3373" s="20" t="str">
        <f t="shared" si="52"/>
        <v>(nextval('obj_part_id_seq'), (select id from obj_building_v where zip||'|'||street||'|'||name||'|'||volume = '4303|Hintere Liebrüti, Böttmeweg|Gerätehaus Liebrüti|289.00'), 'P1', 42, 90, 2019,'Stahlbeton'),</v>
      </c>
    </row>
    <row r="3374" spans="1:8" x14ac:dyDescent="0.25">
      <c r="A3374" s="9" t="s">
        <v>3194</v>
      </c>
      <c r="B3374" s="9" t="s">
        <v>1097</v>
      </c>
      <c r="C3374">
        <v>0</v>
      </c>
      <c r="D3374" t="s">
        <v>4080</v>
      </c>
      <c r="E3374">
        <v>2019</v>
      </c>
      <c r="F3374" s="9"/>
      <c r="H3374" s="20" t="str">
        <f t="shared" si="52"/>
        <v>(nextval('obj_part_id_seq'), (select id from obj_building_v where zip||'|'||street||'|'||name||'|'||volume = '4303|Hintere Liebrüti, Böttmeweg|Gerätehaus Liebrüti|289.00'), 'P2', 0, null, 2019,null),</v>
      </c>
    </row>
    <row r="3375" spans="1:8" x14ac:dyDescent="0.25">
      <c r="A3375" s="9" t="s">
        <v>3194</v>
      </c>
      <c r="B3375" s="9" t="s">
        <v>1099</v>
      </c>
      <c r="C3375">
        <v>10</v>
      </c>
      <c r="D3375">
        <v>85</v>
      </c>
      <c r="E3375">
        <v>2019</v>
      </c>
      <c r="F3375" s="9" t="s">
        <v>3195</v>
      </c>
      <c r="H3375" s="20" t="str">
        <f t="shared" si="52"/>
        <v>(nextval('obj_part_id_seq'), (select id from obj_building_v where zip||'|'||street||'|'||name||'|'||volume = '4303|Hintere Liebrüti, Böttmeweg|Gerätehaus Liebrüti|289.00'), 'P3', 10, 85, 2019,'Ext. begrüntes Kiesdach, Cupolux Oblicht (defekt)'),</v>
      </c>
    </row>
    <row r="3376" spans="1:8" x14ac:dyDescent="0.25">
      <c r="A3376" s="9" t="s">
        <v>3194</v>
      </c>
      <c r="B3376" s="9" t="s">
        <v>1100</v>
      </c>
      <c r="C3376">
        <v>8</v>
      </c>
      <c r="D3376">
        <v>90</v>
      </c>
      <c r="E3376">
        <v>2019</v>
      </c>
      <c r="F3376" s="9" t="s">
        <v>3196</v>
      </c>
      <c r="H3376" s="20" t="str">
        <f t="shared" si="52"/>
        <v>(nextval('obj_part_id_seq'), (select id from obj_building_v where zip||'|'||street||'|'||name||'|'||volume = '4303|Hintere Liebrüti, Böttmeweg|Gerätehaus Liebrüti|289.00'), 'P4', 8, 90, 2019,'Sichtbeton mit Anstrich'),</v>
      </c>
    </row>
    <row r="3377" spans="1:8" x14ac:dyDescent="0.25">
      <c r="A3377" s="9" t="s">
        <v>3194</v>
      </c>
      <c r="B3377" s="9" t="s">
        <v>1102</v>
      </c>
      <c r="C3377">
        <v>8</v>
      </c>
      <c r="D3377">
        <v>90</v>
      </c>
      <c r="E3377">
        <v>2019</v>
      </c>
      <c r="F3377" s="9" t="s">
        <v>3197</v>
      </c>
      <c r="H3377" s="20" t="str">
        <f t="shared" si="52"/>
        <v>(nextval('obj_part_id_seq'), (select id from obj_building_v where zip||'|'||street||'|'||name||'|'||volume = '4303|Hintere Liebrüti, Böttmeweg|Gerätehaus Liebrüti|289.00'), 'P5', 8, 90, 2019,'Aussentüre aus Holz'),</v>
      </c>
    </row>
    <row r="3378" spans="1:8" x14ac:dyDescent="0.25">
      <c r="A3378" s="9" t="s">
        <v>3194</v>
      </c>
      <c r="B3378" s="9" t="s">
        <v>1104</v>
      </c>
      <c r="C3378">
        <v>0</v>
      </c>
      <c r="D3378" t="s">
        <v>4080</v>
      </c>
      <c r="E3378">
        <v>2019</v>
      </c>
      <c r="F3378" s="9"/>
      <c r="H3378" s="20" t="str">
        <f t="shared" si="52"/>
        <v>(nextval('obj_part_id_seq'), (select id from obj_building_v where zip||'|'||street||'|'||name||'|'||volume = '4303|Hintere Liebrüti, Böttmeweg|Gerätehaus Liebrüti|289.00'), 'P6', 0, null, 2019,null),</v>
      </c>
    </row>
    <row r="3379" spans="1:8" x14ac:dyDescent="0.25">
      <c r="A3379" s="9" t="s">
        <v>3194</v>
      </c>
      <c r="B3379" s="9" t="s">
        <v>1106</v>
      </c>
      <c r="C3379">
        <v>0</v>
      </c>
      <c r="D3379" t="s">
        <v>4080</v>
      </c>
      <c r="E3379">
        <v>2019</v>
      </c>
      <c r="F3379" s="9"/>
      <c r="H3379" s="20" t="str">
        <f t="shared" si="52"/>
        <v>(nextval('obj_part_id_seq'), (select id from obj_building_v where zip||'|'||street||'|'||name||'|'||volume = '4303|Hintere Liebrüti, Böttmeweg|Gerätehaus Liebrüti|289.00'), 'P7', 0, null, 2019,null),</v>
      </c>
    </row>
    <row r="3380" spans="1:8" x14ac:dyDescent="0.25">
      <c r="A3380" s="9" t="s">
        <v>3194</v>
      </c>
      <c r="B3380" s="9" t="s">
        <v>1108</v>
      </c>
      <c r="C3380">
        <v>6</v>
      </c>
      <c r="D3380">
        <v>90</v>
      </c>
      <c r="E3380">
        <v>2019</v>
      </c>
      <c r="F3380" s="9" t="s">
        <v>3198</v>
      </c>
      <c r="H3380" s="20" t="str">
        <f t="shared" si="52"/>
        <v>(nextval('obj_part_id_seq'), (select id from obj_building_v where zip||'|'||street||'|'||name||'|'||volume = '4303|Hintere Liebrüti, Böttmeweg|Gerätehaus Liebrüti|289.00'), 'P8', 6, 90, 2019,'Rasenbewässerung'),</v>
      </c>
    </row>
    <row r="3381" spans="1:8" x14ac:dyDescent="0.25">
      <c r="A3381" s="9" t="s">
        <v>3194</v>
      </c>
      <c r="B3381" s="9" t="s">
        <v>1110</v>
      </c>
      <c r="C3381">
        <v>6</v>
      </c>
      <c r="D3381">
        <v>90</v>
      </c>
      <c r="E3381">
        <v>2019</v>
      </c>
      <c r="F3381" s="9" t="s">
        <v>3199</v>
      </c>
      <c r="H3381" s="20" t="str">
        <f t="shared" si="52"/>
        <v>(nextval('obj_part_id_seq'), (select id from obj_building_v where zip||'|'||street||'|'||name||'|'||volume = '4303|Hintere Liebrüti, Böttmeweg|Gerätehaus Liebrüti|289.00'), 'P9', 6, 90, 2019,'Steuerung f. Rasenbewässerungsanlage, Beleuchtung'),</v>
      </c>
    </row>
    <row r="3382" spans="1:8" x14ac:dyDescent="0.25">
      <c r="A3382" s="9" t="s">
        <v>3194</v>
      </c>
      <c r="B3382" s="9" t="s">
        <v>1112</v>
      </c>
      <c r="C3382">
        <v>0</v>
      </c>
      <c r="D3382" t="s">
        <v>4080</v>
      </c>
      <c r="E3382">
        <v>2019</v>
      </c>
      <c r="F3382" s="9"/>
      <c r="H3382" s="20" t="str">
        <f t="shared" si="52"/>
        <v>(nextval('obj_part_id_seq'), (select id from obj_building_v where zip||'|'||street||'|'||name||'|'||volume = '4303|Hintere Liebrüti, Böttmeweg|Gerätehaus Liebrüti|289.00'), 'P10', 0, null, 2019,null),</v>
      </c>
    </row>
    <row r="3383" spans="1:8" x14ac:dyDescent="0.25">
      <c r="A3383" s="9" t="s">
        <v>3194</v>
      </c>
      <c r="B3383" s="9" t="s">
        <v>1114</v>
      </c>
      <c r="C3383">
        <v>12</v>
      </c>
      <c r="D3383">
        <v>85</v>
      </c>
      <c r="E3383">
        <v>2019</v>
      </c>
      <c r="F3383" s="9" t="s">
        <v>3200</v>
      </c>
      <c r="H3383" s="20" t="str">
        <f t="shared" si="52"/>
        <v>(nextval('obj_part_id_seq'), (select id from obj_building_v where zip||'|'||street||'|'||name||'|'||volume = '4303|Hintere Liebrüti, Böttmeweg|Gerätehaus Liebrüti|289.00'), 'P11', 12, 85, 2019,'keine Mängel sichtbar'),</v>
      </c>
    </row>
    <row r="3384" spans="1:8" x14ac:dyDescent="0.25">
      <c r="A3384" s="9" t="s">
        <v>3194</v>
      </c>
      <c r="B3384" s="9" t="s">
        <v>1114</v>
      </c>
      <c r="C3384">
        <v>8</v>
      </c>
      <c r="D3384">
        <v>85</v>
      </c>
      <c r="E3384">
        <v>2019</v>
      </c>
      <c r="F3384" s="9" t="s">
        <v>3201</v>
      </c>
      <c r="H3384" s="20" t="str">
        <f t="shared" si="52"/>
        <v>(nextval('obj_part_id_seq'), (select id from obj_building_v where zip||'|'||street||'|'||name||'|'||volume = '4303|Hintere Liebrüti, Böttmeweg|Gerätehaus Liebrüti|289.00'), 'P11', 8, 85, 2019,'Boden: Beton \nWand: Beton\nDecke: Beton, roh'),</v>
      </c>
    </row>
    <row r="3385" spans="1:8" x14ac:dyDescent="0.25">
      <c r="A3385" s="9" t="s">
        <v>3194</v>
      </c>
      <c r="B3385" s="9" t="s">
        <v>1116</v>
      </c>
      <c r="C3385">
        <v>0</v>
      </c>
      <c r="D3385" t="s">
        <v>4080</v>
      </c>
      <c r="E3385">
        <v>2019</v>
      </c>
      <c r="F3385" s="9"/>
      <c r="H3385" s="20" t="str">
        <f t="shared" si="52"/>
        <v>(nextval('obj_part_id_seq'), (select id from obj_building_v where zip||'|'||street||'|'||name||'|'||volume = '4303|Hintere Liebrüti, Böttmeweg|Gerätehaus Liebrüti|289.00'), 'P12', 0, null, 2019,null),</v>
      </c>
    </row>
    <row r="3386" spans="1:8" x14ac:dyDescent="0.25">
      <c r="A3386" s="9" t="s">
        <v>3202</v>
      </c>
      <c r="B3386" s="9" t="s">
        <v>1127</v>
      </c>
      <c r="C3386">
        <v>24</v>
      </c>
      <c r="D3386">
        <v>80</v>
      </c>
      <c r="E3386">
        <v>2018</v>
      </c>
      <c r="F3386" s="9"/>
      <c r="H3386" s="20" t="str">
        <f t="shared" si="52"/>
        <v>(nextval('obj_part_id_seq'), (select id from obj_building_v where zip||'|'||street||'|'||name||'|'||volume = '4950|Heimstrasse 1|Kindergarten Heimstrasse|1400.00'), 'P48', 24, 80, 2018,null),</v>
      </c>
    </row>
    <row r="3387" spans="1:8" x14ac:dyDescent="0.25">
      <c r="A3387" s="9" t="s">
        <v>3202</v>
      </c>
      <c r="B3387" s="9" t="s">
        <v>1129</v>
      </c>
      <c r="C3387">
        <v>0</v>
      </c>
      <c r="D3387" t="s">
        <v>4080</v>
      </c>
      <c r="E3387">
        <v>2018</v>
      </c>
      <c r="F3387" s="9"/>
      <c r="H3387" s="20" t="str">
        <f t="shared" si="52"/>
        <v>(nextval('obj_part_id_seq'), (select id from obj_building_v where zip||'|'||street||'|'||name||'|'||volume = '4950|Heimstrasse 1|Kindergarten Heimstrasse|1400.00'), 'P49', 0, null, 2018,null),</v>
      </c>
    </row>
    <row r="3388" spans="1:8" x14ac:dyDescent="0.25">
      <c r="A3388" s="9" t="s">
        <v>3202</v>
      </c>
      <c r="B3388" s="9" t="s">
        <v>1097</v>
      </c>
      <c r="C3388">
        <v>20</v>
      </c>
      <c r="D3388">
        <v>85</v>
      </c>
      <c r="E3388">
        <v>2018</v>
      </c>
      <c r="F3388" s="9"/>
      <c r="H3388" s="20" t="str">
        <f t="shared" si="52"/>
        <v>(nextval('obj_part_id_seq'), (select id from obj_building_v where zip||'|'||street||'|'||name||'|'||volume = '4950|Heimstrasse 1|Kindergarten Heimstrasse|1400.00'), 'P2', 20, 85, 2018,null),</v>
      </c>
    </row>
    <row r="3389" spans="1:8" x14ac:dyDescent="0.25">
      <c r="A3389" s="9" t="s">
        <v>3202</v>
      </c>
      <c r="B3389" s="9" t="s">
        <v>1099</v>
      </c>
      <c r="C3389">
        <v>0</v>
      </c>
      <c r="D3389" t="s">
        <v>4080</v>
      </c>
      <c r="E3389">
        <v>2018</v>
      </c>
      <c r="F3389" s="9"/>
      <c r="H3389" s="20" t="str">
        <f t="shared" si="52"/>
        <v>(nextval('obj_part_id_seq'), (select id from obj_building_v where zip||'|'||street||'|'||name||'|'||volume = '4950|Heimstrasse 1|Kindergarten Heimstrasse|1400.00'), 'P3', 0, null, 2018,null),</v>
      </c>
    </row>
    <row r="3390" spans="1:8" x14ac:dyDescent="0.25">
      <c r="A3390" s="9" t="s">
        <v>3202</v>
      </c>
      <c r="B3390" s="9" t="s">
        <v>1100</v>
      </c>
      <c r="C3390">
        <v>8</v>
      </c>
      <c r="D3390">
        <v>70</v>
      </c>
      <c r="E3390">
        <v>2018</v>
      </c>
      <c r="F3390" s="9"/>
      <c r="H3390" s="20" t="str">
        <f t="shared" si="52"/>
        <v>(nextval('obj_part_id_seq'), (select id from obj_building_v where zip||'|'||street||'|'||name||'|'||volume = '4950|Heimstrasse 1|Kindergarten Heimstrasse|1400.00'), 'P4', 8, 70, 2018,null),</v>
      </c>
    </row>
    <row r="3391" spans="1:8" x14ac:dyDescent="0.25">
      <c r="A3391" s="9" t="s">
        <v>3202</v>
      </c>
      <c r="B3391" s="9" t="s">
        <v>1102</v>
      </c>
      <c r="C3391">
        <v>14</v>
      </c>
      <c r="D3391">
        <v>70</v>
      </c>
      <c r="E3391">
        <v>2018</v>
      </c>
      <c r="F3391" s="9"/>
      <c r="H3391" s="20" t="str">
        <f t="shared" si="52"/>
        <v>(nextval('obj_part_id_seq'), (select id from obj_building_v where zip||'|'||street||'|'||name||'|'||volume = '4950|Heimstrasse 1|Kindergarten Heimstrasse|1400.00'), 'P5', 14, 70, 2018,null),</v>
      </c>
    </row>
    <row r="3392" spans="1:8" x14ac:dyDescent="0.25">
      <c r="A3392" s="9" t="s">
        <v>3202</v>
      </c>
      <c r="B3392" s="9" t="s">
        <v>1110</v>
      </c>
      <c r="C3392">
        <v>4</v>
      </c>
      <c r="D3392">
        <v>70</v>
      </c>
      <c r="E3392">
        <v>2018</v>
      </c>
      <c r="F3392" s="9"/>
      <c r="H3392" s="20" t="str">
        <f t="shared" si="52"/>
        <v>(nextval('obj_part_id_seq'), (select id from obj_building_v where zip||'|'||street||'|'||name||'|'||volume = '4950|Heimstrasse 1|Kindergarten Heimstrasse|1400.00'), 'P9', 4, 70, 2018,null),</v>
      </c>
    </row>
    <row r="3393" spans="1:8" x14ac:dyDescent="0.25">
      <c r="A3393" s="9" t="s">
        <v>3202</v>
      </c>
      <c r="B3393" s="9" t="s">
        <v>1104</v>
      </c>
      <c r="C3393">
        <v>3</v>
      </c>
      <c r="D3393">
        <v>70</v>
      </c>
      <c r="E3393">
        <v>2018</v>
      </c>
      <c r="F3393" s="9"/>
      <c r="H3393" s="20" t="str">
        <f t="shared" si="52"/>
        <v>(nextval('obj_part_id_seq'), (select id from obj_building_v where zip||'|'||street||'|'||name||'|'||volume = '4950|Heimstrasse 1|Kindergarten Heimstrasse|1400.00'), 'P6', 3, 70, 2018,null),</v>
      </c>
    </row>
    <row r="3394" spans="1:8" x14ac:dyDescent="0.25">
      <c r="A3394" s="9" t="s">
        <v>3202</v>
      </c>
      <c r="B3394" s="9" t="s">
        <v>1106</v>
      </c>
      <c r="C3394">
        <v>3</v>
      </c>
      <c r="D3394">
        <v>70</v>
      </c>
      <c r="E3394">
        <v>2018</v>
      </c>
      <c r="F3394" s="9"/>
      <c r="H3394" s="20" t="str">
        <f t="shared" si="52"/>
        <v>(nextval('obj_part_id_seq'), (select id from obj_building_v where zip||'|'||street||'|'||name||'|'||volume = '4950|Heimstrasse 1|Kindergarten Heimstrasse|1400.00'), 'P7', 3, 70, 2018,null),</v>
      </c>
    </row>
    <row r="3395" spans="1:8" x14ac:dyDescent="0.25">
      <c r="A3395" s="9" t="s">
        <v>3202</v>
      </c>
      <c r="B3395" s="9" t="s">
        <v>1135</v>
      </c>
      <c r="C3395">
        <v>1</v>
      </c>
      <c r="D3395">
        <v>70</v>
      </c>
      <c r="E3395">
        <v>2018</v>
      </c>
      <c r="F3395" s="9"/>
      <c r="H3395" s="20" t="str">
        <f t="shared" si="52"/>
        <v>(nextval('obj_part_id_seq'), (select id from obj_building_v where zip||'|'||street||'|'||name||'|'||volume = '4950|Heimstrasse 1|Kindergarten Heimstrasse|1400.00'), 'P54', 1, 70, 2018,null),</v>
      </c>
    </row>
    <row r="3396" spans="1:8" x14ac:dyDescent="0.25">
      <c r="A3396" s="9" t="s">
        <v>3202</v>
      </c>
      <c r="B3396" s="9" t="s">
        <v>1137</v>
      </c>
      <c r="C3396">
        <v>3</v>
      </c>
      <c r="D3396">
        <v>60</v>
      </c>
      <c r="E3396">
        <v>2018</v>
      </c>
      <c r="F3396" s="9"/>
      <c r="H3396" s="20" t="str">
        <f t="shared" si="52"/>
        <v>(nextval('obj_part_id_seq'), (select id from obj_building_v where zip||'|'||street||'|'||name||'|'||volume = '4950|Heimstrasse 1|Kindergarten Heimstrasse|1400.00'), 'P55', 3, 60, 2018,null),</v>
      </c>
    </row>
    <row r="3397" spans="1:8" x14ac:dyDescent="0.25">
      <c r="A3397" s="9" t="s">
        <v>3202</v>
      </c>
      <c r="B3397" s="9" t="s">
        <v>1138</v>
      </c>
      <c r="C3397">
        <v>17</v>
      </c>
      <c r="D3397">
        <v>80</v>
      </c>
      <c r="E3397">
        <v>2018</v>
      </c>
      <c r="F3397" s="9"/>
      <c r="H3397" s="20" t="str">
        <f t="shared" ref="H3397:H3460" si="53">"(nextval('obj_part_id_seq'), (select id from obj_building_v where zip||'|'||street||'|'||name||'|'||volume = '"&amp;A3397&amp;"'), '"&amp;B3397&amp;"', "&amp;C3397&amp;", "&amp;D3397&amp;", "&amp;IF(ISBLANK(E3397),"null",E3397)&amp;","&amp;IF(ISBLANK(F3397),"null","'"&amp;F3397&amp;"'")&amp;"),"</f>
        <v>(nextval('obj_part_id_seq'), (select id from obj_building_v where zip||'|'||street||'|'||name||'|'||volume = '4950|Heimstrasse 1|Kindergarten Heimstrasse|1400.00'), 'P57', 17, 80, 2018,null),</v>
      </c>
    </row>
    <row r="3398" spans="1:8" x14ac:dyDescent="0.25">
      <c r="A3398" s="9" t="s">
        <v>3202</v>
      </c>
      <c r="B3398" s="9" t="s">
        <v>1140</v>
      </c>
      <c r="C3398">
        <v>3</v>
      </c>
      <c r="D3398">
        <v>80</v>
      </c>
      <c r="E3398">
        <v>2018</v>
      </c>
      <c r="F3398" s="9"/>
      <c r="H3398" s="20" t="str">
        <f t="shared" si="53"/>
        <v>(nextval('obj_part_id_seq'), (select id from obj_building_v where zip||'|'||street||'|'||name||'|'||volume = '4950|Heimstrasse 1|Kindergarten Heimstrasse|1400.00'), 'P58', 3, 80, 2018,null),</v>
      </c>
    </row>
    <row r="3399" spans="1:8" x14ac:dyDescent="0.25">
      <c r="A3399" s="9" t="s">
        <v>3202</v>
      </c>
      <c r="B3399" s="9" t="s">
        <v>1142</v>
      </c>
      <c r="C3399">
        <v>0</v>
      </c>
      <c r="D3399" t="s">
        <v>4080</v>
      </c>
      <c r="E3399">
        <v>2018</v>
      </c>
      <c r="F3399" s="9"/>
      <c r="H3399" s="20" t="str">
        <f t="shared" si="53"/>
        <v>(nextval('obj_part_id_seq'), (select id from obj_building_v where zip||'|'||street||'|'||name||'|'||volume = '4950|Heimstrasse 1|Kindergarten Heimstrasse|1400.00'), 'P60', 0, null, 2018,null),</v>
      </c>
    </row>
    <row r="3400" spans="1:8" x14ac:dyDescent="0.25">
      <c r="A3400" s="9" t="s">
        <v>3202</v>
      </c>
      <c r="B3400" s="9" t="s">
        <v>1143</v>
      </c>
      <c r="C3400">
        <v>0</v>
      </c>
      <c r="D3400" t="s">
        <v>4080</v>
      </c>
      <c r="E3400">
        <v>2018</v>
      </c>
      <c r="F3400" s="9"/>
      <c r="H3400" s="20" t="str">
        <f t="shared" si="53"/>
        <v>(nextval('obj_part_id_seq'), (select id from obj_building_v where zip||'|'||street||'|'||name||'|'||volume = '4950|Heimstrasse 1|Kindergarten Heimstrasse|1400.00'), 'P61', 0, null, 2018,null),</v>
      </c>
    </row>
    <row r="3401" spans="1:8" x14ac:dyDescent="0.25">
      <c r="A3401" s="9" t="s">
        <v>3202</v>
      </c>
      <c r="B3401" s="9" t="s">
        <v>1144</v>
      </c>
      <c r="C3401">
        <v>0</v>
      </c>
      <c r="D3401" t="s">
        <v>4080</v>
      </c>
      <c r="E3401">
        <v>2018</v>
      </c>
      <c r="F3401" s="9"/>
      <c r="H3401" s="20" t="str">
        <f t="shared" si="53"/>
        <v>(nextval('obj_part_id_seq'), (select id from obj_building_v where zip||'|'||street||'|'||name||'|'||volume = '4950|Heimstrasse 1|Kindergarten Heimstrasse|1400.00'), 'P62', 0, null, 2018,null),</v>
      </c>
    </row>
    <row r="3402" spans="1:8" x14ac:dyDescent="0.25">
      <c r="A3402" s="9" t="s">
        <v>3203</v>
      </c>
      <c r="B3402" s="9" t="s">
        <v>1127</v>
      </c>
      <c r="C3402">
        <v>44</v>
      </c>
      <c r="D3402">
        <v>90</v>
      </c>
      <c r="E3402">
        <v>2019</v>
      </c>
      <c r="F3402" s="9" t="s">
        <v>1192</v>
      </c>
      <c r="H3402" s="20" t="str">
        <f t="shared" si="53"/>
        <v>(nextval('obj_part_id_seq'), (select id from obj_building_v where zip||'|'||street||'|'||name||'|'||volume = '4303|Schwarzackerstrasse 59|KIGA Schwarzackerstrasse|6007.00'), 'P48', 44, 90, 2019,'Stahlbeton'),</v>
      </c>
    </row>
    <row r="3403" spans="1:8" x14ac:dyDescent="0.25">
      <c r="A3403" s="9" t="s">
        <v>3203</v>
      </c>
      <c r="B3403" s="9" t="s">
        <v>1129</v>
      </c>
      <c r="C3403">
        <v>0</v>
      </c>
      <c r="D3403" t="s">
        <v>4080</v>
      </c>
      <c r="E3403">
        <v>2019</v>
      </c>
      <c r="F3403" s="9"/>
      <c r="H3403" s="20" t="str">
        <f t="shared" si="53"/>
        <v>(nextval('obj_part_id_seq'), (select id from obj_building_v where zip||'|'||street||'|'||name||'|'||volume = '4303|Schwarzackerstrasse 59|KIGA Schwarzackerstrasse|6007.00'), 'P49', 0, null, 2019,null),</v>
      </c>
    </row>
    <row r="3404" spans="1:8" x14ac:dyDescent="0.25">
      <c r="A3404" s="9" t="s">
        <v>3203</v>
      </c>
      <c r="B3404" s="9" t="s">
        <v>1097</v>
      </c>
      <c r="C3404">
        <v>0</v>
      </c>
      <c r="D3404" t="s">
        <v>4080</v>
      </c>
      <c r="E3404">
        <v>2019</v>
      </c>
      <c r="F3404" s="9"/>
      <c r="H3404" s="20" t="str">
        <f t="shared" si="53"/>
        <v>(nextval('obj_part_id_seq'), (select id from obj_building_v where zip||'|'||street||'|'||name||'|'||volume = '4303|Schwarzackerstrasse 59|KIGA Schwarzackerstrasse|6007.00'), 'P2', 0, null, 2019,null),</v>
      </c>
    </row>
    <row r="3405" spans="1:8" x14ac:dyDescent="0.25">
      <c r="A3405" s="9" t="s">
        <v>3203</v>
      </c>
      <c r="B3405" s="9" t="s">
        <v>1099</v>
      </c>
      <c r="C3405">
        <v>8</v>
      </c>
      <c r="D3405">
        <v>85</v>
      </c>
      <c r="E3405">
        <v>2019</v>
      </c>
      <c r="F3405" s="9"/>
      <c r="H3405" s="20" t="str">
        <f t="shared" si="53"/>
        <v>(nextval('obj_part_id_seq'), (select id from obj_building_v where zip||'|'||street||'|'||name||'|'||volume = '4303|Schwarzackerstrasse 59|KIGA Schwarzackerstrasse|6007.00'), 'P3', 8, 85, 2019,null),</v>
      </c>
    </row>
    <row r="3406" spans="1:8" x14ac:dyDescent="0.25">
      <c r="A3406" s="9" t="s">
        <v>3203</v>
      </c>
      <c r="B3406" s="9" t="s">
        <v>1100</v>
      </c>
      <c r="C3406">
        <v>8</v>
      </c>
      <c r="D3406">
        <v>80</v>
      </c>
      <c r="E3406">
        <v>2019</v>
      </c>
      <c r="F3406" s="9" t="s">
        <v>1698</v>
      </c>
      <c r="H3406" s="20" t="str">
        <f t="shared" si="53"/>
        <v>(nextval('obj_part_id_seq'), (select id from obj_building_v where zip||'|'||street||'|'||name||'|'||volume = '4303|Schwarzackerstrasse 59|KIGA Schwarzackerstrasse|6007.00'), 'P4', 8, 80, 2019,'Sichtbeton'),</v>
      </c>
    </row>
    <row r="3407" spans="1:8" x14ac:dyDescent="0.25">
      <c r="A3407" s="9" t="s">
        <v>3203</v>
      </c>
      <c r="B3407" s="9" t="s">
        <v>1102</v>
      </c>
      <c r="C3407">
        <v>8</v>
      </c>
      <c r="D3407">
        <v>80</v>
      </c>
      <c r="E3407">
        <v>2019</v>
      </c>
      <c r="F3407" s="9" t="s">
        <v>3204</v>
      </c>
      <c r="H3407" s="20" t="str">
        <f t="shared" si="53"/>
        <v>(nextval('obj_part_id_seq'), (select id from obj_building_v where zip||'|'||street||'|'||name||'|'||volume = '4303|Schwarzackerstrasse 59|KIGA Schwarzackerstrasse|6007.00'), 'P5', 8, 80, 2019,'Holzmetall, Rafflamellenstoren, Markise'),</v>
      </c>
    </row>
    <row r="3408" spans="1:8" x14ac:dyDescent="0.25">
      <c r="A3408" s="9" t="s">
        <v>3203</v>
      </c>
      <c r="B3408" s="9" t="s">
        <v>1110</v>
      </c>
      <c r="C3408">
        <v>4</v>
      </c>
      <c r="D3408">
        <v>80</v>
      </c>
      <c r="E3408">
        <v>2019</v>
      </c>
      <c r="F3408" s="9" t="s">
        <v>3205</v>
      </c>
      <c r="H3408" s="20" t="str">
        <f t="shared" si="53"/>
        <v>(nextval('obj_part_id_seq'), (select id from obj_building_v where zip||'|'||street||'|'||name||'|'||volume = '4303|Schwarzackerstrasse 59|KIGA Schwarzackerstrasse|6007.00'), 'P9', 4, 80, 2019,'alte Sicherungen'),</v>
      </c>
    </row>
    <row r="3409" spans="1:8" x14ac:dyDescent="0.25">
      <c r="A3409" s="9" t="s">
        <v>3203</v>
      </c>
      <c r="B3409" s="9" t="s">
        <v>1104</v>
      </c>
      <c r="C3409">
        <v>1</v>
      </c>
      <c r="D3409">
        <v>90</v>
      </c>
      <c r="E3409">
        <v>2019</v>
      </c>
      <c r="F3409" s="9" t="s">
        <v>1235</v>
      </c>
      <c r="H3409" s="20" t="str">
        <f t="shared" si="53"/>
        <v>(nextval('obj_part_id_seq'), (select id from obj_building_v where zip||'|'||street||'|'||name||'|'||volume = '4303|Schwarzackerstrasse 59|KIGA Schwarzackerstrasse|6007.00'), 'P6', 1, 90, 2019,'Fernwärme'),</v>
      </c>
    </row>
    <row r="3410" spans="1:8" x14ac:dyDescent="0.25">
      <c r="A3410" s="9" t="s">
        <v>3203</v>
      </c>
      <c r="B3410" s="9" t="s">
        <v>1106</v>
      </c>
      <c r="C3410">
        <v>3</v>
      </c>
      <c r="D3410">
        <v>90</v>
      </c>
      <c r="E3410">
        <v>2019</v>
      </c>
      <c r="F3410" s="9" t="s">
        <v>1107</v>
      </c>
      <c r="H3410" s="20" t="str">
        <f t="shared" si="53"/>
        <v>(nextval('obj_part_id_seq'), (select id from obj_building_v where zip||'|'||street||'|'||name||'|'||volume = '4303|Schwarzackerstrasse 59|KIGA Schwarzackerstrasse|6007.00'), 'P7', 3, 90, 2019,'Radiatoren mit Thermostaten'),</v>
      </c>
    </row>
    <row r="3411" spans="1:8" x14ac:dyDescent="0.25">
      <c r="A3411" s="9" t="s">
        <v>3203</v>
      </c>
      <c r="B3411" s="9" t="s">
        <v>1135</v>
      </c>
      <c r="C3411">
        <v>1</v>
      </c>
      <c r="D3411">
        <v>80</v>
      </c>
      <c r="E3411">
        <v>2019</v>
      </c>
      <c r="F3411" s="9" t="s">
        <v>3206</v>
      </c>
      <c r="H3411" s="20" t="str">
        <f t="shared" si="53"/>
        <v>(nextval('obj_part_id_seq'), (select id from obj_building_v where zip||'|'||street||'|'||name||'|'||volume = '4303|Schwarzackerstrasse 59|KIGA Schwarzackerstrasse|6007.00'), 'P54', 1, 80, 2019,'Apparate ohne Mischventile'),</v>
      </c>
    </row>
    <row r="3412" spans="1:8" x14ac:dyDescent="0.25">
      <c r="A3412" s="9" t="s">
        <v>3203</v>
      </c>
      <c r="B3412" s="9" t="s">
        <v>1137</v>
      </c>
      <c r="C3412">
        <v>3</v>
      </c>
      <c r="D3412">
        <v>70</v>
      </c>
      <c r="E3412">
        <v>2019</v>
      </c>
      <c r="F3412" s="9" t="s">
        <v>3207</v>
      </c>
      <c r="H3412" s="20" t="str">
        <f t="shared" si="53"/>
        <v>(nextval('obj_part_id_seq'), (select id from obj_building_v where zip||'|'||street||'|'||name||'|'||volume = '4303|Schwarzackerstrasse 59|KIGA Schwarzackerstrasse|6007.00'), 'P55', 3, 70, 2019,'Leitungen rostig'),</v>
      </c>
    </row>
    <row r="3413" spans="1:8" x14ac:dyDescent="0.25">
      <c r="A3413" s="9" t="s">
        <v>3203</v>
      </c>
      <c r="B3413" s="9" t="s">
        <v>1138</v>
      </c>
      <c r="C3413">
        <v>17</v>
      </c>
      <c r="D3413">
        <v>90</v>
      </c>
      <c r="E3413">
        <v>2019</v>
      </c>
      <c r="F3413" s="9" t="s">
        <v>3208</v>
      </c>
      <c r="H3413" s="20" t="str">
        <f t="shared" si="53"/>
        <v>(nextval('obj_part_id_seq'), (select id from obj_building_v where zip||'|'||street||'|'||name||'|'||volume = '4303|Schwarzackerstrasse 59|KIGA Schwarzackerstrasse|6007.00'), 'P57', 17, 90, 2019,'Schränke, Küche'),</v>
      </c>
    </row>
    <row r="3414" spans="1:8" x14ac:dyDescent="0.25">
      <c r="A3414" s="9" t="s">
        <v>3203</v>
      </c>
      <c r="B3414" s="9" t="s">
        <v>1140</v>
      </c>
      <c r="C3414">
        <v>3</v>
      </c>
      <c r="D3414">
        <v>70</v>
      </c>
      <c r="E3414">
        <v>2019</v>
      </c>
      <c r="F3414" s="9" t="s">
        <v>3209</v>
      </c>
      <c r="H3414" s="20" t="str">
        <f t="shared" si="53"/>
        <v>(nextval('obj_part_id_seq'), (select id from obj_building_v where zip||'|'||street||'|'||name||'|'||volume = '4303|Schwarzackerstrasse 59|KIGA Schwarzackerstrasse|6007.00'), 'P58', 3, 70, 2019,'Boden: Linol, PVC, Keramik\nWand: Täfer, Abrieb, Anstrich, Plattenschild\nDecke: Täfer'),</v>
      </c>
    </row>
    <row r="3415" spans="1:8" x14ac:dyDescent="0.25">
      <c r="A3415" s="9" t="s">
        <v>3203</v>
      </c>
      <c r="B3415" s="9" t="s">
        <v>1142</v>
      </c>
      <c r="C3415">
        <v>0</v>
      </c>
      <c r="D3415" t="s">
        <v>4080</v>
      </c>
      <c r="E3415">
        <v>2019</v>
      </c>
      <c r="F3415" s="9"/>
      <c r="H3415" s="20" t="str">
        <f t="shared" si="53"/>
        <v>(nextval('obj_part_id_seq'), (select id from obj_building_v where zip||'|'||street||'|'||name||'|'||volume = '4303|Schwarzackerstrasse 59|KIGA Schwarzackerstrasse|6007.00'), 'P60', 0, null, 2019,null),</v>
      </c>
    </row>
    <row r="3416" spans="1:8" x14ac:dyDescent="0.25">
      <c r="A3416" s="9" t="s">
        <v>3203</v>
      </c>
      <c r="B3416" s="9" t="s">
        <v>1143</v>
      </c>
      <c r="C3416">
        <v>0</v>
      </c>
      <c r="D3416" t="s">
        <v>4080</v>
      </c>
      <c r="E3416">
        <v>2019</v>
      </c>
      <c r="F3416" s="9"/>
      <c r="H3416" s="20" t="str">
        <f t="shared" si="53"/>
        <v>(nextval('obj_part_id_seq'), (select id from obj_building_v where zip||'|'||street||'|'||name||'|'||volume = '4303|Schwarzackerstrasse 59|KIGA Schwarzackerstrasse|6007.00'), 'P61', 0, null, 2019,null),</v>
      </c>
    </row>
    <row r="3417" spans="1:8" x14ac:dyDescent="0.25">
      <c r="A3417" s="9" t="s">
        <v>3203</v>
      </c>
      <c r="B3417" s="9" t="s">
        <v>1144</v>
      </c>
      <c r="C3417">
        <v>0</v>
      </c>
      <c r="D3417" t="s">
        <v>4080</v>
      </c>
      <c r="E3417">
        <v>2019</v>
      </c>
      <c r="F3417" s="9"/>
      <c r="H3417" s="20" t="str">
        <f t="shared" si="53"/>
        <v>(nextval('obj_part_id_seq'), (select id from obj_building_v where zip||'|'||street||'|'||name||'|'||volume = '4303|Schwarzackerstrasse 59|KIGA Schwarzackerstrasse|6007.00'), 'P62', 0, null, 2019,null),</v>
      </c>
    </row>
    <row r="3418" spans="1:8" x14ac:dyDescent="0.25">
      <c r="A3418" s="9" t="s">
        <v>3210</v>
      </c>
      <c r="B3418" s="9" t="s">
        <v>1127</v>
      </c>
      <c r="C3418">
        <v>30</v>
      </c>
      <c r="D3418">
        <v>90</v>
      </c>
      <c r="E3418">
        <v>2019</v>
      </c>
      <c r="F3418" s="9" t="s">
        <v>1192</v>
      </c>
      <c r="H3418" s="20" t="str">
        <f t="shared" si="53"/>
        <v>(nextval('obj_part_id_seq'), (select id from obj_building_v where zip||'|'||street||'|'||name||'|'||volume = '4303|Liebrütistrasse 14|KIGA Liebrütistrasse|6566.00'), 'P48', 30, 90, 2019,'Stahlbeton'),</v>
      </c>
    </row>
    <row r="3419" spans="1:8" x14ac:dyDescent="0.25">
      <c r="A3419" s="9" t="s">
        <v>3210</v>
      </c>
      <c r="B3419" s="9" t="s">
        <v>1129</v>
      </c>
      <c r="C3419">
        <v>0</v>
      </c>
      <c r="D3419" t="s">
        <v>4080</v>
      </c>
      <c r="E3419">
        <v>2019</v>
      </c>
      <c r="F3419" s="9"/>
      <c r="H3419" s="20" t="str">
        <f t="shared" si="53"/>
        <v>(nextval('obj_part_id_seq'), (select id from obj_building_v where zip||'|'||street||'|'||name||'|'||volume = '4303|Liebrütistrasse 14|KIGA Liebrütistrasse|6566.00'), 'P49', 0, null, 2019,null),</v>
      </c>
    </row>
    <row r="3420" spans="1:8" x14ac:dyDescent="0.25">
      <c r="A3420" s="9" t="s">
        <v>3210</v>
      </c>
      <c r="B3420" s="9" t="s">
        <v>1097</v>
      </c>
      <c r="C3420">
        <v>0</v>
      </c>
      <c r="D3420" t="s">
        <v>4080</v>
      </c>
      <c r="E3420">
        <v>2019</v>
      </c>
      <c r="F3420" s="9"/>
      <c r="H3420" s="20" t="str">
        <f t="shared" si="53"/>
        <v>(nextval('obj_part_id_seq'), (select id from obj_building_v where zip||'|'||street||'|'||name||'|'||volume = '4303|Liebrütistrasse 14|KIGA Liebrütistrasse|6566.00'), 'P2', 0, null, 2019,null),</v>
      </c>
    </row>
    <row r="3421" spans="1:8" x14ac:dyDescent="0.25">
      <c r="A3421" s="9" t="s">
        <v>3210</v>
      </c>
      <c r="B3421" s="9" t="s">
        <v>1099</v>
      </c>
      <c r="C3421">
        <v>20</v>
      </c>
      <c r="D3421">
        <v>90</v>
      </c>
      <c r="E3421">
        <v>2019</v>
      </c>
      <c r="F3421" s="9"/>
      <c r="H3421" s="20" t="str">
        <f t="shared" si="53"/>
        <v>(nextval('obj_part_id_seq'), (select id from obj_building_v where zip||'|'||street||'|'||name||'|'||volume = '4303|Liebrütistrasse 14|KIGA Liebrütistrasse|6566.00'), 'P3', 20, 90, 2019,null),</v>
      </c>
    </row>
    <row r="3422" spans="1:8" x14ac:dyDescent="0.25">
      <c r="A3422" s="9" t="s">
        <v>3210</v>
      </c>
      <c r="B3422" s="9" t="s">
        <v>1100</v>
      </c>
      <c r="C3422">
        <v>8</v>
      </c>
      <c r="D3422">
        <v>90</v>
      </c>
      <c r="E3422">
        <v>2019</v>
      </c>
      <c r="F3422" s="9" t="s">
        <v>3211</v>
      </c>
      <c r="H3422" s="20" t="str">
        <f t="shared" si="53"/>
        <v>(nextval('obj_part_id_seq'), (select id from obj_building_v where zip||'|'||street||'|'||name||'|'||volume = '4303|Liebrütistrasse 14|KIGA Liebrütistrasse|6566.00'), 'P4', 8, 90, 2019,'Stahlbeton, Holztäfer beim Eingang'),</v>
      </c>
    </row>
    <row r="3423" spans="1:8" x14ac:dyDescent="0.25">
      <c r="A3423" s="9" t="s">
        <v>3210</v>
      </c>
      <c r="B3423" s="9" t="s">
        <v>1102</v>
      </c>
      <c r="C3423">
        <v>10</v>
      </c>
      <c r="D3423">
        <v>50</v>
      </c>
      <c r="E3423">
        <v>2019</v>
      </c>
      <c r="F3423" s="9" t="s">
        <v>3212</v>
      </c>
      <c r="H3423" s="20" t="str">
        <f t="shared" si="53"/>
        <v>(nextval('obj_part_id_seq'), (select id from obj_building_v where zip||'|'||street||'|'||name||'|'||volume = '4303|Liebrütistrasse 14|KIGA Liebrütistrasse|6566.00'), 'P5', 10, 50, 2019,'Metall, tw. undicht, tw. neu (''15)'),</v>
      </c>
    </row>
    <row r="3424" spans="1:8" x14ac:dyDescent="0.25">
      <c r="A3424" s="9" t="s">
        <v>3210</v>
      </c>
      <c r="B3424" s="9" t="s">
        <v>1110</v>
      </c>
      <c r="C3424">
        <v>4</v>
      </c>
      <c r="D3424">
        <v>80</v>
      </c>
      <c r="E3424">
        <v>2019</v>
      </c>
      <c r="F3424" s="9" t="s">
        <v>3213</v>
      </c>
      <c r="H3424" s="20" t="str">
        <f t="shared" si="53"/>
        <v>(nextval('obj_part_id_seq'), (select id from obj_building_v where zip||'|'||street||'|'||name||'|'||volume = '4303|Liebrütistrasse 14|KIGA Liebrütistrasse|6566.00'), 'P9', 4, 80, 2019,'Beleuchtung nicht genügend'),</v>
      </c>
    </row>
    <row r="3425" spans="1:8" x14ac:dyDescent="0.25">
      <c r="A3425" s="9" t="s">
        <v>3210</v>
      </c>
      <c r="B3425" s="9" t="s">
        <v>1104</v>
      </c>
      <c r="C3425">
        <v>1</v>
      </c>
      <c r="D3425">
        <v>90</v>
      </c>
      <c r="E3425">
        <v>2019</v>
      </c>
      <c r="F3425" s="9" t="s">
        <v>1235</v>
      </c>
      <c r="H3425" s="20" t="str">
        <f t="shared" si="53"/>
        <v>(nextval('obj_part_id_seq'), (select id from obj_building_v where zip||'|'||street||'|'||name||'|'||volume = '4303|Liebrütistrasse 14|KIGA Liebrütistrasse|6566.00'), 'P6', 1, 90, 2019,'Fernwärme'),</v>
      </c>
    </row>
    <row r="3426" spans="1:8" x14ac:dyDescent="0.25">
      <c r="A3426" s="9" t="s">
        <v>3210</v>
      </c>
      <c r="B3426" s="9" t="s">
        <v>1106</v>
      </c>
      <c r="C3426">
        <v>3</v>
      </c>
      <c r="D3426">
        <v>90</v>
      </c>
      <c r="E3426">
        <v>2019</v>
      </c>
      <c r="F3426" s="9" t="s">
        <v>3214</v>
      </c>
      <c r="H3426" s="20" t="str">
        <f t="shared" si="53"/>
        <v>(nextval('obj_part_id_seq'), (select id from obj_building_v where zip||'|'||street||'|'||name||'|'||volume = '4303|Liebrütistrasse 14|KIGA Liebrütistrasse|6566.00'), 'P7', 3, 90, 2019,'Konvektoren mit Thermostaten'),</v>
      </c>
    </row>
    <row r="3427" spans="1:8" x14ac:dyDescent="0.25">
      <c r="A3427" s="9" t="s">
        <v>3210</v>
      </c>
      <c r="B3427" s="9" t="s">
        <v>1135</v>
      </c>
      <c r="C3427">
        <v>1</v>
      </c>
      <c r="D3427">
        <v>80</v>
      </c>
      <c r="E3427">
        <v>2019</v>
      </c>
      <c r="F3427" s="9" t="s">
        <v>3215</v>
      </c>
      <c r="H3427" s="20" t="str">
        <f t="shared" si="53"/>
        <v>(nextval('obj_part_id_seq'), (select id from obj_building_v where zip||'|'||street||'|'||name||'|'||volume = '4303|Liebrütistrasse 14|KIGA Liebrütistrasse|6566.00'), 'P54', 1, 80, 2019,'App. älter'),</v>
      </c>
    </row>
    <row r="3428" spans="1:8" x14ac:dyDescent="0.25">
      <c r="A3428" s="9" t="s">
        <v>3210</v>
      </c>
      <c r="B3428" s="9" t="s">
        <v>1137</v>
      </c>
      <c r="C3428">
        <v>3</v>
      </c>
      <c r="D3428">
        <v>85</v>
      </c>
      <c r="E3428">
        <v>2019</v>
      </c>
      <c r="F3428" s="9" t="s">
        <v>3216</v>
      </c>
      <c r="H3428" s="20" t="str">
        <f t="shared" si="53"/>
        <v>(nextval('obj_part_id_seq'), (select id from obj_building_v where zip||'|'||street||'|'||name||'|'||volume = '4303|Liebrütistrasse 14|KIGA Liebrütistrasse|6566.00'), 'P55', 3, 85, 2019,'Druck ok, Wasser fliesst ungehindert ab'),</v>
      </c>
    </row>
    <row r="3429" spans="1:8" x14ac:dyDescent="0.25">
      <c r="A3429" s="9" t="s">
        <v>3210</v>
      </c>
      <c r="B3429" s="9" t="s">
        <v>1138</v>
      </c>
      <c r="C3429">
        <v>17</v>
      </c>
      <c r="D3429">
        <v>80</v>
      </c>
      <c r="E3429">
        <v>2019</v>
      </c>
      <c r="F3429" s="9" t="s">
        <v>3217</v>
      </c>
      <c r="H3429" s="20" t="str">
        <f t="shared" si="53"/>
        <v>(nextval('obj_part_id_seq'), (select id from obj_building_v where zip||'|'||street||'|'||name||'|'||volume = '4303|Liebrütistrasse 14|KIGA Liebrütistrasse|6566.00'), 'P57', 17, 80, 2019,'Küche alt'),</v>
      </c>
    </row>
    <row r="3430" spans="1:8" x14ac:dyDescent="0.25">
      <c r="A3430" s="9" t="s">
        <v>3210</v>
      </c>
      <c r="B3430" s="9" t="s">
        <v>1140</v>
      </c>
      <c r="C3430">
        <v>3</v>
      </c>
      <c r="D3430">
        <v>85</v>
      </c>
      <c r="E3430">
        <v>2019</v>
      </c>
      <c r="F3430" s="9" t="s">
        <v>3218</v>
      </c>
      <c r="H3430" s="20" t="str">
        <f t="shared" si="53"/>
        <v>(nextval('obj_part_id_seq'), (select id from obj_building_v where zip||'|'||street||'|'||name||'|'||volume = '4303|Liebrütistrasse 14|KIGA Liebrütistrasse|6566.00'), 'P58', 3, 85, 2019,'Boden: Linol, Keramik\nWand: Täfer,Putz, Anstrich\nDecke;Täfer, Pavatex gestrichen'),</v>
      </c>
    </row>
    <row r="3431" spans="1:8" x14ac:dyDescent="0.25">
      <c r="A3431" s="9" t="s">
        <v>3210</v>
      </c>
      <c r="B3431" s="9" t="s">
        <v>1142</v>
      </c>
      <c r="C3431">
        <v>0</v>
      </c>
      <c r="D3431" t="s">
        <v>4080</v>
      </c>
      <c r="E3431">
        <v>2019</v>
      </c>
      <c r="F3431" s="9"/>
      <c r="H3431" s="20" t="str">
        <f t="shared" si="53"/>
        <v>(nextval('obj_part_id_seq'), (select id from obj_building_v where zip||'|'||street||'|'||name||'|'||volume = '4303|Liebrütistrasse 14|KIGA Liebrütistrasse|6566.00'), 'P60', 0, null, 2019,null),</v>
      </c>
    </row>
    <row r="3432" spans="1:8" x14ac:dyDescent="0.25">
      <c r="A3432" s="9" t="s">
        <v>3210</v>
      </c>
      <c r="B3432" s="9" t="s">
        <v>1143</v>
      </c>
      <c r="C3432">
        <v>0</v>
      </c>
      <c r="D3432" t="s">
        <v>4080</v>
      </c>
      <c r="E3432">
        <v>2019</v>
      </c>
      <c r="F3432" s="9"/>
      <c r="H3432" s="20" t="str">
        <f t="shared" si="53"/>
        <v>(nextval('obj_part_id_seq'), (select id from obj_building_v where zip||'|'||street||'|'||name||'|'||volume = '4303|Liebrütistrasse 14|KIGA Liebrütistrasse|6566.00'), 'P61', 0, null, 2019,null),</v>
      </c>
    </row>
    <row r="3433" spans="1:8" x14ac:dyDescent="0.25">
      <c r="A3433" s="9" t="s">
        <v>3210</v>
      </c>
      <c r="B3433" s="9" t="s">
        <v>1144</v>
      </c>
      <c r="C3433">
        <v>0</v>
      </c>
      <c r="D3433" t="s">
        <v>4080</v>
      </c>
      <c r="E3433">
        <v>2019</v>
      </c>
      <c r="F3433" s="9"/>
      <c r="H3433" s="20" t="str">
        <f t="shared" si="53"/>
        <v>(nextval('obj_part_id_seq'), (select id from obj_building_v where zip||'|'||street||'|'||name||'|'||volume = '4303|Liebrütistrasse 14|KIGA Liebrütistrasse|6566.00'), 'P62', 0, null, 2019,null),</v>
      </c>
    </row>
    <row r="3434" spans="1:8" x14ac:dyDescent="0.25">
      <c r="A3434" s="9" t="s">
        <v>3219</v>
      </c>
      <c r="B3434" s="9" t="s">
        <v>1127</v>
      </c>
      <c r="C3434">
        <v>41</v>
      </c>
      <c r="D3434">
        <v>80</v>
      </c>
      <c r="E3434">
        <v>2019</v>
      </c>
      <c r="F3434" s="9" t="s">
        <v>1305</v>
      </c>
      <c r="H3434" s="20" t="str">
        <f t="shared" si="53"/>
        <v>(nextval('obj_part_id_seq'), (select id from obj_building_v where zip||'|'||street||'|'||name||'|'||volume = '8153|Im Hui|Pavillon|129.00'), 'P48', 41, 80, 2019,'Holz'),</v>
      </c>
    </row>
    <row r="3435" spans="1:8" x14ac:dyDescent="0.25">
      <c r="A3435" s="9" t="s">
        <v>3219</v>
      </c>
      <c r="B3435" s="9" t="s">
        <v>1129</v>
      </c>
      <c r="C3435">
        <v>0</v>
      </c>
      <c r="D3435" t="s">
        <v>4080</v>
      </c>
      <c r="E3435">
        <v>2019</v>
      </c>
      <c r="F3435" s="9"/>
      <c r="H3435" s="20" t="str">
        <f t="shared" si="53"/>
        <v>(nextval('obj_part_id_seq'), (select id from obj_building_v where zip||'|'||street||'|'||name||'|'||volume = '8153|Im Hui|Pavillon|129.00'), 'P49', 0, null, 2019,null),</v>
      </c>
    </row>
    <row r="3436" spans="1:8" x14ac:dyDescent="0.25">
      <c r="A3436" s="9" t="s">
        <v>3219</v>
      </c>
      <c r="B3436" s="9" t="s">
        <v>1097</v>
      </c>
      <c r="C3436">
        <v>8</v>
      </c>
      <c r="D3436">
        <v>80</v>
      </c>
      <c r="E3436">
        <v>2019</v>
      </c>
      <c r="F3436" s="9" t="s">
        <v>3220</v>
      </c>
      <c r="H3436" s="20" t="str">
        <f t="shared" si="53"/>
        <v>(nextval('obj_part_id_seq'), (select id from obj_building_v where zip||'|'||street||'|'||name||'|'||volume = '8153|Im Hui|Pavillon|129.00'), 'P2', 8, 80, 2019,'Ziegeldach: Ziegel alt'),</v>
      </c>
    </row>
    <row r="3437" spans="1:8" x14ac:dyDescent="0.25">
      <c r="A3437" s="9" t="s">
        <v>3219</v>
      </c>
      <c r="B3437" s="9" t="s">
        <v>1099</v>
      </c>
      <c r="C3437">
        <v>0</v>
      </c>
      <c r="D3437" t="s">
        <v>4080</v>
      </c>
      <c r="E3437">
        <v>2019</v>
      </c>
      <c r="F3437" s="9"/>
      <c r="H3437" s="20" t="str">
        <f t="shared" si="53"/>
        <v>(nextval('obj_part_id_seq'), (select id from obj_building_v where zip||'|'||street||'|'||name||'|'||volume = '8153|Im Hui|Pavillon|129.00'), 'P3', 0, null, 2019,null),</v>
      </c>
    </row>
    <row r="3438" spans="1:8" x14ac:dyDescent="0.25">
      <c r="A3438" s="9" t="s">
        <v>3219</v>
      </c>
      <c r="B3438" s="9" t="s">
        <v>1100</v>
      </c>
      <c r="C3438">
        <v>7</v>
      </c>
      <c r="D3438">
        <v>80</v>
      </c>
      <c r="E3438">
        <v>2019</v>
      </c>
      <c r="F3438" s="9" t="s">
        <v>1305</v>
      </c>
      <c r="H3438" s="20" t="str">
        <f t="shared" si="53"/>
        <v>(nextval('obj_part_id_seq'), (select id from obj_building_v where zip||'|'||street||'|'||name||'|'||volume = '8153|Im Hui|Pavillon|129.00'), 'P4', 7, 80, 2019,'Holz'),</v>
      </c>
    </row>
    <row r="3439" spans="1:8" x14ac:dyDescent="0.25">
      <c r="A3439" s="9" t="s">
        <v>3219</v>
      </c>
      <c r="B3439" s="9" t="s">
        <v>1102</v>
      </c>
      <c r="C3439">
        <v>10</v>
      </c>
      <c r="D3439">
        <v>85</v>
      </c>
      <c r="E3439">
        <v>2019</v>
      </c>
      <c r="F3439" s="9" t="s">
        <v>3221</v>
      </c>
      <c r="H3439" s="20" t="str">
        <f t="shared" si="53"/>
        <v>(nextval('obj_part_id_seq'), (select id from obj_building_v where zip||'|'||street||'|'||name||'|'||volume = '8153|Im Hui|Pavillon|129.00'), 'P5', 10, 85, 2019,'Holzfenster mit Holzläden, 2-fach-IV,\nFenster von 1991, im Büro von 2003'),</v>
      </c>
    </row>
    <row r="3440" spans="1:8" x14ac:dyDescent="0.25">
      <c r="A3440" s="9" t="s">
        <v>3219</v>
      </c>
      <c r="B3440" s="9" t="s">
        <v>1164</v>
      </c>
      <c r="C3440">
        <v>6</v>
      </c>
      <c r="D3440">
        <v>80</v>
      </c>
      <c r="E3440">
        <v>2019</v>
      </c>
      <c r="F3440" s="9" t="s">
        <v>3222</v>
      </c>
      <c r="H3440" s="20" t="str">
        <f t="shared" si="53"/>
        <v>(nextval('obj_part_id_seq'), (select id from obj_building_v where zip||'|'||street||'|'||name||'|'||volume = '8153|Im Hui|Pavillon|129.00'), 'P50', 6, 80, 2019,'Alte Keramiksicherungen, fehlende FI-Schutzschalter, Beleuchtung'),</v>
      </c>
    </row>
    <row r="3441" spans="1:8" x14ac:dyDescent="0.25">
      <c r="A3441" s="9" t="s">
        <v>3219</v>
      </c>
      <c r="B3441" s="9" t="s">
        <v>1166</v>
      </c>
      <c r="C3441">
        <v>1</v>
      </c>
      <c r="D3441">
        <v>90</v>
      </c>
      <c r="E3441">
        <v>2019</v>
      </c>
      <c r="F3441" s="9"/>
      <c r="H3441" s="20" t="str">
        <f t="shared" si="53"/>
        <v>(nextval('obj_part_id_seq'), (select id from obj_building_v where zip||'|'||street||'|'||name||'|'||volume = '8153|Im Hui|Pavillon|129.00'), 'P51', 1, 90, 2019,null),</v>
      </c>
    </row>
    <row r="3442" spans="1:8" x14ac:dyDescent="0.25">
      <c r="A3442" s="9" t="s">
        <v>3219</v>
      </c>
      <c r="B3442" s="9" t="s">
        <v>1104</v>
      </c>
      <c r="C3442">
        <v>1</v>
      </c>
      <c r="D3442">
        <v>80</v>
      </c>
      <c r="E3442">
        <v>2019</v>
      </c>
      <c r="F3442" s="9" t="s">
        <v>3223</v>
      </c>
      <c r="H3442" s="20" t="str">
        <f t="shared" si="53"/>
        <v>(nextval('obj_part_id_seq'), (select id from obj_building_v where zip||'|'||street||'|'||name||'|'||volume = '8153|Im Hui|Pavillon|129.00'), 'P6', 1, 80, 2019,'Elektrische Speicherheizung'),</v>
      </c>
    </row>
    <row r="3443" spans="1:8" x14ac:dyDescent="0.25">
      <c r="A3443" s="9" t="s">
        <v>3219</v>
      </c>
      <c r="B3443" s="9" t="s">
        <v>1106</v>
      </c>
      <c r="C3443">
        <v>3</v>
      </c>
      <c r="D3443">
        <v>80</v>
      </c>
      <c r="E3443">
        <v>2019</v>
      </c>
      <c r="F3443" s="9" t="s">
        <v>3223</v>
      </c>
      <c r="H3443" s="20" t="str">
        <f t="shared" si="53"/>
        <v>(nextval('obj_part_id_seq'), (select id from obj_building_v where zip||'|'||street||'|'||name||'|'||volume = '8153|Im Hui|Pavillon|129.00'), 'P7', 3, 80, 2019,'Elektrische Speicherheizung'),</v>
      </c>
    </row>
    <row r="3444" spans="1:8" x14ac:dyDescent="0.25">
      <c r="A3444" s="9" t="s">
        <v>3219</v>
      </c>
      <c r="B3444" s="9" t="s">
        <v>1108</v>
      </c>
      <c r="C3444">
        <v>4</v>
      </c>
      <c r="D3444">
        <v>85</v>
      </c>
      <c r="E3444">
        <v>2019</v>
      </c>
      <c r="F3444" s="9" t="s">
        <v>3224</v>
      </c>
      <c r="H3444" s="20" t="str">
        <f t="shared" si="53"/>
        <v>(nextval('obj_part_id_seq'), (select id from obj_building_v where zip||'|'||street||'|'||name||'|'||volume = '8153|Im Hui|Pavillon|129.00'), 'P8', 4, 85, 2019,'genügender Druck in Leitungen vorhanden, Apparate funktionstüchtig'),</v>
      </c>
    </row>
    <row r="3445" spans="1:8" x14ac:dyDescent="0.25">
      <c r="A3445" s="9" t="s">
        <v>3219</v>
      </c>
      <c r="B3445" s="9" t="s">
        <v>1138</v>
      </c>
      <c r="C3445">
        <v>11</v>
      </c>
      <c r="D3445">
        <v>85</v>
      </c>
      <c r="E3445">
        <v>2019</v>
      </c>
      <c r="F3445" s="9" t="s">
        <v>3225</v>
      </c>
      <c r="H3445" s="20" t="str">
        <f t="shared" si="53"/>
        <v>(nextval('obj_part_id_seq'), (select id from obj_building_v where zip||'|'||street||'|'||name||'|'||volume = '8153|Im Hui|Pavillon|129.00'), 'P57', 11, 85, 2019,'kleine Küche mit Herd'),</v>
      </c>
    </row>
    <row r="3446" spans="1:8" x14ac:dyDescent="0.25">
      <c r="A3446" s="9" t="s">
        <v>3219</v>
      </c>
      <c r="B3446" s="9" t="s">
        <v>1140</v>
      </c>
      <c r="C3446">
        <v>8</v>
      </c>
      <c r="D3446">
        <v>80</v>
      </c>
      <c r="E3446">
        <v>2019</v>
      </c>
      <c r="F3446" s="9" t="s">
        <v>3226</v>
      </c>
      <c r="H3446" s="20" t="str">
        <f t="shared" si="53"/>
        <v>(nextval('obj_part_id_seq'), (select id from obj_building_v where zip||'|'||street||'|'||name||'|'||volume = '8153|Im Hui|Pavillon|129.00'), 'P58', 8, 80, 2019,'Boden: Laminat\nWand und Decke : Holz'),</v>
      </c>
    </row>
    <row r="3447" spans="1:8" x14ac:dyDescent="0.25">
      <c r="A3447" s="9" t="s">
        <v>3219</v>
      </c>
      <c r="B3447" s="9" t="s">
        <v>1142</v>
      </c>
      <c r="C3447">
        <v>0</v>
      </c>
      <c r="D3447" t="s">
        <v>4080</v>
      </c>
      <c r="E3447">
        <v>2019</v>
      </c>
      <c r="F3447" s="9"/>
      <c r="H3447" s="20" t="str">
        <f t="shared" si="53"/>
        <v>(nextval('obj_part_id_seq'), (select id from obj_building_v where zip||'|'||street||'|'||name||'|'||volume = '8153|Im Hui|Pavillon|129.00'), 'P60', 0, null, 2019,null),</v>
      </c>
    </row>
    <row r="3448" spans="1:8" x14ac:dyDescent="0.25">
      <c r="A3448" s="9" t="s">
        <v>3219</v>
      </c>
      <c r="B3448" s="9" t="s">
        <v>1143</v>
      </c>
      <c r="C3448">
        <v>0</v>
      </c>
      <c r="D3448" t="s">
        <v>4080</v>
      </c>
      <c r="E3448">
        <v>2019</v>
      </c>
      <c r="F3448" s="9"/>
      <c r="H3448" s="20" t="str">
        <f t="shared" si="53"/>
        <v>(nextval('obj_part_id_seq'), (select id from obj_building_v where zip||'|'||street||'|'||name||'|'||volume = '8153|Im Hui|Pavillon|129.00'), 'P61', 0, null, 2019,null),</v>
      </c>
    </row>
    <row r="3449" spans="1:8" x14ac:dyDescent="0.25">
      <c r="A3449" s="9" t="s">
        <v>3219</v>
      </c>
      <c r="B3449" s="9" t="s">
        <v>1144</v>
      </c>
      <c r="C3449">
        <v>0</v>
      </c>
      <c r="D3449" t="s">
        <v>4080</v>
      </c>
      <c r="E3449">
        <v>2019</v>
      </c>
      <c r="F3449" s="9"/>
      <c r="H3449" s="20" t="str">
        <f t="shared" si="53"/>
        <v>(nextval('obj_part_id_seq'), (select id from obj_building_v where zip||'|'||street||'|'||name||'|'||volume = '8153|Im Hui|Pavillon|129.00'), 'P62', 0, null, 2019,null),</v>
      </c>
    </row>
    <row r="3450" spans="1:8" x14ac:dyDescent="0.25">
      <c r="A3450" s="9" t="s">
        <v>3227</v>
      </c>
      <c r="B3450" s="9" t="s">
        <v>1095</v>
      </c>
      <c r="C3450">
        <v>35</v>
      </c>
      <c r="D3450">
        <v>0</v>
      </c>
      <c r="E3450">
        <v>2019</v>
      </c>
      <c r="F3450" s="9"/>
      <c r="H3450" s="20" t="str">
        <f t="shared" si="53"/>
        <v>(nextval('obj_part_id_seq'), (select id from obj_building_v where zip||'|'||street||'|'||name||'|'||volume = '4303|Im Liner|(Vereinshaus Kleingärten)|346.00'), 'P1', 35, 0, 2019,null),</v>
      </c>
    </row>
    <row r="3451" spans="1:8" x14ac:dyDescent="0.25">
      <c r="A3451" s="9" t="s">
        <v>3227</v>
      </c>
      <c r="B3451" s="9" t="s">
        <v>1097</v>
      </c>
      <c r="C3451">
        <v>4</v>
      </c>
      <c r="D3451">
        <v>0</v>
      </c>
      <c r="E3451">
        <v>2019</v>
      </c>
      <c r="F3451" s="9"/>
      <c r="H3451" s="20" t="str">
        <f t="shared" si="53"/>
        <v>(nextval('obj_part_id_seq'), (select id from obj_building_v where zip||'|'||street||'|'||name||'|'||volume = '4303|Im Liner|(Vereinshaus Kleingärten)|346.00'), 'P2', 4, 0, 2019,null),</v>
      </c>
    </row>
    <row r="3452" spans="1:8" x14ac:dyDescent="0.25">
      <c r="A3452" s="9" t="s">
        <v>3227</v>
      </c>
      <c r="B3452" s="9" t="s">
        <v>1099</v>
      </c>
      <c r="C3452">
        <v>0</v>
      </c>
      <c r="D3452" t="s">
        <v>4080</v>
      </c>
      <c r="E3452">
        <v>2019</v>
      </c>
      <c r="F3452" s="9"/>
      <c r="H3452" s="20" t="str">
        <f t="shared" si="53"/>
        <v>(nextval('obj_part_id_seq'), (select id from obj_building_v where zip||'|'||street||'|'||name||'|'||volume = '4303|Im Liner|(Vereinshaus Kleingärten)|346.00'), 'P3', 0, null, 2019,null),</v>
      </c>
    </row>
    <row r="3453" spans="1:8" x14ac:dyDescent="0.25">
      <c r="A3453" s="9" t="s">
        <v>3227</v>
      </c>
      <c r="B3453" s="9" t="s">
        <v>1100</v>
      </c>
      <c r="C3453">
        <v>8</v>
      </c>
      <c r="D3453">
        <v>0</v>
      </c>
      <c r="E3453">
        <v>2019</v>
      </c>
      <c r="F3453" s="9"/>
      <c r="H3453" s="20" t="str">
        <f t="shared" si="53"/>
        <v>(nextval('obj_part_id_seq'), (select id from obj_building_v where zip||'|'||street||'|'||name||'|'||volume = '4303|Im Liner|(Vereinshaus Kleingärten)|346.00'), 'P4', 8, 0, 2019,null),</v>
      </c>
    </row>
    <row r="3454" spans="1:8" x14ac:dyDescent="0.25">
      <c r="A3454" s="9" t="s">
        <v>3227</v>
      </c>
      <c r="B3454" s="9" t="s">
        <v>1102</v>
      </c>
      <c r="C3454">
        <v>8</v>
      </c>
      <c r="D3454">
        <v>0</v>
      </c>
      <c r="E3454">
        <v>2019</v>
      </c>
      <c r="F3454" s="9"/>
      <c r="H3454" s="20" t="str">
        <f t="shared" si="53"/>
        <v>(nextval('obj_part_id_seq'), (select id from obj_building_v where zip||'|'||street||'|'||name||'|'||volume = '4303|Im Liner|(Vereinshaus Kleingärten)|346.00'), 'P5', 8, 0, 2019,null),</v>
      </c>
    </row>
    <row r="3455" spans="1:8" x14ac:dyDescent="0.25">
      <c r="A3455" s="9" t="s">
        <v>3227</v>
      </c>
      <c r="B3455" s="9" t="s">
        <v>1104</v>
      </c>
      <c r="C3455">
        <v>1</v>
      </c>
      <c r="D3455">
        <v>0</v>
      </c>
      <c r="E3455">
        <v>2019</v>
      </c>
      <c r="F3455" s="9"/>
      <c r="H3455" s="20" t="str">
        <f t="shared" si="53"/>
        <v>(nextval('obj_part_id_seq'), (select id from obj_building_v where zip||'|'||street||'|'||name||'|'||volume = '4303|Im Liner|(Vereinshaus Kleingärten)|346.00'), 'P6', 1, 0, 2019,null),</v>
      </c>
    </row>
    <row r="3456" spans="1:8" x14ac:dyDescent="0.25">
      <c r="A3456" s="9" t="s">
        <v>3227</v>
      </c>
      <c r="B3456" s="9" t="s">
        <v>1106</v>
      </c>
      <c r="C3456">
        <v>2</v>
      </c>
      <c r="D3456">
        <v>0</v>
      </c>
      <c r="E3456">
        <v>2019</v>
      </c>
      <c r="F3456" s="9"/>
      <c r="H3456" s="20" t="str">
        <f t="shared" si="53"/>
        <v>(nextval('obj_part_id_seq'), (select id from obj_building_v where zip||'|'||street||'|'||name||'|'||volume = '4303|Im Liner|(Vereinshaus Kleingärten)|346.00'), 'P7', 2, 0, 2019,null),</v>
      </c>
    </row>
    <row r="3457" spans="1:8" x14ac:dyDescent="0.25">
      <c r="A3457" s="9" t="s">
        <v>3227</v>
      </c>
      <c r="B3457" s="9" t="s">
        <v>1108</v>
      </c>
      <c r="C3457">
        <v>6</v>
      </c>
      <c r="D3457">
        <v>0</v>
      </c>
      <c r="E3457">
        <v>2019</v>
      </c>
      <c r="F3457" s="9"/>
      <c r="H3457" s="20" t="str">
        <f t="shared" si="53"/>
        <v>(nextval('obj_part_id_seq'), (select id from obj_building_v where zip||'|'||street||'|'||name||'|'||volume = '4303|Im Liner|(Vereinshaus Kleingärten)|346.00'), 'P8', 6, 0, 2019,null),</v>
      </c>
    </row>
    <row r="3458" spans="1:8" x14ac:dyDescent="0.25">
      <c r="A3458" s="9" t="s">
        <v>3227</v>
      </c>
      <c r="B3458" s="9" t="s">
        <v>1110</v>
      </c>
      <c r="C3458">
        <v>6</v>
      </c>
      <c r="D3458">
        <v>0</v>
      </c>
      <c r="E3458">
        <v>2019</v>
      </c>
      <c r="F3458" s="9"/>
      <c r="H3458" s="20" t="str">
        <f t="shared" si="53"/>
        <v>(nextval('obj_part_id_seq'), (select id from obj_building_v where zip||'|'||street||'|'||name||'|'||volume = '4303|Im Liner|(Vereinshaus Kleingärten)|346.00'), 'P9', 6, 0, 2019,null),</v>
      </c>
    </row>
    <row r="3459" spans="1:8" x14ac:dyDescent="0.25">
      <c r="A3459" s="9" t="s">
        <v>3227</v>
      </c>
      <c r="B3459" s="9" t="s">
        <v>1112</v>
      </c>
      <c r="C3459">
        <v>3</v>
      </c>
      <c r="D3459">
        <v>0</v>
      </c>
      <c r="E3459">
        <v>2019</v>
      </c>
      <c r="F3459" s="9"/>
      <c r="H3459" s="20" t="str">
        <f t="shared" si="53"/>
        <v>(nextval('obj_part_id_seq'), (select id from obj_building_v where zip||'|'||street||'|'||name||'|'||volume = '4303|Im Liner|(Vereinshaus Kleingärten)|346.00'), 'P10', 3, 0, 2019,null),</v>
      </c>
    </row>
    <row r="3460" spans="1:8" x14ac:dyDescent="0.25">
      <c r="A3460" s="9" t="s">
        <v>3227</v>
      </c>
      <c r="B3460" s="9" t="s">
        <v>1114</v>
      </c>
      <c r="C3460">
        <v>27</v>
      </c>
      <c r="D3460">
        <v>0</v>
      </c>
      <c r="E3460">
        <v>2019</v>
      </c>
      <c r="F3460" s="9"/>
      <c r="H3460" s="20" t="str">
        <f t="shared" si="53"/>
        <v>(nextval('obj_part_id_seq'), (select id from obj_building_v where zip||'|'||street||'|'||name||'|'||volume = '4303|Im Liner|(Vereinshaus Kleingärten)|346.00'), 'P11', 27, 0, 2019,null),</v>
      </c>
    </row>
    <row r="3461" spans="1:8" x14ac:dyDescent="0.25">
      <c r="A3461" s="9" t="s">
        <v>3227</v>
      </c>
      <c r="B3461" s="9" t="s">
        <v>1114</v>
      </c>
      <c r="C3461">
        <v>0</v>
      </c>
      <c r="D3461" t="s">
        <v>4080</v>
      </c>
      <c r="E3461">
        <v>2019</v>
      </c>
      <c r="F3461" s="9"/>
      <c r="H3461" s="20" t="str">
        <f t="shared" ref="H3461:H3524" si="54">"(nextval('obj_part_id_seq'), (select id from obj_building_v where zip||'|'||street||'|'||name||'|'||volume = '"&amp;A3461&amp;"'), '"&amp;B3461&amp;"', "&amp;C3461&amp;", "&amp;D3461&amp;", "&amp;IF(ISBLANK(E3461),"null",E3461)&amp;","&amp;IF(ISBLANK(F3461),"null","'"&amp;F3461&amp;"'")&amp;"),"</f>
        <v>(nextval('obj_part_id_seq'), (select id from obj_building_v where zip||'|'||street||'|'||name||'|'||volume = '4303|Im Liner|(Vereinshaus Kleingärten)|346.00'), 'P11', 0, null, 2019,null),</v>
      </c>
    </row>
    <row r="3462" spans="1:8" x14ac:dyDescent="0.25">
      <c r="A3462" s="9" t="s">
        <v>3227</v>
      </c>
      <c r="B3462" s="9" t="s">
        <v>1116</v>
      </c>
      <c r="C3462">
        <v>0</v>
      </c>
      <c r="D3462" t="s">
        <v>4080</v>
      </c>
      <c r="E3462">
        <v>2019</v>
      </c>
      <c r="F3462" s="9"/>
      <c r="H3462" s="20" t="str">
        <f t="shared" si="54"/>
        <v>(nextval('obj_part_id_seq'), (select id from obj_building_v where zip||'|'||street||'|'||name||'|'||volume = '4303|Im Liner|(Vereinshaus Kleingärten)|346.00'), 'P12', 0, null, 2019,null),</v>
      </c>
    </row>
    <row r="3463" spans="1:8" x14ac:dyDescent="0.25">
      <c r="A3463" s="9" t="s">
        <v>3228</v>
      </c>
      <c r="B3463" s="9" t="s">
        <v>1127</v>
      </c>
      <c r="C3463">
        <v>26</v>
      </c>
      <c r="D3463">
        <v>90</v>
      </c>
      <c r="E3463">
        <v>2019</v>
      </c>
      <c r="F3463" s="9" t="s">
        <v>3229</v>
      </c>
      <c r="H3463" s="20" t="str">
        <f t="shared" si="54"/>
        <v>(nextval('obj_part_id_seq'), (select id from obj_building_v where zip||'|'||street||'|'||name||'|'||volume = '4303|Friedhof|Abdankungshalle|2090.00'), 'P48', 26, 90, 2019,'Stahlbeton, Mauerwerk, Stahlstützen'),</v>
      </c>
    </row>
    <row r="3464" spans="1:8" x14ac:dyDescent="0.25">
      <c r="A3464" s="9" t="s">
        <v>3228</v>
      </c>
      <c r="B3464" s="9" t="s">
        <v>1129</v>
      </c>
      <c r="C3464">
        <v>0</v>
      </c>
      <c r="D3464" t="s">
        <v>4080</v>
      </c>
      <c r="E3464">
        <v>2019</v>
      </c>
      <c r="F3464" s="9"/>
      <c r="H3464" s="20" t="str">
        <f t="shared" si="54"/>
        <v>(nextval('obj_part_id_seq'), (select id from obj_building_v where zip||'|'||street||'|'||name||'|'||volume = '4303|Friedhof|Abdankungshalle|2090.00'), 'P49', 0, null, 2019,null),</v>
      </c>
    </row>
    <row r="3465" spans="1:8" x14ac:dyDescent="0.25">
      <c r="A3465" s="9" t="s">
        <v>3228</v>
      </c>
      <c r="B3465" s="9" t="s">
        <v>1097</v>
      </c>
      <c r="C3465">
        <v>14</v>
      </c>
      <c r="D3465">
        <v>90</v>
      </c>
      <c r="E3465">
        <v>2019</v>
      </c>
      <c r="F3465" s="9" t="s">
        <v>3230</v>
      </c>
      <c r="H3465" s="20" t="str">
        <f t="shared" si="54"/>
        <v>(nextval('obj_part_id_seq'), (select id from obj_building_v where zip||'|'||street||'|'||name||'|'||volume = '4303|Friedhof|Abdankungshalle|2090.00'), 'P2', 14, 90, 2019,'Ziegel'),</v>
      </c>
    </row>
    <row r="3466" spans="1:8" x14ac:dyDescent="0.25">
      <c r="A3466" s="9" t="s">
        <v>3228</v>
      </c>
      <c r="B3466" s="9" t="s">
        <v>1099</v>
      </c>
      <c r="C3466">
        <v>2</v>
      </c>
      <c r="D3466">
        <v>85</v>
      </c>
      <c r="E3466">
        <v>2019</v>
      </c>
      <c r="F3466" s="9" t="s">
        <v>3231</v>
      </c>
      <c r="H3466" s="20" t="str">
        <f t="shared" si="54"/>
        <v>(nextval('obj_part_id_seq'), (select id from obj_building_v where zip||'|'||street||'|'||name||'|'||volume = '4303|Friedhof|Abdankungshalle|2090.00'), 'P3', 2, 85, 2019,'Kiesdach, begrünt, Vordach und Dach über Halle mit Cupoluxoblichter (eines defekt)'),</v>
      </c>
    </row>
    <row r="3467" spans="1:8" x14ac:dyDescent="0.25">
      <c r="A3467" s="9" t="s">
        <v>3228</v>
      </c>
      <c r="B3467" s="9" t="s">
        <v>1100</v>
      </c>
      <c r="C3467">
        <v>8</v>
      </c>
      <c r="D3467">
        <v>90</v>
      </c>
      <c r="E3467">
        <v>2019</v>
      </c>
      <c r="F3467" s="9" t="s">
        <v>3232</v>
      </c>
      <c r="H3467" s="20" t="str">
        <f t="shared" si="54"/>
        <v>(nextval('obj_part_id_seq'), (select id from obj_building_v where zip||'|'||street||'|'||name||'|'||volume = '4303|Friedhof|Abdankungshalle|2090.00'), 'P4', 8, 90, 2019,'Mauerwerk, verputzt, Stahlbeton im Sturzbereich'),</v>
      </c>
    </row>
    <row r="3468" spans="1:8" x14ac:dyDescent="0.25">
      <c r="A3468" s="9" t="s">
        <v>3228</v>
      </c>
      <c r="B3468" s="9" t="s">
        <v>1102</v>
      </c>
      <c r="C3468">
        <v>12</v>
      </c>
      <c r="D3468">
        <v>90</v>
      </c>
      <c r="E3468">
        <v>2019</v>
      </c>
      <c r="F3468" s="9" t="s">
        <v>3233</v>
      </c>
      <c r="H3468" s="20" t="str">
        <f t="shared" si="54"/>
        <v>(nextval('obj_part_id_seq'), (select id from obj_building_v where zip||'|'||street||'|'||name||'|'||volume = '4303|Friedhof|Abdankungshalle|2090.00'), 'P5', 12, 90, 2019,'Metallfenster, Aussentüre aus Holz'),</v>
      </c>
    </row>
    <row r="3469" spans="1:8" x14ac:dyDescent="0.25">
      <c r="A3469" s="9" t="s">
        <v>3228</v>
      </c>
      <c r="B3469" s="9" t="s">
        <v>1110</v>
      </c>
      <c r="C3469">
        <v>4</v>
      </c>
      <c r="D3469">
        <v>80</v>
      </c>
      <c r="E3469">
        <v>2019</v>
      </c>
      <c r="F3469" s="9" t="s">
        <v>3234</v>
      </c>
      <c r="H3469" s="20" t="str">
        <f t="shared" si="54"/>
        <v>(nextval('obj_part_id_seq'), (select id from obj_building_v where zip||'|'||street||'|'||name||'|'||volume = '4303|Friedhof|Abdankungshalle|2090.00'), 'P9', 4, 80, 2019,'Elektrotableau m. aspesthaltiger Grundplatte, FI-Schalter, alte Keramiksicherungen,  Innenbeleuchtung und Aussenbeleuchtung am Haus'),</v>
      </c>
    </row>
    <row r="3470" spans="1:8" x14ac:dyDescent="0.25">
      <c r="A3470" s="9" t="s">
        <v>3228</v>
      </c>
      <c r="B3470" s="9" t="s">
        <v>1104</v>
      </c>
      <c r="C3470">
        <v>1</v>
      </c>
      <c r="D3470">
        <v>90</v>
      </c>
      <c r="E3470">
        <v>2019</v>
      </c>
      <c r="F3470" s="9" t="s">
        <v>3235</v>
      </c>
      <c r="H3470" s="20" t="str">
        <f t="shared" si="54"/>
        <v>(nextval('obj_part_id_seq'), (select id from obj_building_v where zip||'|'||street||'|'||name||'|'||volume = '4303|Friedhof|Abdankungshalle|2090.00'), 'P6', 1, 90, 2019,'Elektrische Bodenheizung, Radiatoren elektrisch, Durchlauferhitzer für WC-Anlage'),</v>
      </c>
    </row>
    <row r="3471" spans="1:8" x14ac:dyDescent="0.25">
      <c r="A3471" s="9" t="s">
        <v>3228</v>
      </c>
      <c r="B3471" s="9" t="s">
        <v>1106</v>
      </c>
      <c r="C3471">
        <v>3</v>
      </c>
      <c r="D3471">
        <v>80</v>
      </c>
      <c r="E3471">
        <v>2019</v>
      </c>
      <c r="F3471" s="9" t="s">
        <v>3236</v>
      </c>
      <c r="H3471" s="20" t="str">
        <f t="shared" si="54"/>
        <v>(nextval('obj_part_id_seq'), (select id from obj_building_v where zip||'|'||street||'|'||name||'|'||volume = '4303|Friedhof|Abdankungshalle|2090.00'), 'P7', 3, 80, 2019,'Elektrische Bodenheizung, Radiatoren elektrisch'),</v>
      </c>
    </row>
    <row r="3472" spans="1:8" x14ac:dyDescent="0.25">
      <c r="A3472" s="9" t="s">
        <v>3228</v>
      </c>
      <c r="B3472" s="9" t="s">
        <v>1403</v>
      </c>
      <c r="C3472">
        <v>3</v>
      </c>
      <c r="D3472">
        <v>90</v>
      </c>
      <c r="E3472">
        <v>2019</v>
      </c>
      <c r="F3472" s="9" t="s">
        <v>3237</v>
      </c>
      <c r="H3472" s="20" t="str">
        <f t="shared" si="54"/>
        <v>(nextval('obj_part_id_seq'), (select id from obj_building_v where zip||'|'||street||'|'||name||'|'||volume = '4303|Friedhof|Abdankungshalle|2090.00'), 'P52', 3, 90, 2019,'Abluft Aufbahrungsraum'),</v>
      </c>
    </row>
    <row r="3473" spans="1:8" x14ac:dyDescent="0.25">
      <c r="A3473" s="9" t="s">
        <v>3228</v>
      </c>
      <c r="B3473" s="9" t="s">
        <v>1404</v>
      </c>
      <c r="C3473">
        <v>3</v>
      </c>
      <c r="D3473">
        <v>90</v>
      </c>
      <c r="E3473">
        <v>2019</v>
      </c>
      <c r="F3473" s="9" t="s">
        <v>1218</v>
      </c>
      <c r="H3473" s="20" t="str">
        <f t="shared" si="54"/>
        <v>(nextval('obj_part_id_seq'), (select id from obj_building_v where zip||'|'||street||'|'||name||'|'||volume = '4303|Friedhof|Abdankungshalle|2090.00'), 'P53', 3, 90, 2019,'Keine Mängel bekannt'),</v>
      </c>
    </row>
    <row r="3474" spans="1:8" x14ac:dyDescent="0.25">
      <c r="A3474" s="9" t="s">
        <v>3228</v>
      </c>
      <c r="B3474" s="9" t="s">
        <v>1108</v>
      </c>
      <c r="C3474">
        <v>5</v>
      </c>
      <c r="D3474">
        <v>90</v>
      </c>
      <c r="E3474">
        <v>2019</v>
      </c>
      <c r="F3474" s="9" t="s">
        <v>3238</v>
      </c>
      <c r="H3474" s="20" t="str">
        <f t="shared" si="54"/>
        <v>(nextval('obj_part_id_seq'), (select id from obj_building_v where zip||'|'||street||'|'||name||'|'||volume = '4303|Friedhof|Abdankungshalle|2090.00'), 'P8', 5, 90, 2019,'Zeitgemässe Apparate und Armaturen, keine Mängel bekannt'),</v>
      </c>
    </row>
    <row r="3475" spans="1:8" x14ac:dyDescent="0.25">
      <c r="A3475" s="9" t="s">
        <v>3228</v>
      </c>
      <c r="B3475" s="9" t="s">
        <v>1138</v>
      </c>
      <c r="C3475">
        <v>11</v>
      </c>
      <c r="D3475">
        <v>90</v>
      </c>
      <c r="E3475">
        <v>2019</v>
      </c>
      <c r="F3475" s="9" t="s">
        <v>3239</v>
      </c>
      <c r="H3475" s="20" t="str">
        <f t="shared" si="54"/>
        <v>(nextval('obj_part_id_seq'), (select id from obj_building_v where zip||'|'||street||'|'||name||'|'||volume = '4303|Friedhof|Abdankungshalle|2090.00'), 'P57', 11, 90, 2019,'Innentüren aus Holz, Metallgeländer'),</v>
      </c>
    </row>
    <row r="3476" spans="1:8" x14ac:dyDescent="0.25">
      <c r="A3476" s="9" t="s">
        <v>3228</v>
      </c>
      <c r="B3476" s="9" t="s">
        <v>1140</v>
      </c>
      <c r="C3476">
        <v>4</v>
      </c>
      <c r="D3476">
        <v>90</v>
      </c>
      <c r="E3476">
        <v>2019</v>
      </c>
      <c r="F3476" s="9" t="s">
        <v>3240</v>
      </c>
      <c r="H3476" s="20" t="str">
        <f t="shared" si="54"/>
        <v>(nextval('obj_part_id_seq'), (select id from obj_building_v where zip||'|'||street||'|'||name||'|'||volume = '4303|Friedhof|Abdankungshalle|2090.00'), 'P58', 4, 90, 2019,'B: Keramikpl., Naturstein, W: Keramik, Putz, Anstrich, D: Verputz, Anstrich'),</v>
      </c>
    </row>
    <row r="3477" spans="1:8" x14ac:dyDescent="0.25">
      <c r="A3477" s="9" t="s">
        <v>3228</v>
      </c>
      <c r="B3477" s="9" t="s">
        <v>1157</v>
      </c>
      <c r="C3477">
        <v>0</v>
      </c>
      <c r="D3477" t="s">
        <v>4080</v>
      </c>
      <c r="E3477">
        <v>2019</v>
      </c>
      <c r="F3477" s="9"/>
      <c r="H3477" s="20" t="str">
        <f t="shared" si="54"/>
        <v>(nextval('obj_part_id_seq'), (select id from obj_building_v where zip||'|'||street||'|'||name||'|'||volume = '4303|Friedhof|Abdankungshalle|2090.00'), 'P59', 0, null, 2019,null),</v>
      </c>
    </row>
    <row r="3478" spans="1:8" x14ac:dyDescent="0.25">
      <c r="A3478" s="9" t="s">
        <v>3228</v>
      </c>
      <c r="B3478" s="9" t="s">
        <v>1142</v>
      </c>
      <c r="C3478">
        <v>0</v>
      </c>
      <c r="D3478" t="s">
        <v>4080</v>
      </c>
      <c r="E3478">
        <v>2019</v>
      </c>
      <c r="F3478" s="9"/>
      <c r="H3478" s="20" t="str">
        <f t="shared" si="54"/>
        <v>(nextval('obj_part_id_seq'), (select id from obj_building_v where zip||'|'||street||'|'||name||'|'||volume = '4303|Friedhof|Abdankungshalle|2090.00'), 'P60', 0, null, 2019,null),</v>
      </c>
    </row>
    <row r="3479" spans="1:8" x14ac:dyDescent="0.25">
      <c r="A3479" s="9" t="s">
        <v>3228</v>
      </c>
      <c r="B3479" s="9" t="s">
        <v>1143</v>
      </c>
      <c r="C3479">
        <v>4</v>
      </c>
      <c r="D3479">
        <v>90</v>
      </c>
      <c r="E3479">
        <v>2019</v>
      </c>
      <c r="F3479" s="9" t="s">
        <v>3241</v>
      </c>
      <c r="H3479" s="20" t="str">
        <f t="shared" si="54"/>
        <v>(nextval('obj_part_id_seq'), (select id from obj_building_v where zip||'|'||street||'|'||name||'|'||volume = '4303|Friedhof|Abdankungshalle|2090.00'), 'P61', 4, 90, 2019,'Klima-Katafalk für Aufbahrung, Kompressor, Urnenwand unter Vordach'),</v>
      </c>
    </row>
    <row r="3480" spans="1:8" x14ac:dyDescent="0.25">
      <c r="A3480" s="9" t="s">
        <v>3228</v>
      </c>
      <c r="B3480" s="9" t="s">
        <v>1144</v>
      </c>
      <c r="C3480">
        <v>0</v>
      </c>
      <c r="D3480" t="s">
        <v>4080</v>
      </c>
      <c r="E3480">
        <v>2019</v>
      </c>
      <c r="F3480" s="9"/>
      <c r="H3480" s="20" t="str">
        <f t="shared" si="54"/>
        <v>(nextval('obj_part_id_seq'), (select id from obj_building_v where zip||'|'||street||'|'||name||'|'||volume = '4303|Friedhof|Abdankungshalle|2090.00'), 'P62', 0, null, 2019,null),</v>
      </c>
    </row>
    <row r="3481" spans="1:8" x14ac:dyDescent="0.25">
      <c r="A3481" s="9" t="s">
        <v>3242</v>
      </c>
      <c r="B3481" s="9" t="s">
        <v>1095</v>
      </c>
      <c r="C3481">
        <v>36</v>
      </c>
      <c r="D3481">
        <v>90</v>
      </c>
      <c r="E3481">
        <v>2019</v>
      </c>
      <c r="F3481" s="9" t="s">
        <v>3243</v>
      </c>
      <c r="H3481" s="20" t="str">
        <f t="shared" si="54"/>
        <v>(nextval('obj_part_id_seq'), (select id from obj_building_v where zip||'|'||street||'|'||name||'|'||volume = '4303|Friedhof|Geräteraum|198.00'), 'P1', 36, 90, 2019,'Holzbau mit Sockel aus Stahlbeton'),</v>
      </c>
    </row>
    <row r="3482" spans="1:8" x14ac:dyDescent="0.25">
      <c r="A3482" s="9" t="s">
        <v>3242</v>
      </c>
      <c r="B3482" s="9" t="s">
        <v>1097</v>
      </c>
      <c r="C3482">
        <v>4</v>
      </c>
      <c r="D3482">
        <v>90</v>
      </c>
      <c r="E3482">
        <v>2019</v>
      </c>
      <c r="F3482" s="9" t="s">
        <v>3244</v>
      </c>
      <c r="H3482" s="20" t="str">
        <f t="shared" si="54"/>
        <v>(nextval('obj_part_id_seq'), (select id from obj_building_v where zip||'|'||street||'|'||name||'|'||volume = '4303|Friedhof|Geräteraum|198.00'), 'P2', 4, 90, 2019,'Falzziegel'),</v>
      </c>
    </row>
    <row r="3483" spans="1:8" x14ac:dyDescent="0.25">
      <c r="A3483" s="9" t="s">
        <v>3242</v>
      </c>
      <c r="B3483" s="9" t="s">
        <v>1099</v>
      </c>
      <c r="C3483">
        <v>0</v>
      </c>
      <c r="D3483" t="s">
        <v>4080</v>
      </c>
      <c r="E3483">
        <v>2019</v>
      </c>
      <c r="F3483" s="9"/>
      <c r="H3483" s="20" t="str">
        <f t="shared" si="54"/>
        <v>(nextval('obj_part_id_seq'), (select id from obj_building_v where zip||'|'||street||'|'||name||'|'||volume = '4303|Friedhof|Geräteraum|198.00'), 'P3', 0, null, 2019,null),</v>
      </c>
    </row>
    <row r="3484" spans="1:8" x14ac:dyDescent="0.25">
      <c r="A3484" s="9" t="s">
        <v>3242</v>
      </c>
      <c r="B3484" s="9" t="s">
        <v>1100</v>
      </c>
      <c r="C3484">
        <v>19</v>
      </c>
      <c r="D3484">
        <v>90</v>
      </c>
      <c r="E3484">
        <v>2019</v>
      </c>
      <c r="F3484" s="9" t="s">
        <v>3245</v>
      </c>
      <c r="H3484" s="20" t="str">
        <f t="shared" si="54"/>
        <v>(nextval('obj_part_id_seq'), (select id from obj_building_v where zip||'|'||street||'|'||name||'|'||volume = '4303|Friedhof|Geräteraum|198.00'), 'P4', 19, 90, 2019,'Holzschalung (Nut- und Kamm)'),</v>
      </c>
    </row>
    <row r="3485" spans="1:8" x14ac:dyDescent="0.25">
      <c r="A3485" s="9" t="s">
        <v>3242</v>
      </c>
      <c r="B3485" s="9" t="s">
        <v>1102</v>
      </c>
      <c r="C3485">
        <v>8</v>
      </c>
      <c r="D3485">
        <v>90</v>
      </c>
      <c r="E3485">
        <v>2019</v>
      </c>
      <c r="F3485" s="9" t="s">
        <v>3246</v>
      </c>
      <c r="H3485" s="20" t="str">
        <f t="shared" si="54"/>
        <v>(nextval('obj_part_id_seq'), (select id from obj_building_v where zip||'|'||street||'|'||name||'|'||volume = '4303|Friedhof|Geräteraum|198.00'), 'P5', 8, 90, 2019,'Holztore und -fenster'),</v>
      </c>
    </row>
    <row r="3486" spans="1:8" x14ac:dyDescent="0.25">
      <c r="A3486" s="9" t="s">
        <v>3242</v>
      </c>
      <c r="B3486" s="9" t="s">
        <v>1104</v>
      </c>
      <c r="C3486">
        <v>0</v>
      </c>
      <c r="D3486" t="s">
        <v>4080</v>
      </c>
      <c r="E3486">
        <v>2019</v>
      </c>
      <c r="F3486" s="9"/>
      <c r="H3486" s="20" t="str">
        <f t="shared" si="54"/>
        <v>(nextval('obj_part_id_seq'), (select id from obj_building_v where zip||'|'||street||'|'||name||'|'||volume = '4303|Friedhof|Geräteraum|198.00'), 'P6', 0, null, 2019,null),</v>
      </c>
    </row>
    <row r="3487" spans="1:8" x14ac:dyDescent="0.25">
      <c r="A3487" s="9" t="s">
        <v>3242</v>
      </c>
      <c r="B3487" s="9" t="s">
        <v>1106</v>
      </c>
      <c r="C3487">
        <v>0</v>
      </c>
      <c r="D3487" t="s">
        <v>4080</v>
      </c>
      <c r="E3487">
        <v>2019</v>
      </c>
      <c r="F3487" s="9"/>
      <c r="H3487" s="20" t="str">
        <f t="shared" si="54"/>
        <v>(nextval('obj_part_id_seq'), (select id from obj_building_v where zip||'|'||street||'|'||name||'|'||volume = '4303|Friedhof|Geräteraum|198.00'), 'P7', 0, null, 2019,null),</v>
      </c>
    </row>
    <row r="3488" spans="1:8" x14ac:dyDescent="0.25">
      <c r="A3488" s="9" t="s">
        <v>3242</v>
      </c>
      <c r="B3488" s="9" t="s">
        <v>1108</v>
      </c>
      <c r="C3488">
        <v>0</v>
      </c>
      <c r="D3488" t="s">
        <v>4080</v>
      </c>
      <c r="E3488">
        <v>2019</v>
      </c>
      <c r="F3488" s="9"/>
      <c r="H3488" s="20" t="str">
        <f t="shared" si="54"/>
        <v>(nextval('obj_part_id_seq'), (select id from obj_building_v where zip||'|'||street||'|'||name||'|'||volume = '4303|Friedhof|Geräteraum|198.00'), 'P8', 0, null, 2019,null),</v>
      </c>
    </row>
    <row r="3489" spans="1:8" x14ac:dyDescent="0.25">
      <c r="A3489" s="9" t="s">
        <v>3242</v>
      </c>
      <c r="B3489" s="9" t="s">
        <v>1110</v>
      </c>
      <c r="C3489">
        <v>6</v>
      </c>
      <c r="D3489">
        <v>90</v>
      </c>
      <c r="E3489">
        <v>2019</v>
      </c>
      <c r="F3489" s="9" t="s">
        <v>3247</v>
      </c>
      <c r="H3489" s="20" t="str">
        <f t="shared" si="54"/>
        <v>(nextval('obj_part_id_seq'), (select id from obj_building_v where zip||'|'||street||'|'||name||'|'||volume = '4303|Friedhof|Geräteraum|198.00'), 'P9', 6, 90, 2019,'Beleuchtung, Tableau für Anschlüsse'),</v>
      </c>
    </row>
    <row r="3490" spans="1:8" x14ac:dyDescent="0.25">
      <c r="A3490" s="9" t="s">
        <v>3242</v>
      </c>
      <c r="B3490" s="9" t="s">
        <v>1112</v>
      </c>
      <c r="C3490">
        <v>0</v>
      </c>
      <c r="D3490" t="s">
        <v>4080</v>
      </c>
      <c r="E3490">
        <v>2019</v>
      </c>
      <c r="F3490" s="9"/>
      <c r="H3490" s="20" t="str">
        <f t="shared" si="54"/>
        <v>(nextval('obj_part_id_seq'), (select id from obj_building_v where zip||'|'||street||'|'||name||'|'||volume = '4303|Friedhof|Geräteraum|198.00'), 'P10', 0, null, 2019,null),</v>
      </c>
    </row>
    <row r="3491" spans="1:8" x14ac:dyDescent="0.25">
      <c r="A3491" s="9" t="s">
        <v>3242</v>
      </c>
      <c r="B3491" s="9" t="s">
        <v>1114</v>
      </c>
      <c r="C3491">
        <v>27</v>
      </c>
      <c r="D3491">
        <v>90</v>
      </c>
      <c r="E3491">
        <v>2019</v>
      </c>
      <c r="F3491" s="9" t="s">
        <v>3248</v>
      </c>
      <c r="H3491" s="20" t="str">
        <f t="shared" si="54"/>
        <v>(nextval('obj_part_id_seq'), (select id from obj_building_v where zip||'|'||street||'|'||name||'|'||volume = '4303|Friedhof|Geräteraum|198.00'), 'P11', 27, 90, 2019,'B: Verbundsteine'),</v>
      </c>
    </row>
    <row r="3492" spans="1:8" x14ac:dyDescent="0.25">
      <c r="A3492" s="9" t="s">
        <v>3242</v>
      </c>
      <c r="B3492" s="9" t="s">
        <v>1114</v>
      </c>
      <c r="C3492">
        <v>0</v>
      </c>
      <c r="D3492" t="s">
        <v>4080</v>
      </c>
      <c r="E3492">
        <v>2019</v>
      </c>
      <c r="F3492" s="9"/>
      <c r="H3492" s="20" t="str">
        <f t="shared" si="54"/>
        <v>(nextval('obj_part_id_seq'), (select id from obj_building_v where zip||'|'||street||'|'||name||'|'||volume = '4303|Friedhof|Geräteraum|198.00'), 'P11', 0, null, 2019,null),</v>
      </c>
    </row>
    <row r="3493" spans="1:8" x14ac:dyDescent="0.25">
      <c r="A3493" s="9" t="s">
        <v>3242</v>
      </c>
      <c r="B3493" s="9" t="s">
        <v>1116</v>
      </c>
      <c r="C3493">
        <v>0</v>
      </c>
      <c r="D3493" t="s">
        <v>4080</v>
      </c>
      <c r="E3493">
        <v>2019</v>
      </c>
      <c r="F3493" s="9"/>
      <c r="H3493" s="20" t="str">
        <f t="shared" si="54"/>
        <v>(nextval('obj_part_id_seq'), (select id from obj_building_v where zip||'|'||street||'|'||name||'|'||volume = '4303|Friedhof|Geräteraum|198.00'), 'P12', 0, null, 2019,null),</v>
      </c>
    </row>
    <row r="3494" spans="1:8" x14ac:dyDescent="0.25">
      <c r="A3494" s="9" t="s">
        <v>3249</v>
      </c>
      <c r="B3494" s="9" t="s">
        <v>1127</v>
      </c>
      <c r="C3494">
        <v>29</v>
      </c>
      <c r="D3494">
        <v>90</v>
      </c>
      <c r="E3494">
        <v>2019</v>
      </c>
      <c r="F3494" s="9" t="s">
        <v>1303</v>
      </c>
      <c r="H3494" s="20" t="str">
        <f t="shared" si="54"/>
        <v>(nextval('obj_part_id_seq'), (select id from obj_building_v where zip||'|'||street||'|'||name||'|'||volume = '4303|Lochmatt, Strandbadweg 59|Camping, Kiosk|698.00'), 'P48', 29, 90, 2019,'Holzbau'),</v>
      </c>
    </row>
    <row r="3495" spans="1:8" x14ac:dyDescent="0.25">
      <c r="A3495" s="9" t="s">
        <v>3249</v>
      </c>
      <c r="B3495" s="9" t="s">
        <v>1129</v>
      </c>
      <c r="C3495">
        <v>0</v>
      </c>
      <c r="D3495" t="s">
        <v>4080</v>
      </c>
      <c r="E3495">
        <v>2019</v>
      </c>
      <c r="F3495" s="9"/>
      <c r="H3495" s="20" t="str">
        <f t="shared" si="54"/>
        <v>(nextval('obj_part_id_seq'), (select id from obj_building_v where zip||'|'||street||'|'||name||'|'||volume = '4303|Lochmatt, Strandbadweg 59|Camping, Kiosk|698.00'), 'P49', 0, null, 2019,null),</v>
      </c>
    </row>
    <row r="3496" spans="1:8" x14ac:dyDescent="0.25">
      <c r="A3496" s="9" t="s">
        <v>3249</v>
      </c>
      <c r="B3496" s="9" t="s">
        <v>1097</v>
      </c>
      <c r="C3496">
        <v>14</v>
      </c>
      <c r="D3496">
        <v>80</v>
      </c>
      <c r="E3496">
        <v>2019</v>
      </c>
      <c r="F3496" s="9" t="s">
        <v>3250</v>
      </c>
      <c r="H3496" s="20" t="str">
        <f t="shared" si="54"/>
        <v>(nextval('obj_part_id_seq'), (select id from obj_building_v where zip||'|'||street||'|'||name||'|'||volume = '4303|Lochmatt, Strandbadweg 59|Camping, Kiosk|698.00'), 'P2', 14, 80, 2019,'Welleternit, Vordach mit text. Storen'),</v>
      </c>
    </row>
    <row r="3497" spans="1:8" x14ac:dyDescent="0.25">
      <c r="A3497" s="9" t="s">
        <v>3249</v>
      </c>
      <c r="B3497" s="9" t="s">
        <v>1099</v>
      </c>
      <c r="C3497">
        <v>0</v>
      </c>
      <c r="D3497" t="s">
        <v>4080</v>
      </c>
      <c r="E3497">
        <v>2019</v>
      </c>
      <c r="F3497" s="9"/>
      <c r="H3497" s="20" t="str">
        <f t="shared" si="54"/>
        <v>(nextval('obj_part_id_seq'), (select id from obj_building_v where zip||'|'||street||'|'||name||'|'||volume = '4303|Lochmatt, Strandbadweg 59|Camping, Kiosk|698.00'), 'P3', 0, null, 2019,null),</v>
      </c>
    </row>
    <row r="3498" spans="1:8" x14ac:dyDescent="0.25">
      <c r="A3498" s="9" t="s">
        <v>3249</v>
      </c>
      <c r="B3498" s="9" t="s">
        <v>1100</v>
      </c>
      <c r="C3498">
        <v>7</v>
      </c>
      <c r="D3498">
        <v>90</v>
      </c>
      <c r="E3498">
        <v>2019</v>
      </c>
      <c r="F3498" s="9" t="s">
        <v>1305</v>
      </c>
      <c r="H3498" s="20" t="str">
        <f t="shared" si="54"/>
        <v>(nextval('obj_part_id_seq'), (select id from obj_building_v where zip||'|'||street||'|'||name||'|'||volume = '4303|Lochmatt, Strandbadweg 59|Camping, Kiosk|698.00'), 'P4', 7, 90, 2019,'Holz'),</v>
      </c>
    </row>
    <row r="3499" spans="1:8" x14ac:dyDescent="0.25">
      <c r="A3499" s="9" t="s">
        <v>3249</v>
      </c>
      <c r="B3499" s="9" t="s">
        <v>1102</v>
      </c>
      <c r="C3499">
        <v>9</v>
      </c>
      <c r="D3499">
        <v>90</v>
      </c>
      <c r="E3499">
        <v>2019</v>
      </c>
      <c r="F3499" s="9" t="s">
        <v>3251</v>
      </c>
      <c r="H3499" s="20" t="str">
        <f t="shared" si="54"/>
        <v>(nextval('obj_part_id_seq'), (select id from obj_building_v where zip||'|'||street||'|'||name||'|'||volume = '4303|Lochmatt, Strandbadweg 59|Camping, Kiosk|698.00'), 'P5', 9, 90, 2019,'Glasschiebefenster, Metallläden, Holztüren'),</v>
      </c>
    </row>
    <row r="3500" spans="1:8" x14ac:dyDescent="0.25">
      <c r="A3500" s="9" t="s">
        <v>3249</v>
      </c>
      <c r="B3500" s="9" t="s">
        <v>1110</v>
      </c>
      <c r="C3500">
        <v>9</v>
      </c>
      <c r="D3500">
        <v>90</v>
      </c>
      <c r="E3500">
        <v>2019</v>
      </c>
      <c r="F3500" s="9" t="s">
        <v>3252</v>
      </c>
      <c r="H3500" s="20" t="str">
        <f t="shared" si="54"/>
        <v>(nextval('obj_part_id_seq'), (select id from obj_building_v where zip||'|'||street||'|'||name||'|'||volume = '4303|Lochmatt, Strandbadweg 59|Camping, Kiosk|698.00'), 'P9', 9, 90, 2019,'Fl-Schalter, Beleuchtung, Alarmanlage'),</v>
      </c>
    </row>
    <row r="3501" spans="1:8" x14ac:dyDescent="0.25">
      <c r="A3501" s="9" t="s">
        <v>3249</v>
      </c>
      <c r="B3501" s="9" t="s">
        <v>1104</v>
      </c>
      <c r="C3501">
        <v>1</v>
      </c>
      <c r="D3501">
        <v>90</v>
      </c>
      <c r="E3501">
        <v>2019</v>
      </c>
      <c r="F3501" s="9" t="s">
        <v>3253</v>
      </c>
      <c r="H3501" s="20" t="str">
        <f t="shared" si="54"/>
        <v>(nextval('obj_part_id_seq'), (select id from obj_building_v where zip||'|'||street||'|'||name||'|'||volume = '4303|Lochmatt, Strandbadweg 59|Camping, Kiosk|698.00'), 'P6', 1, 90, 2019,'WW-Boiler'),</v>
      </c>
    </row>
    <row r="3502" spans="1:8" x14ac:dyDescent="0.25">
      <c r="A3502" s="9" t="s">
        <v>3249</v>
      </c>
      <c r="B3502" s="9" t="s">
        <v>1106</v>
      </c>
      <c r="C3502">
        <v>0</v>
      </c>
      <c r="D3502" t="s">
        <v>4080</v>
      </c>
      <c r="E3502">
        <v>2019</v>
      </c>
      <c r="F3502" s="9"/>
      <c r="H3502" s="20" t="str">
        <f t="shared" si="54"/>
        <v>(nextval('obj_part_id_seq'), (select id from obj_building_v where zip||'|'||street||'|'||name||'|'||volume = '4303|Lochmatt, Strandbadweg 59|Camping, Kiosk|698.00'), 'P7', 0, null, 2019,null),</v>
      </c>
    </row>
    <row r="3503" spans="1:8" x14ac:dyDescent="0.25">
      <c r="A3503" s="9" t="s">
        <v>3249</v>
      </c>
      <c r="B3503" s="9" t="s">
        <v>1403</v>
      </c>
      <c r="C3503">
        <v>8</v>
      </c>
      <c r="D3503">
        <v>85</v>
      </c>
      <c r="E3503">
        <v>2019</v>
      </c>
      <c r="F3503" s="9" t="s">
        <v>3254</v>
      </c>
      <c r="H3503" s="20" t="str">
        <f t="shared" si="54"/>
        <v>(nextval('obj_part_id_seq'), (select id from obj_building_v where zip||'|'||street||'|'||name||'|'||volume = '4303|Lochmatt, Strandbadweg 59|Camping, Kiosk|698.00'), 'P52', 8, 85, 2019,'Abluft Küche'),</v>
      </c>
    </row>
    <row r="3504" spans="1:8" x14ac:dyDescent="0.25">
      <c r="A3504" s="9" t="s">
        <v>3249</v>
      </c>
      <c r="B3504" s="9" t="s">
        <v>1404</v>
      </c>
      <c r="C3504">
        <v>0</v>
      </c>
      <c r="D3504" t="s">
        <v>4080</v>
      </c>
      <c r="E3504">
        <v>2019</v>
      </c>
      <c r="F3504" s="9"/>
      <c r="H3504" s="20" t="str">
        <f t="shared" si="54"/>
        <v>(nextval('obj_part_id_seq'), (select id from obj_building_v where zip||'|'||street||'|'||name||'|'||volume = '4303|Lochmatt, Strandbadweg 59|Camping, Kiosk|698.00'), 'P53', 0, null, 2019,null),</v>
      </c>
    </row>
    <row r="3505" spans="1:8" x14ac:dyDescent="0.25">
      <c r="A3505" s="9" t="s">
        <v>3249</v>
      </c>
      <c r="B3505" s="9" t="s">
        <v>1135</v>
      </c>
      <c r="C3505">
        <v>2</v>
      </c>
      <c r="D3505">
        <v>80</v>
      </c>
      <c r="E3505">
        <v>2019</v>
      </c>
      <c r="F3505" s="9" t="s">
        <v>3255</v>
      </c>
      <c r="H3505" s="20" t="str">
        <f t="shared" si="54"/>
        <v>(nextval('obj_part_id_seq'), (select id from obj_building_v where zip||'|'||street||'|'||name||'|'||volume = '4303|Lochmatt, Strandbadweg 59|Camping, Kiosk|698.00'), 'P54', 2, 80, 2019,'Ältere Armaturen, aber funktionstüchtig'),</v>
      </c>
    </row>
    <row r="3506" spans="1:8" x14ac:dyDescent="0.25">
      <c r="A3506" s="9" t="s">
        <v>3249</v>
      </c>
      <c r="B3506" s="9" t="s">
        <v>1137</v>
      </c>
      <c r="C3506">
        <v>6</v>
      </c>
      <c r="D3506">
        <v>70</v>
      </c>
      <c r="E3506">
        <v>2019</v>
      </c>
      <c r="F3506" s="9" t="s">
        <v>3256</v>
      </c>
      <c r="H3506" s="20" t="str">
        <f t="shared" si="54"/>
        <v>(nextval('obj_part_id_seq'), (select id from obj_building_v where zip||'|'||street||'|'||name||'|'||volume = '4303|Lochmatt, Strandbadweg 59|Camping, Kiosk|698.00'), 'P55', 6, 70, 2019,'Wenig Druck, rostige Leitungen (WW/KW)'),</v>
      </c>
    </row>
    <row r="3507" spans="1:8" x14ac:dyDescent="0.25">
      <c r="A3507" s="9" t="s">
        <v>3249</v>
      </c>
      <c r="B3507" s="9" t="s">
        <v>1155</v>
      </c>
      <c r="C3507">
        <v>0</v>
      </c>
      <c r="D3507" t="s">
        <v>4080</v>
      </c>
      <c r="E3507">
        <v>2019</v>
      </c>
      <c r="F3507" s="9"/>
      <c r="H3507" s="20" t="str">
        <f t="shared" si="54"/>
        <v>(nextval('obj_part_id_seq'), (select id from obj_building_v where zip||'|'||street||'|'||name||'|'||volume = '4303|Lochmatt, Strandbadweg 59|Camping, Kiosk|698.00'), 'P56', 0, null, 2019,null),</v>
      </c>
    </row>
    <row r="3508" spans="1:8" x14ac:dyDescent="0.25">
      <c r="A3508" s="9" t="s">
        <v>3249</v>
      </c>
      <c r="B3508" s="9" t="s">
        <v>1114</v>
      </c>
      <c r="C3508">
        <v>5</v>
      </c>
      <c r="D3508">
        <v>85</v>
      </c>
      <c r="E3508">
        <v>2019</v>
      </c>
      <c r="F3508" s="9" t="s">
        <v>3257</v>
      </c>
      <c r="H3508" s="20" t="str">
        <f t="shared" si="54"/>
        <v>(nextval('obj_part_id_seq'), (select id from obj_building_v where zip||'|'||street||'|'||name||'|'||volume = '4303|Lochmatt, Strandbadweg 59|Camping, Kiosk|698.00'), 'P11', 5, 85, 2019,'Boden: Flüssigkunsststoff, Keramik, Abrieb\nWände: Pressspan, Plattenschilder aus Keramik\nDecke: Täfer, Gips, Pressspan'),</v>
      </c>
    </row>
    <row r="3509" spans="1:8" x14ac:dyDescent="0.25">
      <c r="A3509" s="9" t="s">
        <v>3249</v>
      </c>
      <c r="B3509" s="9" t="s">
        <v>1157</v>
      </c>
      <c r="C3509">
        <v>10</v>
      </c>
      <c r="D3509">
        <v>85</v>
      </c>
      <c r="E3509">
        <v>2019</v>
      </c>
      <c r="F3509" s="9" t="s">
        <v>3258</v>
      </c>
      <c r="H3509" s="20" t="str">
        <f t="shared" si="54"/>
        <v>(nextval('obj_part_id_seq'), (select id from obj_building_v where zip||'|'||street||'|'||name||'|'||volume = '4303|Lochmatt, Strandbadweg 59|Camping, Kiosk|698.00'), 'P59', 10, 85, 2019,'Industrieküche, 10-jährig'),</v>
      </c>
    </row>
    <row r="3510" spans="1:8" x14ac:dyDescent="0.25">
      <c r="A3510" s="9" t="s">
        <v>3249</v>
      </c>
      <c r="B3510" s="9" t="s">
        <v>1142</v>
      </c>
      <c r="C3510">
        <v>0</v>
      </c>
      <c r="D3510" t="s">
        <v>4080</v>
      </c>
      <c r="E3510">
        <v>2019</v>
      </c>
      <c r="F3510" s="9"/>
      <c r="H3510" s="20" t="str">
        <f t="shared" si="54"/>
        <v>(nextval('obj_part_id_seq'), (select id from obj_building_v where zip||'|'||street||'|'||name||'|'||volume = '4303|Lochmatt, Strandbadweg 59|Camping, Kiosk|698.00'), 'P60', 0, null, 2019,null),</v>
      </c>
    </row>
    <row r="3511" spans="1:8" x14ac:dyDescent="0.25">
      <c r="A3511" s="9" t="s">
        <v>3249</v>
      </c>
      <c r="B3511" s="9" t="s">
        <v>1143</v>
      </c>
      <c r="C3511">
        <v>0</v>
      </c>
      <c r="D3511" t="s">
        <v>4080</v>
      </c>
      <c r="E3511">
        <v>2019</v>
      </c>
      <c r="F3511" s="9"/>
      <c r="H3511" s="20" t="str">
        <f t="shared" si="54"/>
        <v>(nextval('obj_part_id_seq'), (select id from obj_building_v where zip||'|'||street||'|'||name||'|'||volume = '4303|Lochmatt, Strandbadweg 59|Camping, Kiosk|698.00'), 'P61', 0, null, 2019,null),</v>
      </c>
    </row>
    <row r="3512" spans="1:8" x14ac:dyDescent="0.25">
      <c r="A3512" s="9" t="s">
        <v>3249</v>
      </c>
      <c r="B3512" s="9" t="s">
        <v>1144</v>
      </c>
      <c r="C3512">
        <v>0</v>
      </c>
      <c r="D3512" t="s">
        <v>4080</v>
      </c>
      <c r="E3512">
        <v>2019</v>
      </c>
      <c r="F3512" s="9"/>
      <c r="H3512" s="20" t="str">
        <f t="shared" si="54"/>
        <v>(nextval('obj_part_id_seq'), (select id from obj_building_v where zip||'|'||street||'|'||name||'|'||volume = '4303|Lochmatt, Strandbadweg 59|Camping, Kiosk|698.00'), 'P62', 0, null, 2019,null),</v>
      </c>
    </row>
    <row r="3513" spans="1:8" x14ac:dyDescent="0.25">
      <c r="A3513" s="9" t="s">
        <v>3259</v>
      </c>
      <c r="B3513" s="9" t="s">
        <v>1095</v>
      </c>
      <c r="C3513">
        <v>37</v>
      </c>
      <c r="D3513">
        <v>90</v>
      </c>
      <c r="E3513">
        <v>2019</v>
      </c>
      <c r="F3513" s="9" t="s">
        <v>2069</v>
      </c>
      <c r="H3513" s="20" t="str">
        <f t="shared" si="54"/>
        <v>(nextval('obj_part_id_seq'), (select id from obj_building_v where zip||'|'||street||'|'||name||'|'||volume = '4303|Lochmatt|WC-Gebäude|131.00'), 'P1', 37, 90, 2019,'Mauerwerk, Stahlbeton'),</v>
      </c>
    </row>
    <row r="3514" spans="1:8" x14ac:dyDescent="0.25">
      <c r="A3514" s="9" t="s">
        <v>3259</v>
      </c>
      <c r="B3514" s="9" t="s">
        <v>1097</v>
      </c>
      <c r="C3514">
        <v>4</v>
      </c>
      <c r="D3514">
        <v>80</v>
      </c>
      <c r="E3514">
        <v>2019</v>
      </c>
      <c r="F3514" s="9" t="s">
        <v>3260</v>
      </c>
      <c r="H3514" s="20" t="str">
        <f t="shared" si="54"/>
        <v>(nextval('obj_part_id_seq'), (select id from obj_building_v where zip||'|'||street||'|'||name||'|'||volume = '4303|Lochmatt|WC-Gebäude|131.00'), 'P2', 4, 80, 2019,'Welleternit, Untersicht Täfer'),</v>
      </c>
    </row>
    <row r="3515" spans="1:8" x14ac:dyDescent="0.25">
      <c r="A3515" s="9" t="s">
        <v>3259</v>
      </c>
      <c r="B3515" s="9" t="s">
        <v>1099</v>
      </c>
      <c r="C3515">
        <v>0</v>
      </c>
      <c r="D3515" t="s">
        <v>4080</v>
      </c>
      <c r="E3515">
        <v>2019</v>
      </c>
      <c r="F3515" s="9"/>
      <c r="H3515" s="20" t="str">
        <f t="shared" si="54"/>
        <v>(nextval('obj_part_id_seq'), (select id from obj_building_v where zip||'|'||street||'|'||name||'|'||volume = '4303|Lochmatt|WC-Gebäude|131.00'), 'P3', 0, null, 2019,null),</v>
      </c>
    </row>
    <row r="3516" spans="1:8" x14ac:dyDescent="0.25">
      <c r="A3516" s="9" t="s">
        <v>3259</v>
      </c>
      <c r="B3516" s="9" t="s">
        <v>1100</v>
      </c>
      <c r="C3516">
        <v>8</v>
      </c>
      <c r="D3516">
        <v>90</v>
      </c>
      <c r="E3516">
        <v>2019</v>
      </c>
      <c r="F3516" s="9" t="s">
        <v>3261</v>
      </c>
      <c r="H3516" s="20" t="str">
        <f t="shared" si="54"/>
        <v>(nextval('obj_part_id_seq'), (select id from obj_building_v where zip||'|'||street||'|'||name||'|'||volume = '4303|Lochmatt|WC-Gebäude|131.00'), 'P4', 8, 90, 2019,'Beton/Mauerwerk, gestrichen, verputzt'),</v>
      </c>
    </row>
    <row r="3517" spans="1:8" x14ac:dyDescent="0.25">
      <c r="A3517" s="9" t="s">
        <v>3259</v>
      </c>
      <c r="B3517" s="9" t="s">
        <v>1102</v>
      </c>
      <c r="C3517">
        <v>8</v>
      </c>
      <c r="D3517">
        <v>90</v>
      </c>
      <c r="E3517">
        <v>2019</v>
      </c>
      <c r="F3517" s="9" t="s">
        <v>3262</v>
      </c>
      <c r="H3517" s="20" t="str">
        <f t="shared" si="54"/>
        <v>(nextval('obj_part_id_seq'), (select id from obj_building_v where zip||'|'||street||'|'||name||'|'||volume = '4303|Lochmatt|WC-Gebäude|131.00'), 'P5', 8, 90, 2019,'Türen aus Holz, Metallgitter'),</v>
      </c>
    </row>
    <row r="3518" spans="1:8" x14ac:dyDescent="0.25">
      <c r="A3518" s="9" t="s">
        <v>3259</v>
      </c>
      <c r="B3518" s="9" t="s">
        <v>1104</v>
      </c>
      <c r="C3518">
        <v>0</v>
      </c>
      <c r="D3518" t="s">
        <v>4080</v>
      </c>
      <c r="E3518">
        <v>2019</v>
      </c>
      <c r="F3518" s="9"/>
      <c r="H3518" s="20" t="str">
        <f t="shared" si="54"/>
        <v>(nextval('obj_part_id_seq'), (select id from obj_building_v where zip||'|'||street||'|'||name||'|'||volume = '4303|Lochmatt|WC-Gebäude|131.00'), 'P6', 0, null, 2019,null),</v>
      </c>
    </row>
    <row r="3519" spans="1:8" x14ac:dyDescent="0.25">
      <c r="A3519" s="9" t="s">
        <v>3259</v>
      </c>
      <c r="B3519" s="9" t="s">
        <v>1106</v>
      </c>
      <c r="C3519">
        <v>0</v>
      </c>
      <c r="D3519" t="s">
        <v>4080</v>
      </c>
      <c r="E3519">
        <v>2019</v>
      </c>
      <c r="F3519" s="9"/>
      <c r="H3519" s="20" t="str">
        <f t="shared" si="54"/>
        <v>(nextval('obj_part_id_seq'), (select id from obj_building_v where zip||'|'||street||'|'||name||'|'||volume = '4303|Lochmatt|WC-Gebäude|131.00'), 'P7', 0, null, 2019,null),</v>
      </c>
    </row>
    <row r="3520" spans="1:8" x14ac:dyDescent="0.25">
      <c r="A3520" s="9" t="s">
        <v>3259</v>
      </c>
      <c r="B3520" s="9" t="s">
        <v>1108</v>
      </c>
      <c r="C3520">
        <v>10</v>
      </c>
      <c r="D3520">
        <v>85</v>
      </c>
      <c r="E3520">
        <v>2019</v>
      </c>
      <c r="F3520" s="9" t="s">
        <v>3263</v>
      </c>
      <c r="H3520" s="20" t="str">
        <f t="shared" si="54"/>
        <v>(nextval('obj_part_id_seq'), (select id from obj_building_v where zip||'|'||street||'|'||name||'|'||volume = '4303|Lochmatt|WC-Gebäude|131.00'), 'P8', 10, 85, 2019,'Leitungen aus Chromstahl, Apparate funktionstüchtig'),</v>
      </c>
    </row>
    <row r="3521" spans="1:8" x14ac:dyDescent="0.25">
      <c r="A3521" s="9" t="s">
        <v>3259</v>
      </c>
      <c r="B3521" s="9" t="s">
        <v>1110</v>
      </c>
      <c r="C3521">
        <v>6</v>
      </c>
      <c r="D3521">
        <v>85</v>
      </c>
      <c r="E3521">
        <v>2019</v>
      </c>
      <c r="F3521" s="9" t="s">
        <v>1295</v>
      </c>
      <c r="H3521" s="20" t="str">
        <f t="shared" si="54"/>
        <v>(nextval('obj_part_id_seq'), (select id from obj_building_v where zip||'|'||street||'|'||name||'|'||volume = '4303|Lochmatt|WC-Gebäude|131.00'), 'P9', 6, 85, 2019,'Beleuchtung'),</v>
      </c>
    </row>
    <row r="3522" spans="1:8" x14ac:dyDescent="0.25">
      <c r="A3522" s="9" t="s">
        <v>3259</v>
      </c>
      <c r="B3522" s="9" t="s">
        <v>1112</v>
      </c>
      <c r="C3522">
        <v>0</v>
      </c>
      <c r="D3522" t="s">
        <v>4080</v>
      </c>
      <c r="E3522">
        <v>2019</v>
      </c>
      <c r="F3522" s="9"/>
      <c r="H3522" s="20" t="str">
        <f t="shared" si="54"/>
        <v>(nextval('obj_part_id_seq'), (select id from obj_building_v where zip||'|'||street||'|'||name||'|'||volume = '4303|Lochmatt|WC-Gebäude|131.00'), 'P10', 0, null, 2019,null),</v>
      </c>
    </row>
    <row r="3523" spans="1:8" x14ac:dyDescent="0.25">
      <c r="A3523" s="9" t="s">
        <v>3259</v>
      </c>
      <c r="B3523" s="9" t="s">
        <v>1114</v>
      </c>
      <c r="C3523">
        <v>14</v>
      </c>
      <c r="D3523">
        <v>85</v>
      </c>
      <c r="E3523">
        <v>2019</v>
      </c>
      <c r="F3523" s="9" t="s">
        <v>3264</v>
      </c>
      <c r="H3523" s="20" t="str">
        <f t="shared" si="54"/>
        <v>(nextval('obj_part_id_seq'), (select id from obj_building_v where zip||'|'||street||'|'||name||'|'||volume = '4303|Lochmatt|WC-Gebäude|131.00'), 'P11', 14, 85, 2019,'Metallgeländer, Holztrennwände, -türen'),</v>
      </c>
    </row>
    <row r="3524" spans="1:8" x14ac:dyDescent="0.25">
      <c r="A3524" s="9" t="s">
        <v>3259</v>
      </c>
      <c r="B3524" s="9" t="s">
        <v>1114</v>
      </c>
      <c r="C3524">
        <v>13</v>
      </c>
      <c r="D3524">
        <v>90</v>
      </c>
      <c r="E3524">
        <v>2019</v>
      </c>
      <c r="F3524" s="9" t="s">
        <v>3265</v>
      </c>
      <c r="H3524" s="20" t="str">
        <f t="shared" si="54"/>
        <v>(nextval('obj_part_id_seq'), (select id from obj_building_v where zip||'|'||street||'|'||name||'|'||volume = '4303|Lochmatt|WC-Gebäude|131.00'), 'P11', 13, 90, 2019,'Boden: Keramik \nWand: Keramik, Putz\nDecke: Täfer'),</v>
      </c>
    </row>
    <row r="3525" spans="1:8" x14ac:dyDescent="0.25">
      <c r="A3525" s="9" t="s">
        <v>3259</v>
      </c>
      <c r="B3525" s="9" t="s">
        <v>1116</v>
      </c>
      <c r="C3525">
        <v>0</v>
      </c>
      <c r="D3525" t="s">
        <v>4080</v>
      </c>
      <c r="E3525">
        <v>2019</v>
      </c>
      <c r="F3525" s="9"/>
      <c r="H3525" s="20" t="str">
        <f t="shared" ref="H3525:H3588" si="55">"(nextval('obj_part_id_seq'), (select id from obj_building_v where zip||'|'||street||'|'||name||'|'||volume = '"&amp;A3525&amp;"'), '"&amp;B3525&amp;"', "&amp;C3525&amp;", "&amp;D3525&amp;", "&amp;IF(ISBLANK(E3525),"null",E3525)&amp;","&amp;IF(ISBLANK(F3525),"null","'"&amp;F3525&amp;"'")&amp;"),"</f>
        <v>(nextval('obj_part_id_seq'), (select id from obj_building_v where zip||'|'||street||'|'||name||'|'||volume = '4303|Lochmatt|WC-Gebäude|131.00'), 'P12', 0, null, 2019,null),</v>
      </c>
    </row>
    <row r="3526" spans="1:8" x14ac:dyDescent="0.25">
      <c r="A3526" s="9" t="s">
        <v>3266</v>
      </c>
      <c r="B3526" s="9" t="s">
        <v>1127</v>
      </c>
      <c r="C3526">
        <v>38</v>
      </c>
      <c r="D3526">
        <v>85</v>
      </c>
      <c r="E3526">
        <v>2019</v>
      </c>
      <c r="F3526" s="9" t="s">
        <v>3267</v>
      </c>
      <c r="H3526" s="20" t="str">
        <f t="shared" si="55"/>
        <v>(nextval('obj_part_id_seq'), (select id from obj_building_v where zip||'|'||street||'|'||name||'|'||volume = '4303|Lochmatt|Garderobengebäude|304.00'), 'P48', 38, 85, 2019,'Mauerwerk KS, Sockel Beton, Metallträger (rostig)'),</v>
      </c>
    </row>
    <row r="3527" spans="1:8" x14ac:dyDescent="0.25">
      <c r="A3527" s="9" t="s">
        <v>3266</v>
      </c>
      <c r="B3527" s="9" t="s">
        <v>1129</v>
      </c>
      <c r="C3527">
        <v>0</v>
      </c>
      <c r="D3527" t="s">
        <v>4080</v>
      </c>
      <c r="E3527">
        <v>2019</v>
      </c>
      <c r="F3527" s="9"/>
      <c r="H3527" s="20" t="str">
        <f t="shared" si="55"/>
        <v>(nextval('obj_part_id_seq'), (select id from obj_building_v where zip||'|'||street||'|'||name||'|'||volume = '4303|Lochmatt|Garderobengebäude|304.00'), 'P49', 0, null, 2019,null),</v>
      </c>
    </row>
    <row r="3528" spans="1:8" x14ac:dyDescent="0.25">
      <c r="A3528" s="9" t="s">
        <v>3266</v>
      </c>
      <c r="B3528" s="9" t="s">
        <v>1097</v>
      </c>
      <c r="C3528">
        <v>8</v>
      </c>
      <c r="D3528">
        <v>80</v>
      </c>
      <c r="E3528">
        <v>2019</v>
      </c>
      <c r="F3528" s="9" t="s">
        <v>3268</v>
      </c>
      <c r="H3528" s="20" t="str">
        <f t="shared" si="55"/>
        <v>(nextval('obj_part_id_seq'), (select id from obj_building_v where zip||'|'||street||'|'||name||'|'||volume = '4303|Lochmatt|Garderobengebäude|304.00'), 'P2', 8, 80, 2019,'Eternitschindeldach, Spenglerarbeiten mangelhaft'),</v>
      </c>
    </row>
    <row r="3529" spans="1:8" x14ac:dyDescent="0.25">
      <c r="A3529" s="9" t="s">
        <v>3266</v>
      </c>
      <c r="B3529" s="9" t="s">
        <v>1099</v>
      </c>
      <c r="C3529">
        <v>0</v>
      </c>
      <c r="D3529" t="s">
        <v>4080</v>
      </c>
      <c r="E3529">
        <v>2019</v>
      </c>
      <c r="F3529" s="9"/>
      <c r="H3529" s="20" t="str">
        <f t="shared" si="55"/>
        <v>(nextval('obj_part_id_seq'), (select id from obj_building_v where zip||'|'||street||'|'||name||'|'||volume = '4303|Lochmatt|Garderobengebäude|304.00'), 'P3', 0, null, 2019,null),</v>
      </c>
    </row>
    <row r="3530" spans="1:8" x14ac:dyDescent="0.25">
      <c r="A3530" s="9" t="s">
        <v>3266</v>
      </c>
      <c r="B3530" s="9" t="s">
        <v>1100</v>
      </c>
      <c r="C3530">
        <v>8</v>
      </c>
      <c r="D3530">
        <v>80</v>
      </c>
      <c r="E3530">
        <v>2019</v>
      </c>
      <c r="F3530" s="9" t="s">
        <v>3269</v>
      </c>
      <c r="H3530" s="20" t="str">
        <f t="shared" si="55"/>
        <v>(nextval('obj_part_id_seq'), (select id from obj_building_v where zip||'|'||street||'|'||name||'|'||volume = '4303|Lochmatt|Garderobengebäude|304.00'), 'P4', 8, 80, 2019,'Mauerwerk, verputzt (Spuren von aufst. Feuchtigkeit) und Holzlattung (Nut und Kamm), Fensterbänke aus Holz (morsch)'),</v>
      </c>
    </row>
    <row r="3531" spans="1:8" x14ac:dyDescent="0.25">
      <c r="A3531" s="9" t="s">
        <v>3266</v>
      </c>
      <c r="B3531" s="9" t="s">
        <v>1102</v>
      </c>
      <c r="C3531">
        <v>15</v>
      </c>
      <c r="D3531">
        <v>80</v>
      </c>
      <c r="E3531">
        <v>2019</v>
      </c>
      <c r="F3531" s="9" t="s">
        <v>3270</v>
      </c>
      <c r="H3531" s="20" t="str">
        <f t="shared" si="55"/>
        <v>(nextval('obj_part_id_seq'), (select id from obj_building_v where zip||'|'||street||'|'||name||'|'||volume = '4303|Lochmatt|Garderobengebäude|304.00'), 'P5', 15, 80, 2019,'Holzfester und Fensterläden aus Holz, Holztüren, Sicherheitsglas (Sprung)'),</v>
      </c>
    </row>
    <row r="3532" spans="1:8" x14ac:dyDescent="0.25">
      <c r="A3532" s="9" t="s">
        <v>3266</v>
      </c>
      <c r="B3532" s="9" t="s">
        <v>1110</v>
      </c>
      <c r="C3532">
        <v>9</v>
      </c>
      <c r="D3532">
        <v>90</v>
      </c>
      <c r="E3532">
        <v>2019</v>
      </c>
      <c r="F3532" s="9" t="s">
        <v>3271</v>
      </c>
      <c r="H3532" s="20" t="str">
        <f t="shared" si="55"/>
        <v>(nextval('obj_part_id_seq'), (select id from obj_building_v where zip||'|'||street||'|'||name||'|'||volume = '4303|Lochmatt|Garderobengebäude|304.00'), 'P9', 9, 90, 2019,'FI-Schalter'),</v>
      </c>
    </row>
    <row r="3533" spans="1:8" x14ac:dyDescent="0.25">
      <c r="A3533" s="9" t="s">
        <v>3266</v>
      </c>
      <c r="B3533" s="9" t="s">
        <v>1104</v>
      </c>
      <c r="C3533">
        <v>2</v>
      </c>
      <c r="D3533">
        <v>80</v>
      </c>
      <c r="E3533">
        <v>2019</v>
      </c>
      <c r="F3533" s="9" t="s">
        <v>3272</v>
      </c>
      <c r="H3533" s="20" t="str">
        <f t="shared" si="55"/>
        <v>(nextval('obj_part_id_seq'), (select id from obj_building_v where zip||'|'||street||'|'||name||'|'||volume = '4303|Lochmatt|Garderobengebäude|304.00'), 'P6', 2, 80, 2019,'Durchlauferhitzer'),</v>
      </c>
    </row>
    <row r="3534" spans="1:8" x14ac:dyDescent="0.25">
      <c r="A3534" s="9" t="s">
        <v>3266</v>
      </c>
      <c r="B3534" s="9" t="s">
        <v>1106</v>
      </c>
      <c r="C3534">
        <v>0</v>
      </c>
      <c r="D3534" t="s">
        <v>4080</v>
      </c>
      <c r="E3534">
        <v>2019</v>
      </c>
      <c r="F3534" s="9"/>
      <c r="H3534" s="20" t="str">
        <f t="shared" si="55"/>
        <v>(nextval('obj_part_id_seq'), (select id from obj_building_v where zip||'|'||street||'|'||name||'|'||volume = '4303|Lochmatt|Garderobengebäude|304.00'), 'P7', 0, null, 2019,null),</v>
      </c>
    </row>
    <row r="3535" spans="1:8" x14ac:dyDescent="0.25">
      <c r="A3535" s="9" t="s">
        <v>3266</v>
      </c>
      <c r="B3535" s="9" t="s">
        <v>1403</v>
      </c>
      <c r="C3535">
        <v>2</v>
      </c>
      <c r="D3535">
        <v>90</v>
      </c>
      <c r="E3535">
        <v>2019</v>
      </c>
      <c r="F3535" s="9" t="s">
        <v>3273</v>
      </c>
      <c r="H3535" s="20" t="str">
        <f t="shared" si="55"/>
        <v>(nextval('obj_part_id_seq'), (select id from obj_building_v where zip||'|'||street||'|'||name||'|'||volume = '4303|Lochmatt|Garderobengebäude|304.00'), 'P52', 2, 90, 2019,'Lüftungen Dusche'),</v>
      </c>
    </row>
    <row r="3536" spans="1:8" x14ac:dyDescent="0.25">
      <c r="A3536" s="9" t="s">
        <v>3266</v>
      </c>
      <c r="B3536" s="9" t="s">
        <v>1404</v>
      </c>
      <c r="C3536">
        <v>0</v>
      </c>
      <c r="D3536" t="s">
        <v>4080</v>
      </c>
      <c r="E3536">
        <v>2019</v>
      </c>
      <c r="F3536" s="9"/>
      <c r="H3536" s="20" t="str">
        <f t="shared" si="55"/>
        <v>(nextval('obj_part_id_seq'), (select id from obj_building_v where zip||'|'||street||'|'||name||'|'||volume = '4303|Lochmatt|Garderobengebäude|304.00'), 'P53', 0, null, 2019,null),</v>
      </c>
    </row>
    <row r="3537" spans="1:8" x14ac:dyDescent="0.25">
      <c r="A3537" s="9" t="s">
        <v>3266</v>
      </c>
      <c r="B3537" s="9" t="s">
        <v>1108</v>
      </c>
      <c r="C3537">
        <v>4</v>
      </c>
      <c r="D3537">
        <v>80</v>
      </c>
      <c r="E3537">
        <v>2019</v>
      </c>
      <c r="F3537" s="9" t="s">
        <v>3274</v>
      </c>
      <c r="H3537" s="20" t="str">
        <f t="shared" si="55"/>
        <v>(nextval('obj_part_id_seq'), (select id from obj_building_v where zip||'|'||street||'|'||name||'|'||volume = '4303|Lochmatt|Garderobengebäude|304.00'), 'P8', 4, 80, 2019,'Lavabo Chromstahl alt, WM/WT alt'),</v>
      </c>
    </row>
    <row r="3538" spans="1:8" x14ac:dyDescent="0.25">
      <c r="A3538" s="9" t="s">
        <v>3266</v>
      </c>
      <c r="B3538" s="9" t="s">
        <v>1155</v>
      </c>
      <c r="C3538">
        <v>0</v>
      </c>
      <c r="D3538" t="s">
        <v>4080</v>
      </c>
      <c r="E3538">
        <v>2019</v>
      </c>
      <c r="F3538" s="9"/>
      <c r="H3538" s="20" t="str">
        <f t="shared" si="55"/>
        <v>(nextval('obj_part_id_seq'), (select id from obj_building_v where zip||'|'||street||'|'||name||'|'||volume = '4303|Lochmatt|Garderobengebäude|304.00'), 'P56', 0, null, 2019,null),</v>
      </c>
    </row>
    <row r="3539" spans="1:8" x14ac:dyDescent="0.25">
      <c r="A3539" s="9" t="s">
        <v>3266</v>
      </c>
      <c r="B3539" s="9" t="s">
        <v>1138</v>
      </c>
      <c r="C3539">
        <v>8</v>
      </c>
      <c r="D3539">
        <v>85</v>
      </c>
      <c r="E3539">
        <v>2019</v>
      </c>
      <c r="F3539" s="9" t="s">
        <v>3275</v>
      </c>
      <c r="H3539" s="20" t="str">
        <f t="shared" si="55"/>
        <v>(nextval('obj_part_id_seq'), (select id from obj_building_v where zip||'|'||street||'|'||name||'|'||volume = '4303|Lochmatt|Garderobengebäude|304.00'), 'P57', 8, 85, 2019,'Holztrennwände, Garderobe'),</v>
      </c>
    </row>
    <row r="3540" spans="1:8" x14ac:dyDescent="0.25">
      <c r="A3540" s="9" t="s">
        <v>3266</v>
      </c>
      <c r="B3540" s="9" t="s">
        <v>1140</v>
      </c>
      <c r="C3540">
        <v>6</v>
      </c>
      <c r="D3540">
        <v>80</v>
      </c>
      <c r="E3540">
        <v>2019</v>
      </c>
      <c r="F3540" s="9" t="s">
        <v>3276</v>
      </c>
      <c r="H3540" s="20" t="str">
        <f t="shared" si="55"/>
        <v>(nextval('obj_part_id_seq'), (select id from obj_building_v where zip||'|'||street||'|'||name||'|'||volume = '4303|Lochmatt|Garderobengebäude|304.00'), 'P58', 6, 80, 2019,'B: Keramik, Beton, W: KeramikPutz, KS roh, D: Täfer'),</v>
      </c>
    </row>
    <row r="3541" spans="1:8" x14ac:dyDescent="0.25">
      <c r="A3541" s="9" t="s">
        <v>3266</v>
      </c>
      <c r="B3541" s="9" t="s">
        <v>1142</v>
      </c>
      <c r="C3541">
        <v>0</v>
      </c>
      <c r="D3541" t="s">
        <v>4080</v>
      </c>
      <c r="E3541">
        <v>2019</v>
      </c>
      <c r="F3541" s="9"/>
      <c r="H3541" s="20" t="str">
        <f t="shared" si="55"/>
        <v>(nextval('obj_part_id_seq'), (select id from obj_building_v where zip||'|'||street||'|'||name||'|'||volume = '4303|Lochmatt|Garderobengebäude|304.00'), 'P60', 0, null, 2019,null),</v>
      </c>
    </row>
    <row r="3542" spans="1:8" x14ac:dyDescent="0.25">
      <c r="A3542" s="9" t="s">
        <v>3266</v>
      </c>
      <c r="B3542" s="9" t="s">
        <v>1143</v>
      </c>
      <c r="C3542">
        <v>0</v>
      </c>
      <c r="D3542" t="s">
        <v>4080</v>
      </c>
      <c r="E3542">
        <v>2019</v>
      </c>
      <c r="F3542" s="9"/>
      <c r="H3542" s="20" t="str">
        <f t="shared" si="55"/>
        <v>(nextval('obj_part_id_seq'), (select id from obj_building_v where zip||'|'||street||'|'||name||'|'||volume = '4303|Lochmatt|Garderobengebäude|304.00'), 'P61', 0, null, 2019,null),</v>
      </c>
    </row>
    <row r="3543" spans="1:8" x14ac:dyDescent="0.25">
      <c r="A3543" s="9" t="s">
        <v>3266</v>
      </c>
      <c r="B3543" s="9" t="s">
        <v>1144</v>
      </c>
      <c r="C3543">
        <v>0</v>
      </c>
      <c r="D3543" t="s">
        <v>4080</v>
      </c>
      <c r="E3543">
        <v>2019</v>
      </c>
      <c r="F3543" s="9"/>
      <c r="H3543" s="20" t="str">
        <f t="shared" si="55"/>
        <v>(nextval('obj_part_id_seq'), (select id from obj_building_v where zip||'|'||street||'|'||name||'|'||volume = '4303|Lochmatt|Garderobengebäude|304.00'), 'P62', 0, null, 2019,null),</v>
      </c>
    </row>
    <row r="3544" spans="1:8" x14ac:dyDescent="0.25">
      <c r="A3544" s="9" t="s">
        <v>3277</v>
      </c>
      <c r="B3544" s="9" t="s">
        <v>1127</v>
      </c>
      <c r="C3544">
        <v>39</v>
      </c>
      <c r="D3544">
        <v>90</v>
      </c>
      <c r="E3544">
        <v>2019</v>
      </c>
      <c r="F3544" s="9" t="s">
        <v>2168</v>
      </c>
      <c r="H3544" s="20" t="str">
        <f t="shared" si="55"/>
        <v>(nextval('obj_part_id_seq'), (select id from obj_building_v where zip||'|'||street||'|'||name||'|'||volume = '4303|Lochmatt|Magazin|31.00'), 'P48', 39, 90, 2019,'Mauerwerk'),</v>
      </c>
    </row>
    <row r="3545" spans="1:8" x14ac:dyDescent="0.25">
      <c r="A3545" s="9" t="s">
        <v>3277</v>
      </c>
      <c r="B3545" s="9" t="s">
        <v>1129</v>
      </c>
      <c r="C3545">
        <v>0</v>
      </c>
      <c r="D3545" t="s">
        <v>4080</v>
      </c>
      <c r="E3545">
        <v>2019</v>
      </c>
      <c r="F3545" s="9"/>
      <c r="H3545" s="20" t="str">
        <f t="shared" si="55"/>
        <v>(nextval('obj_part_id_seq'), (select id from obj_building_v where zip||'|'||street||'|'||name||'|'||volume = '4303|Lochmatt|Magazin|31.00'), 'P49', 0, null, 2019,null),</v>
      </c>
    </row>
    <row r="3546" spans="1:8" x14ac:dyDescent="0.25">
      <c r="A3546" s="9" t="s">
        <v>3277</v>
      </c>
      <c r="B3546" s="9" t="s">
        <v>1097</v>
      </c>
      <c r="C3546">
        <v>18</v>
      </c>
      <c r="D3546">
        <v>85</v>
      </c>
      <c r="E3546">
        <v>2019</v>
      </c>
      <c r="F3546" s="9" t="s">
        <v>3278</v>
      </c>
      <c r="H3546" s="20" t="str">
        <f t="shared" si="55"/>
        <v>(nextval('obj_part_id_seq'), (select id from obj_building_v where zip||'|'||street||'|'||name||'|'||volume = '4303|Lochmatt|Magazin|31.00'), 'P2', 18, 85, 2019,'Ziegeldach, vermoost'),</v>
      </c>
    </row>
    <row r="3547" spans="1:8" x14ac:dyDescent="0.25">
      <c r="A3547" s="9" t="s">
        <v>3277</v>
      </c>
      <c r="B3547" s="9" t="s">
        <v>1099</v>
      </c>
      <c r="C3547">
        <v>0</v>
      </c>
      <c r="D3547" t="s">
        <v>4080</v>
      </c>
      <c r="E3547">
        <v>2019</v>
      </c>
      <c r="F3547" s="9"/>
      <c r="H3547" s="20" t="str">
        <f t="shared" si="55"/>
        <v>(nextval('obj_part_id_seq'), (select id from obj_building_v where zip||'|'||street||'|'||name||'|'||volume = '4303|Lochmatt|Magazin|31.00'), 'P3', 0, null, 2019,null),</v>
      </c>
    </row>
    <row r="3548" spans="1:8" x14ac:dyDescent="0.25">
      <c r="A3548" s="9" t="s">
        <v>3277</v>
      </c>
      <c r="B3548" s="9" t="s">
        <v>1100</v>
      </c>
      <c r="C3548">
        <v>16</v>
      </c>
      <c r="D3548">
        <v>90</v>
      </c>
      <c r="E3548">
        <v>2019</v>
      </c>
      <c r="F3548" s="9" t="s">
        <v>1716</v>
      </c>
      <c r="H3548" s="20" t="str">
        <f t="shared" si="55"/>
        <v>(nextval('obj_part_id_seq'), (select id from obj_building_v where zip||'|'||street||'|'||name||'|'||volume = '4303|Lochmatt|Magazin|31.00'), 'P4', 16, 90, 2019,'Mauerwerk, verputzt'),</v>
      </c>
    </row>
    <row r="3549" spans="1:8" x14ac:dyDescent="0.25">
      <c r="A3549" s="9" t="s">
        <v>3277</v>
      </c>
      <c r="B3549" s="9" t="s">
        <v>1102</v>
      </c>
      <c r="C3549">
        <v>12</v>
      </c>
      <c r="D3549">
        <v>90</v>
      </c>
      <c r="E3549">
        <v>2019</v>
      </c>
      <c r="F3549" s="9" t="s">
        <v>3279</v>
      </c>
      <c r="H3549" s="20" t="str">
        <f t="shared" si="55"/>
        <v>(nextval('obj_part_id_seq'), (select id from obj_building_v where zip||'|'||street||'|'||name||'|'||volume = '4303|Lochmatt|Magazin|31.00'), 'P5', 12, 90, 2019,'Holztüre, Holzläden'),</v>
      </c>
    </row>
    <row r="3550" spans="1:8" x14ac:dyDescent="0.25">
      <c r="A3550" s="9" t="s">
        <v>3277</v>
      </c>
      <c r="B3550" s="9" t="s">
        <v>1110</v>
      </c>
      <c r="C3550">
        <v>9</v>
      </c>
      <c r="D3550">
        <v>90</v>
      </c>
      <c r="E3550">
        <v>2019</v>
      </c>
      <c r="F3550" s="9" t="s">
        <v>3280</v>
      </c>
      <c r="H3550" s="20" t="str">
        <f t="shared" si="55"/>
        <v>(nextval('obj_part_id_seq'), (select id from obj_building_v where zip||'|'||street||'|'||name||'|'||volume = '4303|Lochmatt|Magazin|31.00'), 'P9', 9, 90, 2019,'Beleuchtung, Steckdose, Sicherung'),</v>
      </c>
    </row>
    <row r="3551" spans="1:8" x14ac:dyDescent="0.25">
      <c r="A3551" s="9" t="s">
        <v>3277</v>
      </c>
      <c r="B3551" s="9" t="s">
        <v>1104</v>
      </c>
      <c r="C3551">
        <v>0</v>
      </c>
      <c r="D3551" t="s">
        <v>4080</v>
      </c>
      <c r="E3551">
        <v>2019</v>
      </c>
      <c r="F3551" s="9"/>
      <c r="H3551" s="20" t="str">
        <f t="shared" si="55"/>
        <v>(nextval('obj_part_id_seq'), (select id from obj_building_v where zip||'|'||street||'|'||name||'|'||volume = '4303|Lochmatt|Magazin|31.00'), 'P6', 0, null, 2019,null),</v>
      </c>
    </row>
    <row r="3552" spans="1:8" x14ac:dyDescent="0.25">
      <c r="A3552" s="9" t="s">
        <v>3277</v>
      </c>
      <c r="B3552" s="9" t="s">
        <v>1106</v>
      </c>
      <c r="C3552">
        <v>0</v>
      </c>
      <c r="D3552" t="s">
        <v>4080</v>
      </c>
      <c r="E3552">
        <v>2019</v>
      </c>
      <c r="F3552" s="9"/>
      <c r="H3552" s="20" t="str">
        <f t="shared" si="55"/>
        <v>(nextval('obj_part_id_seq'), (select id from obj_building_v where zip||'|'||street||'|'||name||'|'||volume = '4303|Lochmatt|Magazin|31.00'), 'P7', 0, null, 2019,null),</v>
      </c>
    </row>
    <row r="3553" spans="1:8" x14ac:dyDescent="0.25">
      <c r="A3553" s="9" t="s">
        <v>3277</v>
      </c>
      <c r="B3553" s="9" t="s">
        <v>1403</v>
      </c>
      <c r="C3553">
        <v>0</v>
      </c>
      <c r="D3553" t="s">
        <v>4080</v>
      </c>
      <c r="E3553">
        <v>2019</v>
      </c>
      <c r="F3553" s="9"/>
      <c r="H3553" s="20" t="str">
        <f t="shared" si="55"/>
        <v>(nextval('obj_part_id_seq'), (select id from obj_building_v where zip||'|'||street||'|'||name||'|'||volume = '4303|Lochmatt|Magazin|31.00'), 'P52', 0, null, 2019,null),</v>
      </c>
    </row>
    <row r="3554" spans="1:8" x14ac:dyDescent="0.25">
      <c r="A3554" s="9" t="s">
        <v>3277</v>
      </c>
      <c r="B3554" s="9" t="s">
        <v>1404</v>
      </c>
      <c r="C3554">
        <v>0</v>
      </c>
      <c r="D3554" t="s">
        <v>4080</v>
      </c>
      <c r="E3554">
        <v>2019</v>
      </c>
      <c r="F3554" s="9"/>
      <c r="H3554" s="20" t="str">
        <f t="shared" si="55"/>
        <v>(nextval('obj_part_id_seq'), (select id from obj_building_v where zip||'|'||street||'|'||name||'|'||volume = '4303|Lochmatt|Magazin|31.00'), 'P53', 0, null, 2019,null),</v>
      </c>
    </row>
    <row r="3555" spans="1:8" x14ac:dyDescent="0.25">
      <c r="A3555" s="9" t="s">
        <v>3277</v>
      </c>
      <c r="B3555" s="9" t="s">
        <v>1108</v>
      </c>
      <c r="C3555">
        <v>0</v>
      </c>
      <c r="D3555" t="s">
        <v>4080</v>
      </c>
      <c r="E3555">
        <v>2019</v>
      </c>
      <c r="F3555" s="9"/>
      <c r="H3555" s="20" t="str">
        <f t="shared" si="55"/>
        <v>(nextval('obj_part_id_seq'), (select id from obj_building_v where zip||'|'||street||'|'||name||'|'||volume = '4303|Lochmatt|Magazin|31.00'), 'P8', 0, null, 2019,null),</v>
      </c>
    </row>
    <row r="3556" spans="1:8" x14ac:dyDescent="0.25">
      <c r="A3556" s="9" t="s">
        <v>3277</v>
      </c>
      <c r="B3556" s="9" t="s">
        <v>1155</v>
      </c>
      <c r="C3556">
        <v>0</v>
      </c>
      <c r="D3556" t="s">
        <v>4080</v>
      </c>
      <c r="E3556">
        <v>2019</v>
      </c>
      <c r="F3556" s="9"/>
      <c r="H3556" s="20" t="str">
        <f t="shared" si="55"/>
        <v>(nextval('obj_part_id_seq'), (select id from obj_building_v where zip||'|'||street||'|'||name||'|'||volume = '4303|Lochmatt|Magazin|31.00'), 'P56', 0, null, 2019,null),</v>
      </c>
    </row>
    <row r="3557" spans="1:8" x14ac:dyDescent="0.25">
      <c r="A3557" s="9" t="s">
        <v>3277</v>
      </c>
      <c r="B3557" s="9" t="s">
        <v>1138</v>
      </c>
      <c r="C3557">
        <v>0</v>
      </c>
      <c r="D3557" t="s">
        <v>4080</v>
      </c>
      <c r="E3557">
        <v>2019</v>
      </c>
      <c r="F3557" s="9"/>
      <c r="H3557" s="20" t="str">
        <f t="shared" si="55"/>
        <v>(nextval('obj_part_id_seq'), (select id from obj_building_v where zip||'|'||street||'|'||name||'|'||volume = '4303|Lochmatt|Magazin|31.00'), 'P57', 0, null, 2019,null),</v>
      </c>
    </row>
    <row r="3558" spans="1:8" x14ac:dyDescent="0.25">
      <c r="A3558" s="9" t="s">
        <v>3277</v>
      </c>
      <c r="B3558" s="9" t="s">
        <v>1140</v>
      </c>
      <c r="C3558">
        <v>6</v>
      </c>
      <c r="D3558">
        <v>90</v>
      </c>
      <c r="E3558">
        <v>2019</v>
      </c>
      <c r="F3558" s="9" t="s">
        <v>3281</v>
      </c>
      <c r="H3558" s="20" t="str">
        <f t="shared" si="55"/>
        <v>(nextval('obj_part_id_seq'), (select id from obj_building_v where zip||'|'||street||'|'||name||'|'||volume = '4303|Lochmatt|Magazin|31.00'), 'P58', 6, 90, 2019,'Boden: Beton\nWand: gestrichen, Mauerwerk verputzt\nDach: Täfer'),</v>
      </c>
    </row>
    <row r="3559" spans="1:8" x14ac:dyDescent="0.25">
      <c r="A3559" s="9" t="s">
        <v>3277</v>
      </c>
      <c r="B3559" s="9" t="s">
        <v>1142</v>
      </c>
      <c r="C3559">
        <v>0</v>
      </c>
      <c r="D3559">
        <v>90</v>
      </c>
      <c r="E3559">
        <v>2019</v>
      </c>
      <c r="F3559" s="9"/>
      <c r="H3559" s="20" t="str">
        <f t="shared" si="55"/>
        <v>(nextval('obj_part_id_seq'), (select id from obj_building_v where zip||'|'||street||'|'||name||'|'||volume = '4303|Lochmatt|Magazin|31.00'), 'P60', 0, 90, 2019,null),</v>
      </c>
    </row>
    <row r="3560" spans="1:8" x14ac:dyDescent="0.25">
      <c r="A3560" s="9" t="s">
        <v>3277</v>
      </c>
      <c r="B3560" s="9" t="s">
        <v>1143</v>
      </c>
      <c r="C3560">
        <v>0</v>
      </c>
      <c r="D3560">
        <v>90</v>
      </c>
      <c r="E3560">
        <v>2019</v>
      </c>
      <c r="F3560" s="9"/>
      <c r="H3560" s="20" t="str">
        <f t="shared" si="55"/>
        <v>(nextval('obj_part_id_seq'), (select id from obj_building_v where zip||'|'||street||'|'||name||'|'||volume = '4303|Lochmatt|Magazin|31.00'), 'P61', 0, 90, 2019,null),</v>
      </c>
    </row>
    <row r="3561" spans="1:8" x14ac:dyDescent="0.25">
      <c r="A3561" s="9" t="s">
        <v>3277</v>
      </c>
      <c r="B3561" s="9" t="s">
        <v>1144</v>
      </c>
      <c r="C3561">
        <v>0</v>
      </c>
      <c r="D3561">
        <v>90</v>
      </c>
      <c r="E3561">
        <v>2019</v>
      </c>
      <c r="F3561" s="9"/>
      <c r="H3561" s="20" t="str">
        <f t="shared" si="55"/>
        <v>(nextval('obj_part_id_seq'), (select id from obj_building_v where zip||'|'||street||'|'||name||'|'||volume = '4303|Lochmatt|Magazin|31.00'), 'P62', 0, 90, 2019,null),</v>
      </c>
    </row>
    <row r="3562" spans="1:8" x14ac:dyDescent="0.25">
      <c r="A3562" s="9" t="s">
        <v>3282</v>
      </c>
      <c r="B3562" s="9" t="s">
        <v>1127</v>
      </c>
      <c r="C3562">
        <v>12</v>
      </c>
      <c r="D3562">
        <v>90</v>
      </c>
      <c r="E3562">
        <v>2019</v>
      </c>
      <c r="F3562" s="9" t="s">
        <v>3283</v>
      </c>
      <c r="H3562" s="20" t="str">
        <f t="shared" si="55"/>
        <v>(nextval('obj_part_id_seq'), (select id from obj_building_v where zip||'|'||street||'|'||name||'|'||volume = '4303|Lochmatt|Betriebsgebäude|207.00'), 'P48', 12, 90, 2019,'Stahlbeton, KS, Holzbau'),</v>
      </c>
    </row>
    <row r="3563" spans="1:8" x14ac:dyDescent="0.25">
      <c r="A3563" s="9" t="s">
        <v>3282</v>
      </c>
      <c r="B3563" s="9" t="s">
        <v>1129</v>
      </c>
      <c r="C3563">
        <v>0</v>
      </c>
      <c r="D3563" t="s">
        <v>4080</v>
      </c>
      <c r="E3563">
        <v>2019</v>
      </c>
      <c r="F3563" s="9"/>
      <c r="H3563" s="20" t="str">
        <f t="shared" si="55"/>
        <v>(nextval('obj_part_id_seq'), (select id from obj_building_v where zip||'|'||street||'|'||name||'|'||volume = '4303|Lochmatt|Betriebsgebäude|207.00'), 'P49', 0, null, 2019,null),</v>
      </c>
    </row>
    <row r="3564" spans="1:8" x14ac:dyDescent="0.25">
      <c r="A3564" s="9" t="s">
        <v>3282</v>
      </c>
      <c r="B3564" s="9" t="s">
        <v>1097</v>
      </c>
      <c r="C3564">
        <v>3</v>
      </c>
      <c r="D3564">
        <v>80</v>
      </c>
      <c r="E3564">
        <v>2019</v>
      </c>
      <c r="F3564" s="9" t="s">
        <v>3098</v>
      </c>
      <c r="H3564" s="20" t="str">
        <f t="shared" si="55"/>
        <v>(nextval('obj_part_id_seq'), (select id from obj_building_v where zip||'|'||street||'|'||name||'|'||volume = '4303|Lochmatt|Betriebsgebäude|207.00'), 'P2', 3, 80, 2019,'Welleternit'),</v>
      </c>
    </row>
    <row r="3565" spans="1:8" x14ac:dyDescent="0.25">
      <c r="A3565" s="9" t="s">
        <v>3282</v>
      </c>
      <c r="B3565" s="9" t="s">
        <v>1099</v>
      </c>
      <c r="C3565">
        <v>0</v>
      </c>
      <c r="D3565" t="s">
        <v>4080</v>
      </c>
      <c r="E3565">
        <v>2019</v>
      </c>
      <c r="F3565" s="9"/>
      <c r="H3565" s="20" t="str">
        <f t="shared" si="55"/>
        <v>(nextval('obj_part_id_seq'), (select id from obj_building_v where zip||'|'||street||'|'||name||'|'||volume = '4303|Lochmatt|Betriebsgebäude|207.00'), 'P3', 0, null, 2019,null),</v>
      </c>
    </row>
    <row r="3566" spans="1:8" x14ac:dyDescent="0.25">
      <c r="A3566" s="9" t="s">
        <v>3282</v>
      </c>
      <c r="B3566" s="9" t="s">
        <v>1100</v>
      </c>
      <c r="C3566">
        <v>3</v>
      </c>
      <c r="D3566">
        <v>80</v>
      </c>
      <c r="E3566">
        <v>2019</v>
      </c>
      <c r="F3566" s="9" t="s">
        <v>3284</v>
      </c>
      <c r="H3566" s="20" t="str">
        <f t="shared" si="55"/>
        <v>(nextval('obj_part_id_seq'), (select id from obj_building_v where zip||'|'||street||'|'||name||'|'||volume = '4303|Lochmatt|Betriebsgebäude|207.00'), 'P4', 3, 80, 2019,'Holzschalung, Sichtbeton'),</v>
      </c>
    </row>
    <row r="3567" spans="1:8" x14ac:dyDescent="0.25">
      <c r="A3567" s="9" t="s">
        <v>3282</v>
      </c>
      <c r="B3567" s="9" t="s">
        <v>1102</v>
      </c>
      <c r="C3567">
        <v>2</v>
      </c>
      <c r="D3567">
        <v>80</v>
      </c>
      <c r="E3567">
        <v>2019</v>
      </c>
      <c r="F3567" s="9" t="s">
        <v>3285</v>
      </c>
      <c r="H3567" s="20" t="str">
        <f t="shared" si="55"/>
        <v>(nextval('obj_part_id_seq'), (select id from obj_building_v where zip||'|'||street||'|'||name||'|'||volume = '4303|Lochmatt|Betriebsgebäude|207.00'), 'P5', 2, 80, 2019,'Holztüren'),</v>
      </c>
    </row>
    <row r="3568" spans="1:8" x14ac:dyDescent="0.25">
      <c r="A3568" s="9" t="s">
        <v>3282</v>
      </c>
      <c r="B3568" s="9" t="s">
        <v>1110</v>
      </c>
      <c r="C3568">
        <v>5</v>
      </c>
      <c r="D3568">
        <v>80</v>
      </c>
      <c r="E3568">
        <v>2019</v>
      </c>
      <c r="F3568" s="9" t="s">
        <v>3286</v>
      </c>
      <c r="H3568" s="20" t="str">
        <f t="shared" si="55"/>
        <v>(nextval('obj_part_id_seq'), (select id from obj_building_v where zip||'|'||street||'|'||name||'|'||volume = '4303|Lochmatt|Betriebsgebäude|207.00'), 'P9', 5, 80, 2019,'Beleuchtungen, Schwimmbadtechnik, Kompressor, Aussenanschlüsse'),</v>
      </c>
    </row>
    <row r="3569" spans="1:8" x14ac:dyDescent="0.25">
      <c r="A3569" s="9" t="s">
        <v>3282</v>
      </c>
      <c r="B3569" s="9" t="s">
        <v>1104</v>
      </c>
      <c r="C3569">
        <v>0</v>
      </c>
      <c r="D3569" t="s">
        <v>4080</v>
      </c>
      <c r="E3569">
        <v>2019</v>
      </c>
      <c r="F3569" s="9"/>
      <c r="H3569" s="20" t="str">
        <f t="shared" si="55"/>
        <v>(nextval('obj_part_id_seq'), (select id from obj_building_v where zip||'|'||street||'|'||name||'|'||volume = '4303|Lochmatt|Betriebsgebäude|207.00'), 'P6', 0, null, 2019,null),</v>
      </c>
    </row>
    <row r="3570" spans="1:8" x14ac:dyDescent="0.25">
      <c r="A3570" s="9" t="s">
        <v>3282</v>
      </c>
      <c r="B3570" s="9" t="s">
        <v>1106</v>
      </c>
      <c r="C3570">
        <v>0</v>
      </c>
      <c r="D3570" t="s">
        <v>4080</v>
      </c>
      <c r="E3570">
        <v>2019</v>
      </c>
      <c r="F3570" s="9"/>
      <c r="H3570" s="20" t="str">
        <f t="shared" si="55"/>
        <v>(nextval('obj_part_id_seq'), (select id from obj_building_v where zip||'|'||street||'|'||name||'|'||volume = '4303|Lochmatt|Betriebsgebäude|207.00'), 'P7', 0, null, 2019,null),</v>
      </c>
    </row>
    <row r="3571" spans="1:8" x14ac:dyDescent="0.25">
      <c r="A3571" s="9" t="s">
        <v>3282</v>
      </c>
      <c r="B3571" s="9" t="s">
        <v>1403</v>
      </c>
      <c r="C3571">
        <v>1</v>
      </c>
      <c r="D3571">
        <v>90</v>
      </c>
      <c r="E3571">
        <v>2019</v>
      </c>
      <c r="F3571" s="9" t="s">
        <v>3287</v>
      </c>
      <c r="H3571" s="20" t="str">
        <f t="shared" si="55"/>
        <v>(nextval('obj_part_id_seq'), (select id from obj_building_v where zip||'|'||street||'|'||name||'|'||volume = '4303|Lochmatt|Betriebsgebäude|207.00'), 'P52', 1, 90, 2019,'Kompressor'),</v>
      </c>
    </row>
    <row r="3572" spans="1:8" x14ac:dyDescent="0.25">
      <c r="A3572" s="9" t="s">
        <v>3282</v>
      </c>
      <c r="B3572" s="9" t="s">
        <v>1404</v>
      </c>
      <c r="C3572">
        <v>0</v>
      </c>
      <c r="D3572" t="s">
        <v>4080</v>
      </c>
      <c r="E3572">
        <v>2019</v>
      </c>
      <c r="F3572" s="9"/>
      <c r="H3572" s="20" t="str">
        <f t="shared" si="55"/>
        <v>(nextval('obj_part_id_seq'), (select id from obj_building_v where zip||'|'||street||'|'||name||'|'||volume = '4303|Lochmatt|Betriebsgebäude|207.00'), 'P53', 0, null, 2019,null),</v>
      </c>
    </row>
    <row r="3573" spans="1:8" x14ac:dyDescent="0.25">
      <c r="A3573" s="9" t="s">
        <v>3282</v>
      </c>
      <c r="B3573" s="9" t="s">
        <v>1108</v>
      </c>
      <c r="C3573">
        <v>69</v>
      </c>
      <c r="D3573">
        <v>90</v>
      </c>
      <c r="E3573">
        <v>2019</v>
      </c>
      <c r="F3573" s="9" t="s">
        <v>3288</v>
      </c>
      <c r="H3573" s="20" t="str">
        <f t="shared" si="55"/>
        <v>(nextval('obj_part_id_seq'), (select id from obj_building_v where zip||'|'||street||'|'||name||'|'||volume = '4303|Lochmatt|Betriebsgebäude|207.00'), 'P8', 69, 90, 2019,'Schwimmbadtechnik (Wasseraufbereitungsanlage mit Filter, Pumpe), Verteilung'),</v>
      </c>
    </row>
    <row r="3574" spans="1:8" x14ac:dyDescent="0.25">
      <c r="A3574" s="9" t="s">
        <v>3282</v>
      </c>
      <c r="B3574" s="9" t="s">
        <v>1155</v>
      </c>
      <c r="C3574">
        <v>0</v>
      </c>
      <c r="D3574" t="s">
        <v>4080</v>
      </c>
      <c r="E3574">
        <v>2019</v>
      </c>
      <c r="F3574" s="9"/>
      <c r="H3574" s="20" t="str">
        <f t="shared" si="55"/>
        <v>(nextval('obj_part_id_seq'), (select id from obj_building_v where zip||'|'||street||'|'||name||'|'||volume = '4303|Lochmatt|Betriebsgebäude|207.00'), 'P56', 0, null, 2019,null),</v>
      </c>
    </row>
    <row r="3575" spans="1:8" x14ac:dyDescent="0.25">
      <c r="A3575" s="9" t="s">
        <v>3282</v>
      </c>
      <c r="B3575" s="9" t="s">
        <v>1138</v>
      </c>
      <c r="C3575">
        <v>3</v>
      </c>
      <c r="D3575">
        <v>90</v>
      </c>
      <c r="E3575">
        <v>2019</v>
      </c>
      <c r="F3575" s="9" t="s">
        <v>1850</v>
      </c>
      <c r="H3575" s="20" t="str">
        <f t="shared" si="55"/>
        <v>(nextval('obj_part_id_seq'), (select id from obj_building_v where zip||'|'||street||'|'||name||'|'||volume = '4303|Lochmatt|Betriebsgebäude|207.00'), 'P57', 3, 90, 2019,'keine Mängel bekannt'),</v>
      </c>
    </row>
    <row r="3576" spans="1:8" x14ac:dyDescent="0.25">
      <c r="A3576" s="9" t="s">
        <v>3282</v>
      </c>
      <c r="B3576" s="9" t="s">
        <v>1140</v>
      </c>
      <c r="C3576">
        <v>2</v>
      </c>
      <c r="D3576">
        <v>90</v>
      </c>
      <c r="E3576">
        <v>2019</v>
      </c>
      <c r="F3576" s="9" t="s">
        <v>3289</v>
      </c>
      <c r="H3576" s="20" t="str">
        <f t="shared" si="55"/>
        <v>(nextval('obj_part_id_seq'), (select id from obj_building_v where zip||'|'||street||'|'||name||'|'||volume = '4303|Lochmatt|Betriebsgebäude|207.00'), 'P58', 2, 90, 2019,'Boden: Beton\nWand: KS roh'),</v>
      </c>
    </row>
    <row r="3577" spans="1:8" x14ac:dyDescent="0.25">
      <c r="A3577" s="9" t="s">
        <v>3282</v>
      </c>
      <c r="B3577" s="9" t="s">
        <v>1142</v>
      </c>
      <c r="C3577">
        <v>0</v>
      </c>
      <c r="D3577" t="s">
        <v>4080</v>
      </c>
      <c r="E3577">
        <v>2019</v>
      </c>
      <c r="F3577" s="9"/>
      <c r="H3577" s="20" t="str">
        <f t="shared" si="55"/>
        <v>(nextval('obj_part_id_seq'), (select id from obj_building_v where zip||'|'||street||'|'||name||'|'||volume = '4303|Lochmatt|Betriebsgebäude|207.00'), 'P60', 0, null, 2019,null),</v>
      </c>
    </row>
    <row r="3578" spans="1:8" x14ac:dyDescent="0.25">
      <c r="A3578" s="9" t="s">
        <v>3282</v>
      </c>
      <c r="B3578" s="9" t="s">
        <v>1143</v>
      </c>
      <c r="C3578">
        <v>0</v>
      </c>
      <c r="D3578" t="s">
        <v>4080</v>
      </c>
      <c r="E3578">
        <v>2019</v>
      </c>
      <c r="F3578" s="9"/>
      <c r="H3578" s="20" t="str">
        <f t="shared" si="55"/>
        <v>(nextval('obj_part_id_seq'), (select id from obj_building_v where zip||'|'||street||'|'||name||'|'||volume = '4303|Lochmatt|Betriebsgebäude|207.00'), 'P61', 0, null, 2019,null),</v>
      </c>
    </row>
    <row r="3579" spans="1:8" x14ac:dyDescent="0.25">
      <c r="A3579" s="9" t="s">
        <v>3282</v>
      </c>
      <c r="B3579" s="9" t="s">
        <v>1144</v>
      </c>
      <c r="C3579">
        <v>0</v>
      </c>
      <c r="D3579" t="s">
        <v>4080</v>
      </c>
      <c r="E3579">
        <v>2019</v>
      </c>
      <c r="F3579" s="9"/>
      <c r="H3579" s="20" t="str">
        <f t="shared" si="55"/>
        <v>(nextval('obj_part_id_seq'), (select id from obj_building_v where zip||'|'||street||'|'||name||'|'||volume = '4303|Lochmatt|Betriebsgebäude|207.00'), 'P62', 0, null, 2019,null),</v>
      </c>
    </row>
    <row r="3580" spans="1:8" x14ac:dyDescent="0.25">
      <c r="A3580" s="9" t="s">
        <v>3290</v>
      </c>
      <c r="B3580" s="9" t="s">
        <v>1127</v>
      </c>
      <c r="C3580">
        <v>38</v>
      </c>
      <c r="D3580">
        <v>85</v>
      </c>
      <c r="E3580">
        <v>2016</v>
      </c>
      <c r="F3580" s="9" t="s">
        <v>3291</v>
      </c>
      <c r="H3580" s="20" t="str">
        <f t="shared" si="55"/>
        <v>(nextval('obj_part_id_seq'), (select id from obj_building_v where zip||'|'||street||'|'||name||'|'||volume = '9471|St. Gallerstrasse 6|Wohn- und Geschäftshaus|3736.00'), 'P48', 38, 85, 2016,'Mauerwerk, Decken im UG mit Stahlträger, Holzbalkendecken in den OG''s'),</v>
      </c>
    </row>
    <row r="3581" spans="1:8" x14ac:dyDescent="0.25">
      <c r="A3581" s="9" t="s">
        <v>3290</v>
      </c>
      <c r="B3581" s="9" t="s">
        <v>1129</v>
      </c>
      <c r="C3581">
        <v>0</v>
      </c>
      <c r="D3581" t="s">
        <v>4080</v>
      </c>
      <c r="E3581">
        <v>2016</v>
      </c>
      <c r="F3581" s="9"/>
      <c r="H3581" s="20" t="str">
        <f t="shared" si="55"/>
        <v>(nextval('obj_part_id_seq'), (select id from obj_building_v where zip||'|'||street||'|'||name||'|'||volume = '9471|St. Gallerstrasse 6|Wohn- und Geschäftshaus|3736.00'), 'P49', 0, null, 2016,null),</v>
      </c>
    </row>
    <row r="3582" spans="1:8" x14ac:dyDescent="0.25">
      <c r="A3582" s="9" t="s">
        <v>3290</v>
      </c>
      <c r="B3582" s="9" t="s">
        <v>1097</v>
      </c>
      <c r="C3582">
        <v>8</v>
      </c>
      <c r="D3582">
        <v>85</v>
      </c>
      <c r="E3582">
        <v>2016</v>
      </c>
      <c r="F3582" s="9" t="s">
        <v>3292</v>
      </c>
      <c r="H3582" s="20" t="str">
        <f t="shared" si="55"/>
        <v>(nextval('obj_part_id_seq'), (select id from obj_building_v where zip||'|'||street||'|'||name||'|'||volume = '9471|St. Gallerstrasse 6|Wohn- und Geschäftshaus|3736.00'), 'P2', 8, 85, 2016,'Mansardendach mit Falzziegel, Dach bei Erkerturm aus Kupferblech, Holzschindel-Unterdach, tw. geflickt, Kaltdach, Dachstuhl weitgehend mängelfrei, Spuren von Wassereintritt vorhanden, vor allem im Bereich des Turms, ansonsten trocken'),</v>
      </c>
    </row>
    <row r="3583" spans="1:8" x14ac:dyDescent="0.25">
      <c r="A3583" s="9" t="s">
        <v>3290</v>
      </c>
      <c r="B3583" s="9" t="s">
        <v>1099</v>
      </c>
      <c r="C3583">
        <v>0</v>
      </c>
      <c r="D3583" t="s">
        <v>4080</v>
      </c>
      <c r="E3583">
        <v>2016</v>
      </c>
      <c r="F3583" s="9"/>
      <c r="H3583" s="20" t="str">
        <f t="shared" si="55"/>
        <v>(nextval('obj_part_id_seq'), (select id from obj_building_v where zip||'|'||street||'|'||name||'|'||volume = '9471|St. Gallerstrasse 6|Wohn- und Geschäftshaus|3736.00'), 'P3', 0, null, 2016,null),</v>
      </c>
    </row>
    <row r="3584" spans="1:8" x14ac:dyDescent="0.25">
      <c r="A3584" s="9" t="s">
        <v>3290</v>
      </c>
      <c r="B3584" s="9" t="s">
        <v>1100</v>
      </c>
      <c r="C3584">
        <v>7</v>
      </c>
      <c r="D3584">
        <v>90</v>
      </c>
      <c r="E3584">
        <v>2016</v>
      </c>
      <c r="F3584" s="9" t="s">
        <v>1716</v>
      </c>
      <c r="H3584" s="20" t="str">
        <f t="shared" si="55"/>
        <v>(nextval('obj_part_id_seq'), (select id from obj_building_v where zip||'|'||street||'|'||name||'|'||volume = '9471|St. Gallerstrasse 6|Wohn- und Geschäftshaus|3736.00'), 'P4', 7, 90, 2016,'Mauerwerk, verputzt'),</v>
      </c>
    </row>
    <row r="3585" spans="1:8" x14ac:dyDescent="0.25">
      <c r="A3585" s="9" t="s">
        <v>3290</v>
      </c>
      <c r="B3585" s="9" t="s">
        <v>1102</v>
      </c>
      <c r="C3585">
        <v>11</v>
      </c>
      <c r="D3585">
        <v>85</v>
      </c>
      <c r="E3585">
        <v>2016</v>
      </c>
      <c r="F3585" s="9" t="s">
        <v>3293</v>
      </c>
      <c r="H3585" s="20" t="str">
        <f t="shared" si="55"/>
        <v>(nextval('obj_part_id_seq'), (select id from obj_building_v where zip||'|'||street||'|'||name||'|'||volume = '9471|St. Gallerstrasse 6|Wohn- und Geschäftshaus|3736.00'), 'P5', 11, 85, 2016,'Metallfenster mit 3-fach Verglasung und Rollläden, tw. Holzfenster mit Sprossen, Eingangstüren aus Holz im UG und EG, Dichtigkeit sollte geprüft werden'),</v>
      </c>
    </row>
    <row r="3586" spans="1:8" x14ac:dyDescent="0.25">
      <c r="A3586" s="9" t="s">
        <v>3290</v>
      </c>
      <c r="B3586" s="9" t="s">
        <v>1110</v>
      </c>
      <c r="C3586">
        <v>4</v>
      </c>
      <c r="D3586">
        <v>85</v>
      </c>
      <c r="E3586">
        <v>2016</v>
      </c>
      <c r="F3586" s="9" t="s">
        <v>3294</v>
      </c>
      <c r="H3586" s="20" t="str">
        <f t="shared" si="55"/>
        <v>(nextval('obj_part_id_seq'), (select id from obj_building_v where zip||'|'||street||'|'||name||'|'||volume = '9471|St. Gallerstrasse 6|Wohn- und Geschäftshaus|3736.00'), 'P9', 4, 85, 2016,'Elektrotableau möglicherweise mit asbesthaltiger Grundplatte, tw. neue Sicherungen vorhanden, EDV-Anlage (Server und Leitungen)'),</v>
      </c>
    </row>
    <row r="3587" spans="1:8" x14ac:dyDescent="0.25">
      <c r="A3587" s="9" t="s">
        <v>3290</v>
      </c>
      <c r="B3587" s="9" t="s">
        <v>1104</v>
      </c>
      <c r="C3587">
        <v>1</v>
      </c>
      <c r="D3587">
        <v>90</v>
      </c>
      <c r="E3587">
        <v>2016</v>
      </c>
      <c r="F3587" s="9" t="s">
        <v>2537</v>
      </c>
      <c r="H3587" s="20" t="str">
        <f t="shared" si="55"/>
        <v>(nextval('obj_part_id_seq'), (select id from obj_building_v where zip||'|'||street||'|'||name||'|'||volume = '9471|St. Gallerstrasse 6|Wohn- und Geschäftshaus|3736.00'), 'P6', 1, 90, 2016,'Fernwärme, WW-Boiler'),</v>
      </c>
    </row>
    <row r="3588" spans="1:8" x14ac:dyDescent="0.25">
      <c r="A3588" s="9" t="s">
        <v>3290</v>
      </c>
      <c r="B3588" s="9" t="s">
        <v>1106</v>
      </c>
      <c r="C3588">
        <v>3</v>
      </c>
      <c r="D3588">
        <v>90</v>
      </c>
      <c r="E3588">
        <v>2016</v>
      </c>
      <c r="F3588" s="9" t="s">
        <v>1107</v>
      </c>
      <c r="H3588" s="20" t="str">
        <f t="shared" si="55"/>
        <v>(nextval('obj_part_id_seq'), (select id from obj_building_v where zip||'|'||street||'|'||name||'|'||volume = '9471|St. Gallerstrasse 6|Wohn- und Geschäftshaus|3736.00'), 'P7', 3, 90, 2016,'Radiatoren mit Thermostaten'),</v>
      </c>
    </row>
    <row r="3589" spans="1:8" x14ac:dyDescent="0.25">
      <c r="A3589" s="9" t="s">
        <v>3290</v>
      </c>
      <c r="B3589" s="9" t="s">
        <v>1135</v>
      </c>
      <c r="C3589">
        <v>3</v>
      </c>
      <c r="D3589">
        <v>90</v>
      </c>
      <c r="E3589">
        <v>2016</v>
      </c>
      <c r="F3589" s="9" t="s">
        <v>3295</v>
      </c>
      <c r="H3589" s="20" t="str">
        <f t="shared" ref="H3589:H3652" si="56">"(nextval('obj_part_id_seq'), (select id from obj_building_v where zip||'|'||street||'|'||name||'|'||volume = '"&amp;A3589&amp;"'), '"&amp;B3589&amp;"', "&amp;C3589&amp;", "&amp;D3589&amp;", "&amp;IF(ISBLANK(E3589),"null",E3589)&amp;","&amp;IF(ISBLANK(F3589),"null","'"&amp;F3589&amp;"'")&amp;"),"</f>
        <v>(nextval('obj_part_id_seq'), (select id from obj_building_v where zip||'|'||street||'|'||name||'|'||volume = '9471|St. Gallerstrasse 6|Wohn- und Geschäftshaus|3736.00'), 'P54', 3, 90, 2016,'Die Sanitärapparate wurden erneuert'),</v>
      </c>
    </row>
    <row r="3590" spans="1:8" x14ac:dyDescent="0.25">
      <c r="A3590" s="9" t="s">
        <v>3290</v>
      </c>
      <c r="B3590" s="9" t="s">
        <v>1137</v>
      </c>
      <c r="C3590">
        <v>4</v>
      </c>
      <c r="D3590">
        <v>85</v>
      </c>
      <c r="E3590">
        <v>2016</v>
      </c>
      <c r="F3590" s="9" t="s">
        <v>3296</v>
      </c>
      <c r="H3590" s="20" t="str">
        <f t="shared" si="56"/>
        <v>(nextval('obj_part_id_seq'), (select id from obj_building_v where zip||'|'||street||'|'||name||'|'||volume = '9471|St. Gallerstrasse 6|Wohn- und Geschäftshaus|3736.00'), 'P55', 4, 85, 2016,'Die Sanitärleitungen wurden teilweise erneuert. Druck ist i.O., das Wasser kann ungehindert abfliessen.'),</v>
      </c>
    </row>
    <row r="3591" spans="1:8" x14ac:dyDescent="0.25">
      <c r="A3591" s="9" t="s">
        <v>3290</v>
      </c>
      <c r="B3591" s="9" t="s">
        <v>1155</v>
      </c>
      <c r="C3591">
        <v>0</v>
      </c>
      <c r="D3591" t="s">
        <v>4080</v>
      </c>
      <c r="E3591">
        <v>2016</v>
      </c>
      <c r="F3591" s="9"/>
      <c r="H3591" s="20" t="str">
        <f t="shared" si="56"/>
        <v>(nextval('obj_part_id_seq'), (select id from obj_building_v where zip||'|'||street||'|'||name||'|'||volume = '9471|St. Gallerstrasse 6|Wohn- und Geschäftshaus|3736.00'), 'P56', 0, null, 2016,null),</v>
      </c>
    </row>
    <row r="3592" spans="1:8" x14ac:dyDescent="0.25">
      <c r="A3592" s="9" t="s">
        <v>3290</v>
      </c>
      <c r="B3592" s="9" t="s">
        <v>1138</v>
      </c>
      <c r="C3592">
        <v>9</v>
      </c>
      <c r="D3592">
        <v>85</v>
      </c>
      <c r="E3592">
        <v>2016</v>
      </c>
      <c r="F3592" s="9" t="s">
        <v>3297</v>
      </c>
      <c r="H3592" s="20" t="str">
        <f t="shared" si="56"/>
        <v>(nextval('obj_part_id_seq'), (select id from obj_building_v where zip||'|'||street||'|'||name||'|'||volume = '9471|St. Gallerstrasse 6|Wohn- und Geschäftshaus|3736.00'), 'P57', 9, 85, 2016,'Innenwände mit Holzverkleidungen, Holztrennwand, Einbauschränke und Badezimmermöbel, Schieberegale (Lista), Windfang, Holzbank, Innentüren tw. gepanzert, Treppengeländer geschmiedet mit Holzhandlauf'),</v>
      </c>
    </row>
    <row r="3593" spans="1:8" x14ac:dyDescent="0.25">
      <c r="A3593" s="9" t="s">
        <v>3290</v>
      </c>
      <c r="B3593" s="9" t="s">
        <v>1140</v>
      </c>
      <c r="C3593">
        <v>8</v>
      </c>
      <c r="D3593">
        <v>80</v>
      </c>
      <c r="E3593">
        <v>2016</v>
      </c>
      <c r="F3593" s="9" t="s">
        <v>3298</v>
      </c>
      <c r="H3593" s="20" t="str">
        <f t="shared" si="56"/>
        <v>(nextval('obj_part_id_seq'), (select id from obj_building_v where zip||'|'||street||'|'||name||'|'||volume = '9471|St. Gallerstrasse 6|Wohn- und Geschäftshaus|3736.00'), 'P58', 8, 80, 2016,'B: Terrazzo (Riss min. 3mm), Teppich, Kunststein, Naturstein Granit, Parkett (Fischgrät), Laminat, Keramik, Holz, W: Verputz mit Holzapplikationen, D: Verputz teilweise mit Stuckaturen, tw. sind Abplatzungen, tw. Risse und Verfärbungen beim Verputz'),</v>
      </c>
    </row>
    <row r="3594" spans="1:8" x14ac:dyDescent="0.25">
      <c r="A3594" s="9" t="s">
        <v>3290</v>
      </c>
      <c r="B3594" s="9" t="s">
        <v>1157</v>
      </c>
      <c r="C3594">
        <v>4</v>
      </c>
      <c r="D3594">
        <v>90</v>
      </c>
      <c r="E3594">
        <v>2016</v>
      </c>
      <c r="F3594" s="9" t="s">
        <v>3299</v>
      </c>
      <c r="H3594" s="20" t="str">
        <f t="shared" si="56"/>
        <v>(nextval('obj_part_id_seq'), (select id from obj_building_v where zip||'|'||street||'|'||name||'|'||volume = '9471|St. Gallerstrasse 6|Wohn- und Geschäftshaus|3736.00'), 'P59', 4, 90, 2016,'Einbauküche im OG und Teeküche im EG (nur Spülbecken mit Ober- und Unterbau)'),</v>
      </c>
    </row>
    <row r="3595" spans="1:8" x14ac:dyDescent="0.25">
      <c r="A3595" s="9" t="s">
        <v>3290</v>
      </c>
      <c r="B3595" s="9" t="s">
        <v>1142</v>
      </c>
      <c r="C3595">
        <v>0</v>
      </c>
      <c r="D3595" t="s">
        <v>4080</v>
      </c>
      <c r="E3595">
        <v>2016</v>
      </c>
      <c r="F3595" s="9"/>
      <c r="H3595" s="20" t="str">
        <f t="shared" si="56"/>
        <v>(nextval('obj_part_id_seq'), (select id from obj_building_v where zip||'|'||street||'|'||name||'|'||volume = '9471|St. Gallerstrasse 6|Wohn- und Geschäftshaus|3736.00'), 'P60', 0, null, 2016,null),</v>
      </c>
    </row>
    <row r="3596" spans="1:8" x14ac:dyDescent="0.25">
      <c r="A3596" s="9" t="s">
        <v>3290</v>
      </c>
      <c r="B3596" s="9" t="s">
        <v>1143</v>
      </c>
      <c r="C3596">
        <v>0</v>
      </c>
      <c r="D3596" t="s">
        <v>4080</v>
      </c>
      <c r="E3596">
        <v>2016</v>
      </c>
      <c r="F3596" s="9"/>
      <c r="H3596" s="20" t="str">
        <f t="shared" si="56"/>
        <v>(nextval('obj_part_id_seq'), (select id from obj_building_v where zip||'|'||street||'|'||name||'|'||volume = '9471|St. Gallerstrasse 6|Wohn- und Geschäftshaus|3736.00'), 'P61', 0, null, 2016,null),</v>
      </c>
    </row>
    <row r="3597" spans="1:8" x14ac:dyDescent="0.25">
      <c r="A3597" s="9" t="s">
        <v>3290</v>
      </c>
      <c r="B3597" s="9" t="s">
        <v>1144</v>
      </c>
      <c r="C3597">
        <v>0</v>
      </c>
      <c r="D3597" t="s">
        <v>4080</v>
      </c>
      <c r="E3597">
        <v>2016</v>
      </c>
      <c r="F3597" s="9"/>
      <c r="H3597" s="20" t="str">
        <f t="shared" si="56"/>
        <v>(nextval('obj_part_id_seq'), (select id from obj_building_v where zip||'|'||street||'|'||name||'|'||volume = '9471|St. Gallerstrasse 6|Wohn- und Geschäftshaus|3736.00'), 'P62', 0, null, 2016,null),</v>
      </c>
    </row>
    <row r="3598" spans="1:8" x14ac:dyDescent="0.25">
      <c r="A3598" s="9" t="s">
        <v>3300</v>
      </c>
      <c r="B3598" s="9" t="s">
        <v>1127</v>
      </c>
      <c r="C3598">
        <v>28</v>
      </c>
      <c r="D3598">
        <v>85</v>
      </c>
      <c r="E3598">
        <v>2016</v>
      </c>
      <c r="F3598" s="9" t="s">
        <v>3301</v>
      </c>
      <c r="H3598" s="20" t="str">
        <f t="shared" si="56"/>
        <v>(nextval('obj_part_id_seq'), (select id from obj_building_v where zip||'|'||street||'|'||name||'|'||volume = '9471|Kirchgasse 2|Bibliothek und altes Pfarrhaus|3309.00'), 'P48', 28, 85, 2016,'Mauerwerk, Stahlbeton, tw. Spuren von aufsteigender Feuchtigkeit an den Wänden im UG'),</v>
      </c>
    </row>
    <row r="3599" spans="1:8" x14ac:dyDescent="0.25">
      <c r="A3599" s="9" t="s">
        <v>3300</v>
      </c>
      <c r="B3599" s="9" t="s">
        <v>1129</v>
      </c>
      <c r="C3599">
        <v>0</v>
      </c>
      <c r="D3599" t="s">
        <v>4080</v>
      </c>
      <c r="E3599">
        <v>2016</v>
      </c>
      <c r="F3599" s="9"/>
      <c r="H3599" s="20" t="str">
        <f t="shared" si="56"/>
        <v>(nextval('obj_part_id_seq'), (select id from obj_building_v where zip||'|'||street||'|'||name||'|'||volume = '9471|Kirchgasse 2|Bibliothek und altes Pfarrhaus|3309.00'), 'P49', 0, null, 2016,null),</v>
      </c>
    </row>
    <row r="3600" spans="1:8" x14ac:dyDescent="0.25">
      <c r="A3600" s="9" t="s">
        <v>3300</v>
      </c>
      <c r="B3600" s="9" t="s">
        <v>1097</v>
      </c>
      <c r="C3600">
        <v>3</v>
      </c>
      <c r="D3600">
        <v>90</v>
      </c>
      <c r="E3600">
        <v>2016</v>
      </c>
      <c r="F3600" s="9" t="s">
        <v>3302</v>
      </c>
      <c r="H3600" s="20" t="str">
        <f t="shared" si="56"/>
        <v>(nextval('obj_part_id_seq'), (select id from obj_building_v where zip||'|'||street||'|'||name||'|'||volume = '9471|Kirchgasse 2|Bibliothek und altes Pfarrhaus|3309.00'), 'P2', 3, 90, 2016,'Satteldach mit Biberschwanzziegel'),</v>
      </c>
    </row>
    <row r="3601" spans="1:8" x14ac:dyDescent="0.25">
      <c r="A3601" s="9" t="s">
        <v>3300</v>
      </c>
      <c r="B3601" s="9" t="s">
        <v>1099</v>
      </c>
      <c r="C3601">
        <v>2</v>
      </c>
      <c r="D3601">
        <v>90</v>
      </c>
      <c r="E3601">
        <v>2016</v>
      </c>
      <c r="F3601" s="9" t="s">
        <v>3303</v>
      </c>
      <c r="H3601" s="20" t="str">
        <f t="shared" si="56"/>
        <v>(nextval('obj_part_id_seq'), (select id from obj_building_v where zip||'|'||street||'|'||name||'|'||volume = '9471|Kirchgasse 2|Bibliothek und altes Pfarrhaus|3309.00'), 'P3', 2, 90, 2016,'Anbau: Extensivbegrünung'),</v>
      </c>
    </row>
    <row r="3602" spans="1:8" x14ac:dyDescent="0.25">
      <c r="A3602" s="9" t="s">
        <v>3300</v>
      </c>
      <c r="B3602" s="9" t="s">
        <v>1100</v>
      </c>
      <c r="C3602">
        <v>11</v>
      </c>
      <c r="D3602">
        <v>80</v>
      </c>
      <c r="E3602">
        <v>2016</v>
      </c>
      <c r="F3602" s="9" t="s">
        <v>3304</v>
      </c>
      <c r="H3602" s="20" t="str">
        <f t="shared" si="56"/>
        <v>(nextval('obj_part_id_seq'), (select id from obj_building_v where zip||'|'||street||'|'||name||'|'||volume = '9471|Kirchgasse 2|Bibliothek und altes Pfarrhaus|3309.00'), 'P4', 11, 80, 2016,'Verputzt, Spuren von aufsteigender Feuchtigkeit im Sockelbereich und der Nordwest-Fassade'),</v>
      </c>
    </row>
    <row r="3603" spans="1:8" x14ac:dyDescent="0.25">
      <c r="A3603" s="9" t="s">
        <v>3300</v>
      </c>
      <c r="B3603" s="9" t="s">
        <v>1102</v>
      </c>
      <c r="C3603">
        <v>10</v>
      </c>
      <c r="D3603">
        <v>90</v>
      </c>
      <c r="E3603">
        <v>2016</v>
      </c>
      <c r="F3603" s="9" t="s">
        <v>3305</v>
      </c>
      <c r="H3603" s="20" t="str">
        <f t="shared" si="56"/>
        <v>(nextval('obj_part_id_seq'), (select id from obj_building_v where zip||'|'||street||'|'||name||'|'||volume = '9471|Kirchgasse 2|Bibliothek und altes Pfarrhaus|3309.00'), 'P5', 10, 90, 2016,'Holzfenster mit Isolierverglasung (''88) und Sprossen. Rafflamellenstoren nur im Anbau'),</v>
      </c>
    </row>
    <row r="3604" spans="1:8" x14ac:dyDescent="0.25">
      <c r="A3604" s="9" t="s">
        <v>3300</v>
      </c>
      <c r="B3604" s="9" t="s">
        <v>1164</v>
      </c>
      <c r="C3604">
        <v>10</v>
      </c>
      <c r="D3604">
        <v>85</v>
      </c>
      <c r="E3604">
        <v>2016</v>
      </c>
      <c r="F3604" s="9" t="s">
        <v>3306</v>
      </c>
      <c r="H3604" s="20" t="str">
        <f t="shared" si="56"/>
        <v>(nextval('obj_part_id_seq'), (select id from obj_building_v where zip||'|'||street||'|'||name||'|'||volume = '9471|Kirchgasse 2|Bibliothek und altes Pfarrhaus|3309.00'), 'P50', 10, 85, 2016,'Teilweise alte Keramiksicherugen, fehlende FI-Schutzschalter'),</v>
      </c>
    </row>
    <row r="3605" spans="1:8" x14ac:dyDescent="0.25">
      <c r="A3605" s="9" t="s">
        <v>3300</v>
      </c>
      <c r="B3605" s="9" t="s">
        <v>1166</v>
      </c>
      <c r="C3605">
        <v>2</v>
      </c>
      <c r="D3605">
        <v>90</v>
      </c>
      <c r="E3605">
        <v>2016</v>
      </c>
      <c r="F3605" s="9" t="s">
        <v>3307</v>
      </c>
      <c r="H3605" s="20" t="str">
        <f t="shared" si="56"/>
        <v>(nextval('obj_part_id_seq'), (select id from obj_building_v where zip||'|'||street||'|'||name||'|'||volume = '9471|Kirchgasse 2|Bibliothek und altes Pfarrhaus|3309.00'), 'P51', 2, 90, 2016,'Telefonanlage'),</v>
      </c>
    </row>
    <row r="3606" spans="1:8" x14ac:dyDescent="0.25">
      <c r="A3606" s="9" t="s">
        <v>3300</v>
      </c>
      <c r="B3606" s="9" t="s">
        <v>1104</v>
      </c>
      <c r="C3606">
        <v>1</v>
      </c>
      <c r="D3606">
        <v>90</v>
      </c>
      <c r="E3606">
        <v>2016</v>
      </c>
      <c r="F3606" s="9" t="s">
        <v>3308</v>
      </c>
      <c r="H3606" s="20" t="str">
        <f t="shared" si="56"/>
        <v>(nextval('obj_part_id_seq'), (select id from obj_building_v where zip||'|'||street||'|'||name||'|'||volume = '9471|Kirchgasse 2|Bibliothek und altes Pfarrhaus|3309.00'), 'P6', 1, 90, 2016,'Fernwärme, Kachelofen'),</v>
      </c>
    </row>
    <row r="3607" spans="1:8" x14ac:dyDescent="0.25">
      <c r="A3607" s="9" t="s">
        <v>3300</v>
      </c>
      <c r="B3607" s="9" t="s">
        <v>1106</v>
      </c>
      <c r="C3607">
        <v>4</v>
      </c>
      <c r="D3607">
        <v>90</v>
      </c>
      <c r="E3607">
        <v>2016</v>
      </c>
      <c r="F3607" s="9" t="s">
        <v>3309</v>
      </c>
      <c r="H3607" s="20" t="str">
        <f t="shared" si="56"/>
        <v>(nextval('obj_part_id_seq'), (select id from obj_building_v where zip||'|'||street||'|'||name||'|'||volume = '9471|Kirchgasse 2|Bibliothek und altes Pfarrhaus|3309.00'), 'P7', 4, 90, 2016,'Bodenheizung UG, EG, DG\nRadiatoren 1.OG und 2. OG'),</v>
      </c>
    </row>
    <row r="3608" spans="1:8" x14ac:dyDescent="0.25">
      <c r="A3608" s="9" t="s">
        <v>3300</v>
      </c>
      <c r="B3608" s="9" t="s">
        <v>1403</v>
      </c>
      <c r="C3608">
        <v>2</v>
      </c>
      <c r="D3608">
        <v>80</v>
      </c>
      <c r="E3608">
        <v>2016</v>
      </c>
      <c r="F3608" s="9" t="s">
        <v>3310</v>
      </c>
      <c r="H3608" s="20" t="str">
        <f t="shared" si="56"/>
        <v>(nextval('obj_part_id_seq'), (select id from obj_building_v where zip||'|'||street||'|'||name||'|'||volume = '9471|Kirchgasse 2|Bibliothek und altes Pfarrhaus|3309.00'), 'P52', 2, 80, 2016,'Lüftungsanlage (89''), Schutzraumlüftung, Entfeuchter'),</v>
      </c>
    </row>
    <row r="3609" spans="1:8" x14ac:dyDescent="0.25">
      <c r="A3609" s="9" t="s">
        <v>3300</v>
      </c>
      <c r="B3609" s="9" t="s">
        <v>1404</v>
      </c>
      <c r="C3609">
        <v>2</v>
      </c>
      <c r="D3609">
        <v>90</v>
      </c>
      <c r="E3609">
        <v>2016</v>
      </c>
      <c r="F3609" s="9" t="s">
        <v>2064</v>
      </c>
      <c r="H3609" s="20" t="str">
        <f t="shared" si="56"/>
        <v>(nextval('obj_part_id_seq'), (select id from obj_building_v where zip||'|'||street||'|'||name||'|'||volume = '9471|Kirchgasse 2|Bibliothek und altes Pfarrhaus|3309.00'), 'P53', 2, 90, 2016,'Lüftungskanäle'),</v>
      </c>
    </row>
    <row r="3610" spans="1:8" x14ac:dyDescent="0.25">
      <c r="A3610" s="9" t="s">
        <v>3300</v>
      </c>
      <c r="B3610" s="9" t="s">
        <v>1108</v>
      </c>
      <c r="C3610">
        <v>4</v>
      </c>
      <c r="D3610">
        <v>90</v>
      </c>
      <c r="E3610">
        <v>2016</v>
      </c>
      <c r="F3610" s="9" t="s">
        <v>3119</v>
      </c>
      <c r="H3610" s="20" t="str">
        <f t="shared" si="56"/>
        <v>(nextval('obj_part_id_seq'), (select id from obj_building_v where zip||'|'||street||'|'||name||'|'||volume = '9471|Kirchgasse 2|Bibliothek und altes Pfarrhaus|3309.00'), 'P8', 4, 90, 2016,'genügender Druck vorhanden, Wasser kann ungehindert ablaufen'),</v>
      </c>
    </row>
    <row r="3611" spans="1:8" x14ac:dyDescent="0.25">
      <c r="A3611" s="9" t="s">
        <v>3300</v>
      </c>
      <c r="B3611" s="9" t="s">
        <v>1155</v>
      </c>
      <c r="C3611">
        <v>2</v>
      </c>
      <c r="D3611">
        <v>90</v>
      </c>
      <c r="E3611">
        <v>2016</v>
      </c>
      <c r="F3611" s="9" t="s">
        <v>3311</v>
      </c>
      <c r="H3611" s="20" t="str">
        <f t="shared" si="56"/>
        <v>(nextval('obj_part_id_seq'), (select id from obj_building_v where zip||'|'||street||'|'||name||'|'||volume = '9471|Kirchgasse 2|Bibliothek und altes Pfarrhaus|3309.00'), 'P56', 2, 90, 2016,'Aufzug hydraulisch'),</v>
      </c>
    </row>
    <row r="3612" spans="1:8" x14ac:dyDescent="0.25">
      <c r="A3612" s="9" t="s">
        <v>3300</v>
      </c>
      <c r="B3612" s="9" t="s">
        <v>1138</v>
      </c>
      <c r="C3612">
        <v>13</v>
      </c>
      <c r="D3612">
        <v>90</v>
      </c>
      <c r="E3612">
        <v>2016</v>
      </c>
      <c r="F3612" s="9" t="s">
        <v>3312</v>
      </c>
      <c r="H3612" s="20" t="str">
        <f t="shared" si="56"/>
        <v>(nextval('obj_part_id_seq'), (select id from obj_building_v where zip||'|'||street||'|'||name||'|'||volume = '9471|Kirchgasse 2|Bibliothek und altes Pfarrhaus|3309.00'), 'P57', 13, 90, 2016,'Fenstersimse, Einbauschränke, Inselküche im UG'),</v>
      </c>
    </row>
    <row r="3613" spans="1:8" x14ac:dyDescent="0.25">
      <c r="A3613" s="9" t="s">
        <v>3300</v>
      </c>
      <c r="B3613" s="9" t="s">
        <v>1140</v>
      </c>
      <c r="C3613">
        <v>6</v>
      </c>
      <c r="D3613">
        <v>80</v>
      </c>
      <c r="E3613">
        <v>2016</v>
      </c>
      <c r="F3613" s="9" t="s">
        <v>3313</v>
      </c>
      <c r="H3613" s="20" t="str">
        <f t="shared" si="56"/>
        <v>(nextval('obj_part_id_seq'), (select id from obj_building_v where zip||'|'||street||'|'||name||'|'||volume = '9471|Kirchgasse 2|Bibliothek und altes Pfarrhaus|3309.00'), 'P58', 6, 80, 2016,'B: Keramik, Teppich, Speckstein-Platten,  PVC, Parkett, W: Verputz, Keramik, Holz, D: Verputz, Holz, Akustikdecke, einzelne Verfärbungen am Putz sowie Risse ersichtlich'),</v>
      </c>
    </row>
    <row r="3614" spans="1:8" x14ac:dyDescent="0.25">
      <c r="A3614" s="9" t="s">
        <v>3300</v>
      </c>
      <c r="B3614" s="9" t="s">
        <v>1142</v>
      </c>
      <c r="C3614">
        <v>0</v>
      </c>
      <c r="D3614" t="s">
        <v>4080</v>
      </c>
      <c r="E3614">
        <v>2016</v>
      </c>
      <c r="F3614" s="9" t="s">
        <v>3314</v>
      </c>
      <c r="H3614" s="20" t="str">
        <f t="shared" si="56"/>
        <v>(nextval('obj_part_id_seq'), (select id from obj_building_v where zip||'|'||street||'|'||name||'|'||volume = '9471|Kirchgasse 2|Bibliothek und altes Pfarrhaus|3309.00'), 'P60', 0, null, 2016,'Inselküche im UG'),</v>
      </c>
    </row>
    <row r="3615" spans="1:8" x14ac:dyDescent="0.25">
      <c r="A3615" s="9" t="s">
        <v>3300</v>
      </c>
      <c r="B3615" s="9" t="s">
        <v>1143</v>
      </c>
      <c r="C3615">
        <v>0</v>
      </c>
      <c r="D3615" t="s">
        <v>4080</v>
      </c>
      <c r="E3615">
        <v>2016</v>
      </c>
      <c r="F3615" s="9"/>
      <c r="H3615" s="20" t="str">
        <f t="shared" si="56"/>
        <v>(nextval('obj_part_id_seq'), (select id from obj_building_v where zip||'|'||street||'|'||name||'|'||volume = '9471|Kirchgasse 2|Bibliothek und altes Pfarrhaus|3309.00'), 'P61', 0, null, 2016,null),</v>
      </c>
    </row>
    <row r="3616" spans="1:8" x14ac:dyDescent="0.25">
      <c r="A3616" s="9" t="s">
        <v>3300</v>
      </c>
      <c r="B3616" s="9" t="s">
        <v>1144</v>
      </c>
      <c r="C3616">
        <v>0</v>
      </c>
      <c r="D3616" t="s">
        <v>4080</v>
      </c>
      <c r="E3616">
        <v>2016</v>
      </c>
      <c r="F3616" s="9"/>
      <c r="H3616" s="20" t="str">
        <f t="shared" si="56"/>
        <v>(nextval('obj_part_id_seq'), (select id from obj_building_v where zip||'|'||street||'|'||name||'|'||volume = '9471|Kirchgasse 2|Bibliothek und altes Pfarrhaus|3309.00'), 'P62', 0, null, 2016,null),</v>
      </c>
    </row>
    <row r="3617" spans="1:8" x14ac:dyDescent="0.25">
      <c r="A3617" s="9" t="s">
        <v>3315</v>
      </c>
      <c r="B3617" s="9" t="s">
        <v>1127</v>
      </c>
      <c r="C3617">
        <v>23</v>
      </c>
      <c r="D3617">
        <v>90</v>
      </c>
      <c r="E3617">
        <v>2016</v>
      </c>
      <c r="F3617" s="9" t="s">
        <v>3316</v>
      </c>
      <c r="H3617" s="20" t="str">
        <f t="shared" si="56"/>
        <v>(nextval('obj_part_id_seq'), (select id from obj_building_v where zip||'|'||street||'|'||name||'|'||volume = '9471|Schulhausstrasse 12|Logopädie mit Wohnung|1272.00'), 'P48', 23, 90, 2016,'Mauerwerk mit Hourdisdecken über UG'),</v>
      </c>
    </row>
    <row r="3618" spans="1:8" x14ac:dyDescent="0.25">
      <c r="A3618" s="9" t="s">
        <v>3315</v>
      </c>
      <c r="B3618" s="9" t="s">
        <v>1129</v>
      </c>
      <c r="C3618">
        <v>15</v>
      </c>
      <c r="D3618">
        <v>90</v>
      </c>
      <c r="E3618">
        <v>2016</v>
      </c>
      <c r="F3618" s="9" t="s">
        <v>2909</v>
      </c>
      <c r="H3618" s="20" t="str">
        <f t="shared" si="56"/>
        <v>(nextval('obj_part_id_seq'), (select id from obj_building_v where zip||'|'||street||'|'||name||'|'||volume = '9471|Schulhausstrasse 12|Logopädie mit Wohnung|1272.00'), 'P49', 15, 90, 2016,'Holzkonstruktion'),</v>
      </c>
    </row>
    <row r="3619" spans="1:8" x14ac:dyDescent="0.25">
      <c r="A3619" s="9" t="s">
        <v>3315</v>
      </c>
      <c r="B3619" s="9" t="s">
        <v>1097</v>
      </c>
      <c r="C3619">
        <v>8</v>
      </c>
      <c r="D3619">
        <v>90</v>
      </c>
      <c r="E3619">
        <v>2016</v>
      </c>
      <c r="F3619" s="9" t="s">
        <v>3317</v>
      </c>
      <c r="H3619" s="20" t="str">
        <f t="shared" si="56"/>
        <v>(nextval('obj_part_id_seq'), (select id from obj_building_v where zip||'|'||street||'|'||name||'|'||volume = '9471|Schulhausstrasse 12|Logopädie mit Wohnung|1272.00'), 'P2', 8, 90, 2016,'Satteldach mit Falzziegel, Lukarne mit Kupfer-Blechdach'),</v>
      </c>
    </row>
    <row r="3620" spans="1:8" x14ac:dyDescent="0.25">
      <c r="A3620" s="9" t="s">
        <v>3315</v>
      </c>
      <c r="B3620" s="9" t="s">
        <v>1099</v>
      </c>
      <c r="C3620">
        <v>0</v>
      </c>
      <c r="D3620" t="s">
        <v>4080</v>
      </c>
      <c r="E3620">
        <v>2016</v>
      </c>
      <c r="F3620" s="9"/>
      <c r="H3620" s="20" t="str">
        <f t="shared" si="56"/>
        <v>(nextval('obj_part_id_seq'), (select id from obj_building_v where zip||'|'||street||'|'||name||'|'||volume = '9471|Schulhausstrasse 12|Logopädie mit Wohnung|1272.00'), 'P3', 0, null, 2016,null),</v>
      </c>
    </row>
    <row r="3621" spans="1:8" x14ac:dyDescent="0.25">
      <c r="A3621" s="9" t="s">
        <v>3315</v>
      </c>
      <c r="B3621" s="9" t="s">
        <v>1100</v>
      </c>
      <c r="C3621">
        <v>7</v>
      </c>
      <c r="D3621">
        <v>85</v>
      </c>
      <c r="E3621">
        <v>2016</v>
      </c>
      <c r="F3621" s="9" t="s">
        <v>3318</v>
      </c>
      <c r="H3621" s="20" t="str">
        <f t="shared" si="56"/>
        <v>(nextval('obj_part_id_seq'), (select id from obj_building_v where zip||'|'||street||'|'||name||'|'||volume = '9471|Schulhausstrasse 12|Logopädie mit Wohnung|1272.00'), 'P4', 7, 85, 2016,'Mauerwerk verputzt, Eternitschindeln an der Westfassade, einzelne Risse im Sockelbereich ersichtlich, Balkon mit Geländer aus Holz, Anbau mit Garage und Abstellraum aus Holz'),</v>
      </c>
    </row>
    <row r="3622" spans="1:8" x14ac:dyDescent="0.25">
      <c r="A3622" s="9" t="s">
        <v>3315</v>
      </c>
      <c r="B3622" s="9" t="s">
        <v>1102</v>
      </c>
      <c r="C3622">
        <v>11</v>
      </c>
      <c r="D3622">
        <v>85</v>
      </c>
      <c r="E3622">
        <v>2016</v>
      </c>
      <c r="F3622" s="9" t="s">
        <v>3319</v>
      </c>
      <c r="H3622" s="20" t="str">
        <f t="shared" si="56"/>
        <v>(nextval('obj_part_id_seq'), (select id from obj_building_v where zip||'|'||street||'|'||name||'|'||volume = '9471|Schulhausstrasse 12|Logopädie mit Wohnung|1272.00'), 'P5', 11, 85, 2016,'IV-Holzfenster (''88) mit Fensterläden aus Holz, Markise auf Balkon'),</v>
      </c>
    </row>
    <row r="3623" spans="1:8" x14ac:dyDescent="0.25">
      <c r="A3623" s="9" t="s">
        <v>3315</v>
      </c>
      <c r="B3623" s="9" t="s">
        <v>1110</v>
      </c>
      <c r="C3623">
        <v>4</v>
      </c>
      <c r="D3623">
        <v>85</v>
      </c>
      <c r="E3623">
        <v>2016</v>
      </c>
      <c r="F3623" s="9" t="s">
        <v>3320</v>
      </c>
      <c r="H3623" s="20" t="str">
        <f t="shared" si="56"/>
        <v>(nextval('obj_part_id_seq'), (select id from obj_building_v where zip||'|'||street||'|'||name||'|'||volume = '9471|Schulhausstrasse 12|Logopädie mit Wohnung|1272.00'), 'P9', 4, 85, 2016,'Teilweise alte und neue Sicherungen vorhanden, fehlende FI - Schutzschalter'),</v>
      </c>
    </row>
    <row r="3624" spans="1:8" x14ac:dyDescent="0.25">
      <c r="A3624" s="9" t="s">
        <v>3315</v>
      </c>
      <c r="B3624" s="9" t="s">
        <v>1104</v>
      </c>
      <c r="C3624">
        <v>1</v>
      </c>
      <c r="D3624">
        <v>90</v>
      </c>
      <c r="E3624">
        <v>2016</v>
      </c>
      <c r="F3624" s="9" t="s">
        <v>3321</v>
      </c>
      <c r="H3624" s="20" t="str">
        <f t="shared" si="56"/>
        <v>(nextval('obj_part_id_seq'), (select id from obj_building_v where zip||'|'||street||'|'||name||'|'||volume = '9471|Schulhausstrasse 12|Logopädie mit Wohnung|1272.00'), 'P6', 1, 90, 2016,'Fernwärme, Plattentauscher und Expansionsgefäss sind neu, alter Öltank vorh.'),</v>
      </c>
    </row>
    <row r="3625" spans="1:8" x14ac:dyDescent="0.25">
      <c r="A3625" s="9" t="s">
        <v>3315</v>
      </c>
      <c r="B3625" s="9" t="s">
        <v>1106</v>
      </c>
      <c r="C3625">
        <v>3</v>
      </c>
      <c r="D3625">
        <v>90</v>
      </c>
      <c r="E3625">
        <v>2016</v>
      </c>
      <c r="F3625" s="9" t="s">
        <v>1107</v>
      </c>
      <c r="H3625" s="20" t="str">
        <f t="shared" si="56"/>
        <v>(nextval('obj_part_id_seq'), (select id from obj_building_v where zip||'|'||street||'|'||name||'|'||volume = '9471|Schulhausstrasse 12|Logopädie mit Wohnung|1272.00'), 'P7', 3, 90, 2016,'Radiatoren mit Thermostaten'),</v>
      </c>
    </row>
    <row r="3626" spans="1:8" x14ac:dyDescent="0.25">
      <c r="A3626" s="9" t="s">
        <v>3315</v>
      </c>
      <c r="B3626" s="9" t="s">
        <v>1135</v>
      </c>
      <c r="C3626">
        <v>3</v>
      </c>
      <c r="D3626">
        <v>90</v>
      </c>
      <c r="E3626">
        <v>2016</v>
      </c>
      <c r="F3626" s="9" t="s">
        <v>3322</v>
      </c>
      <c r="H3626" s="20" t="str">
        <f t="shared" si="56"/>
        <v>(nextval('obj_part_id_seq'), (select id from obj_building_v where zip||'|'||street||'|'||name||'|'||volume = '9471|Schulhausstrasse 12|Logopädie mit Wohnung|1272.00'), 'P54', 3, 90, 2016,'Sanitärapparate ohne Mängel, WM/WT'),</v>
      </c>
    </row>
    <row r="3627" spans="1:8" x14ac:dyDescent="0.25">
      <c r="A3627" s="9" t="s">
        <v>3315</v>
      </c>
      <c r="B3627" s="9" t="s">
        <v>1137</v>
      </c>
      <c r="C3627">
        <v>4</v>
      </c>
      <c r="D3627">
        <v>90</v>
      </c>
      <c r="E3627">
        <v>2016</v>
      </c>
      <c r="F3627" s="9" t="s">
        <v>3323</v>
      </c>
      <c r="H3627" s="20" t="str">
        <f t="shared" si="56"/>
        <v>(nextval('obj_part_id_seq'), (select id from obj_building_v where zip||'|'||street||'|'||name||'|'||volume = '9471|Schulhausstrasse 12|Logopädie mit Wohnung|1272.00'), 'P55', 4, 90, 2016,'Druck ausreichend, Wasser aknn ungehindert abfliessen, es sind keine Mängel bekannt'),</v>
      </c>
    </row>
    <row r="3628" spans="1:8" x14ac:dyDescent="0.25">
      <c r="A3628" s="9" t="s">
        <v>3315</v>
      </c>
      <c r="B3628" s="9" t="s">
        <v>1155</v>
      </c>
      <c r="C3628">
        <v>0</v>
      </c>
      <c r="D3628" t="s">
        <v>4080</v>
      </c>
      <c r="E3628">
        <v>2016</v>
      </c>
      <c r="F3628" s="9"/>
      <c r="H3628" s="20" t="str">
        <f t="shared" si="56"/>
        <v>(nextval('obj_part_id_seq'), (select id from obj_building_v where zip||'|'||street||'|'||name||'|'||volume = '9471|Schulhausstrasse 12|Logopädie mit Wohnung|1272.00'), 'P56', 0, null, 2016,null),</v>
      </c>
    </row>
    <row r="3629" spans="1:8" x14ac:dyDescent="0.25">
      <c r="A3629" s="9" t="s">
        <v>3315</v>
      </c>
      <c r="B3629" s="9" t="s">
        <v>1138</v>
      </c>
      <c r="C3629">
        <v>9</v>
      </c>
      <c r="D3629">
        <v>90</v>
      </c>
      <c r="E3629">
        <v>2016</v>
      </c>
      <c r="F3629" s="9" t="s">
        <v>3324</v>
      </c>
      <c r="H3629" s="20" t="str">
        <f t="shared" si="56"/>
        <v>(nextval('obj_part_id_seq'), (select id from obj_building_v where zip||'|'||street||'|'||name||'|'||volume = '9471|Schulhausstrasse 12|Logopädie mit Wohnung|1272.00'), 'P57', 9, 90, 2016,'Geländer aus Holz, Einbauschränke, Fenstersimse, Innentüren aus Holz'),</v>
      </c>
    </row>
    <row r="3630" spans="1:8" x14ac:dyDescent="0.25">
      <c r="A3630" s="9" t="s">
        <v>3315</v>
      </c>
      <c r="B3630" s="9" t="s">
        <v>1140</v>
      </c>
      <c r="C3630">
        <v>8</v>
      </c>
      <c r="D3630">
        <v>85</v>
      </c>
      <c r="E3630">
        <v>2016</v>
      </c>
      <c r="F3630" s="9" t="s">
        <v>3325</v>
      </c>
      <c r="H3630" s="20" t="str">
        <f t="shared" si="56"/>
        <v>(nextval('obj_part_id_seq'), (select id from obj_building_v where zip||'|'||street||'|'||name||'|'||volume = '9471|Schulhausstrasse 12|Logopädie mit Wohnung|1272.00'), 'P58', 8, 85, 2016,'W: Verputz, Keramik, Kokosfasertapete\nD: Verputz, Holzbalkendecken, Holztäfer, an der Decke bei der Stütze ist ein grösserer Riss vorhanden\nB: Keramik, Laminat, Teppich, PVC'),</v>
      </c>
    </row>
    <row r="3631" spans="1:8" x14ac:dyDescent="0.25">
      <c r="A3631" s="9" t="s">
        <v>3315</v>
      </c>
      <c r="B3631" s="9" t="s">
        <v>1157</v>
      </c>
      <c r="C3631">
        <v>4</v>
      </c>
      <c r="D3631">
        <v>90</v>
      </c>
      <c r="E3631">
        <v>2016</v>
      </c>
      <c r="F3631" s="9" t="s">
        <v>3326</v>
      </c>
      <c r="H3631" s="20" t="str">
        <f t="shared" si="56"/>
        <v>(nextval('obj_part_id_seq'), (select id from obj_building_v where zip||'|'||street||'|'||name||'|'||volume = '9471|Schulhausstrasse 12|Logopädie mit Wohnung|1272.00'), 'P59', 4, 90, 2016,'2 Küchen aus Holz sind in einem guten Zustand'),</v>
      </c>
    </row>
    <row r="3632" spans="1:8" x14ac:dyDescent="0.25">
      <c r="A3632" s="9" t="s">
        <v>3315</v>
      </c>
      <c r="B3632" s="9" t="s">
        <v>1142</v>
      </c>
      <c r="C3632">
        <v>0</v>
      </c>
      <c r="D3632" t="s">
        <v>4080</v>
      </c>
      <c r="E3632">
        <v>2016</v>
      </c>
      <c r="F3632" s="9"/>
      <c r="H3632" s="20" t="str">
        <f t="shared" si="56"/>
        <v>(nextval('obj_part_id_seq'), (select id from obj_building_v where zip||'|'||street||'|'||name||'|'||volume = '9471|Schulhausstrasse 12|Logopädie mit Wohnung|1272.00'), 'P60', 0, null, 2016,null),</v>
      </c>
    </row>
    <row r="3633" spans="1:8" x14ac:dyDescent="0.25">
      <c r="A3633" s="9" t="s">
        <v>3315</v>
      </c>
      <c r="B3633" s="9" t="s">
        <v>1143</v>
      </c>
      <c r="C3633">
        <v>0</v>
      </c>
      <c r="D3633" t="s">
        <v>4080</v>
      </c>
      <c r="E3633">
        <v>2016</v>
      </c>
      <c r="F3633" s="9"/>
      <c r="H3633" s="20" t="str">
        <f t="shared" si="56"/>
        <v>(nextval('obj_part_id_seq'), (select id from obj_building_v where zip||'|'||street||'|'||name||'|'||volume = '9471|Schulhausstrasse 12|Logopädie mit Wohnung|1272.00'), 'P61', 0, null, 2016,null),</v>
      </c>
    </row>
    <row r="3634" spans="1:8" x14ac:dyDescent="0.25">
      <c r="A3634" s="9" t="s">
        <v>3315</v>
      </c>
      <c r="B3634" s="9" t="s">
        <v>1144</v>
      </c>
      <c r="C3634">
        <v>0</v>
      </c>
      <c r="D3634" t="s">
        <v>4080</v>
      </c>
      <c r="E3634">
        <v>2016</v>
      </c>
      <c r="F3634" s="9"/>
      <c r="H3634" s="20" t="str">
        <f t="shared" si="56"/>
        <v>(nextval('obj_part_id_seq'), (select id from obj_building_v where zip||'|'||street||'|'||name||'|'||volume = '9471|Schulhausstrasse 12|Logopädie mit Wohnung|1272.00'), 'P62', 0, null, 2016,null),</v>
      </c>
    </row>
    <row r="3635" spans="1:8" x14ac:dyDescent="0.25">
      <c r="A3635" s="9" t="s">
        <v>3327</v>
      </c>
      <c r="B3635" s="9" t="s">
        <v>1127</v>
      </c>
      <c r="C3635">
        <v>21</v>
      </c>
      <c r="D3635">
        <v>90</v>
      </c>
      <c r="E3635">
        <v>2016</v>
      </c>
      <c r="F3635" s="9" t="s">
        <v>3328</v>
      </c>
      <c r="H3635" s="20" t="str">
        <f t="shared" si="56"/>
        <v>(nextval('obj_part_id_seq'), (select id from obj_building_v where zip||'|'||street||'|'||name||'|'||volume = '9471|Volksgartenstrasse 38|Feuerwehr- &amp; Zivilschutzanlage|18049.00'), 'P48', 21, 90, 2016,'Stahlbeton, Skelettbauweise und Mauerwerk'),</v>
      </c>
    </row>
    <row r="3636" spans="1:8" x14ac:dyDescent="0.25">
      <c r="A3636" s="9" t="s">
        <v>3327</v>
      </c>
      <c r="B3636" s="9" t="s">
        <v>1129</v>
      </c>
      <c r="C3636">
        <v>10</v>
      </c>
      <c r="D3636">
        <v>90</v>
      </c>
      <c r="E3636">
        <v>2016</v>
      </c>
      <c r="F3636" s="9" t="s">
        <v>1303</v>
      </c>
      <c r="H3636" s="20" t="str">
        <f t="shared" si="56"/>
        <v>(nextval('obj_part_id_seq'), (select id from obj_building_v where zip||'|'||street||'|'||name||'|'||volume = '9471|Volksgartenstrasse 38|Feuerwehr- &amp; Zivilschutzanlage|18049.00'), 'P49', 10, 90, 2016,'Holzbau'),</v>
      </c>
    </row>
    <row r="3637" spans="1:8" x14ac:dyDescent="0.25">
      <c r="A3637" s="9" t="s">
        <v>3327</v>
      </c>
      <c r="B3637" s="9" t="s">
        <v>1097</v>
      </c>
      <c r="C3637">
        <v>0</v>
      </c>
      <c r="D3637" t="s">
        <v>4080</v>
      </c>
      <c r="E3637">
        <v>2016</v>
      </c>
      <c r="F3637" s="9"/>
      <c r="H3637" s="20" t="str">
        <f t="shared" si="56"/>
        <v>(nextval('obj_part_id_seq'), (select id from obj_building_v where zip||'|'||street||'|'||name||'|'||volume = '9471|Volksgartenstrasse 38|Feuerwehr- &amp; Zivilschutzanlage|18049.00'), 'P2', 0, null, 2016,null),</v>
      </c>
    </row>
    <row r="3638" spans="1:8" x14ac:dyDescent="0.25">
      <c r="A3638" s="9" t="s">
        <v>3327</v>
      </c>
      <c r="B3638" s="9" t="s">
        <v>1099</v>
      </c>
      <c r="C3638">
        <v>10</v>
      </c>
      <c r="D3638">
        <v>70</v>
      </c>
      <c r="E3638">
        <v>2016</v>
      </c>
      <c r="F3638" s="9" t="s">
        <v>3329</v>
      </c>
      <c r="H3638" s="20" t="str">
        <f t="shared" si="56"/>
        <v>(nextval('obj_part_id_seq'), (select id from obj_building_v where zip||'|'||street||'|'||name||'|'||volume = '9471|Volksgartenstrasse 38|Feuerwehr- &amp; Zivilschutzanlage|18049.00'), 'P3', 10, 70, 2016,'Kiesklebedach auf Holzunterkontruktion, die bituminöse Schicht löst\nsich an einzelnen Stellen und ist nicht mehr dicht, Oblichtkuppeln'),</v>
      </c>
    </row>
    <row r="3639" spans="1:8" x14ac:dyDescent="0.25">
      <c r="A3639" s="9" t="s">
        <v>3327</v>
      </c>
      <c r="B3639" s="9" t="s">
        <v>1100</v>
      </c>
      <c r="C3639">
        <v>6</v>
      </c>
      <c r="D3639">
        <v>90</v>
      </c>
      <c r="E3639">
        <v>2016</v>
      </c>
      <c r="F3639" s="9" t="s">
        <v>3330</v>
      </c>
      <c r="H3639" s="20" t="str">
        <f t="shared" si="56"/>
        <v>(nextval('obj_part_id_seq'), (select id from obj_building_v where zip||'|'||street||'|'||name||'|'||volume = '9471|Volksgartenstrasse 38|Feuerwehr- &amp; Zivilschutzanlage|18049.00'), 'P4', 6, 90, 2016,'Mauerwerk, Stahlbeton, tw. verputzt'),</v>
      </c>
    </row>
    <row r="3640" spans="1:8" x14ac:dyDescent="0.25">
      <c r="A3640" s="9" t="s">
        <v>3327</v>
      </c>
      <c r="B3640" s="9" t="s">
        <v>1102</v>
      </c>
      <c r="C3640">
        <v>15</v>
      </c>
      <c r="D3640">
        <v>90</v>
      </c>
      <c r="E3640">
        <v>2016</v>
      </c>
      <c r="F3640" s="9" t="s">
        <v>3331</v>
      </c>
      <c r="H3640" s="20" t="str">
        <f t="shared" si="56"/>
        <v>(nextval('obj_part_id_seq'), (select id from obj_building_v where zip||'|'||street||'|'||name||'|'||volume = '9471|Volksgartenstrasse 38|Feuerwehr- &amp; Zivilschutzanlage|18049.00'), 'P5', 15, 90, 2016,'Sektionaltore, doppelverglaste Aluminiumfenster mit Rafflamellenstoren,\nOblichter'),</v>
      </c>
    </row>
    <row r="3641" spans="1:8" x14ac:dyDescent="0.25">
      <c r="A3641" s="9" t="s">
        <v>3327</v>
      </c>
      <c r="B3641" s="9" t="s">
        <v>1110</v>
      </c>
      <c r="C3641">
        <v>9</v>
      </c>
      <c r="D3641">
        <v>85</v>
      </c>
      <c r="E3641">
        <v>2016</v>
      </c>
      <c r="F3641" s="9" t="s">
        <v>3332</v>
      </c>
      <c r="H3641" s="20" t="str">
        <f t="shared" si="56"/>
        <v>(nextval('obj_part_id_seq'), (select id from obj_building_v where zip||'|'||street||'|'||name||'|'||volume = '9471|Volksgartenstrasse 38|Feuerwehr- &amp; Zivilschutzanlage|18049.00'), 'P9', 9, 85, 2016,'Feuerwehrzentrale, Tw. noch alte Keramiksicherungen vorh., Generator'),</v>
      </c>
    </row>
    <row r="3642" spans="1:8" x14ac:dyDescent="0.25">
      <c r="A3642" s="9" t="s">
        <v>3327</v>
      </c>
      <c r="B3642" s="9" t="s">
        <v>1104</v>
      </c>
      <c r="C3642">
        <v>1</v>
      </c>
      <c r="D3642">
        <v>90</v>
      </c>
      <c r="E3642">
        <v>2016</v>
      </c>
      <c r="F3642" s="9" t="s">
        <v>1235</v>
      </c>
      <c r="H3642" s="20" t="str">
        <f t="shared" si="56"/>
        <v>(nextval('obj_part_id_seq'), (select id from obj_building_v where zip||'|'||street||'|'||name||'|'||volume = '9471|Volksgartenstrasse 38|Feuerwehr- &amp; Zivilschutzanlage|18049.00'), 'P6', 1, 90, 2016,'Fernwärme'),</v>
      </c>
    </row>
    <row r="3643" spans="1:8" x14ac:dyDescent="0.25">
      <c r="A3643" s="9" t="s">
        <v>3327</v>
      </c>
      <c r="B3643" s="9" t="s">
        <v>1106</v>
      </c>
      <c r="C3643">
        <v>4</v>
      </c>
      <c r="D3643">
        <v>90</v>
      </c>
      <c r="E3643">
        <v>2016</v>
      </c>
      <c r="F3643" s="9" t="s">
        <v>3333</v>
      </c>
      <c r="H3643" s="20" t="str">
        <f t="shared" si="56"/>
        <v>(nextval('obj_part_id_seq'), (select id from obj_building_v where zip||'|'||street||'|'||name||'|'||volume = '9471|Volksgartenstrasse 38|Feuerwehr- &amp; Zivilschutzanlage|18049.00'), 'P7', 4, 90, 2016,'Radiatoren mit Thermostaten, Heizlüftung'),</v>
      </c>
    </row>
    <row r="3644" spans="1:8" x14ac:dyDescent="0.25">
      <c r="A3644" s="9" t="s">
        <v>3327</v>
      </c>
      <c r="B3644" s="9" t="s">
        <v>1403</v>
      </c>
      <c r="C3644">
        <v>3</v>
      </c>
      <c r="D3644">
        <v>90</v>
      </c>
      <c r="E3644">
        <v>2016</v>
      </c>
      <c r="F3644" s="9" t="s">
        <v>3334</v>
      </c>
      <c r="H3644" s="20" t="str">
        <f t="shared" si="56"/>
        <v>(nextval('obj_part_id_seq'), (select id from obj_building_v where zip||'|'||street||'|'||name||'|'||volume = '9471|Volksgartenstrasse 38|Feuerwehr- &amp; Zivilschutzanlage|18049.00'), 'P52', 3, 90, 2016,'Kompressor, Schlauchtrocknungsanlage'),</v>
      </c>
    </row>
    <row r="3645" spans="1:8" x14ac:dyDescent="0.25">
      <c r="A3645" s="9" t="s">
        <v>3327</v>
      </c>
      <c r="B3645" s="9" t="s">
        <v>1404</v>
      </c>
      <c r="C3645">
        <v>3</v>
      </c>
      <c r="D3645">
        <v>90</v>
      </c>
      <c r="E3645">
        <v>2016</v>
      </c>
      <c r="F3645" s="9"/>
      <c r="H3645" s="20" t="str">
        <f t="shared" si="56"/>
        <v>(nextval('obj_part_id_seq'), (select id from obj_building_v where zip||'|'||street||'|'||name||'|'||volume = '9471|Volksgartenstrasse 38|Feuerwehr- &amp; Zivilschutzanlage|18049.00'), 'P53', 3, 90, 2016,null),</v>
      </c>
    </row>
    <row r="3646" spans="1:8" x14ac:dyDescent="0.25">
      <c r="A3646" s="9" t="s">
        <v>3327</v>
      </c>
      <c r="B3646" s="9" t="s">
        <v>1108</v>
      </c>
      <c r="C3646">
        <v>4</v>
      </c>
      <c r="D3646">
        <v>85</v>
      </c>
      <c r="E3646">
        <v>2016</v>
      </c>
      <c r="F3646" s="9" t="s">
        <v>3335</v>
      </c>
      <c r="H3646" s="20" t="str">
        <f t="shared" si="56"/>
        <v>(nextval('obj_part_id_seq'), (select id from obj_building_v where zip||'|'||street||'|'||name||'|'||volume = '9471|Volksgartenstrasse 38|Feuerwehr- &amp; Zivilschutzanlage|18049.00'), 'P8', 4, 85, 2016,'Keine Mischventile vorhanden. Die Leitungen sind tw. rostig.'),</v>
      </c>
    </row>
    <row r="3647" spans="1:8" x14ac:dyDescent="0.25">
      <c r="A3647" s="9" t="s">
        <v>3327</v>
      </c>
      <c r="B3647" s="9" t="s">
        <v>1155</v>
      </c>
      <c r="C3647">
        <v>0</v>
      </c>
      <c r="D3647" t="s">
        <v>4080</v>
      </c>
      <c r="E3647">
        <v>2016</v>
      </c>
      <c r="F3647" s="9"/>
      <c r="H3647" s="20" t="str">
        <f t="shared" si="56"/>
        <v>(nextval('obj_part_id_seq'), (select id from obj_building_v where zip||'|'||street||'|'||name||'|'||volume = '9471|Volksgartenstrasse 38|Feuerwehr- &amp; Zivilschutzanlage|18049.00'), 'P56', 0, null, 2016,null),</v>
      </c>
    </row>
    <row r="3648" spans="1:8" x14ac:dyDescent="0.25">
      <c r="A3648" s="9" t="s">
        <v>3327</v>
      </c>
      <c r="B3648" s="9" t="s">
        <v>1138</v>
      </c>
      <c r="C3648">
        <v>5</v>
      </c>
      <c r="D3648">
        <v>85</v>
      </c>
      <c r="E3648">
        <v>2016</v>
      </c>
      <c r="F3648" s="9" t="s">
        <v>3336</v>
      </c>
      <c r="H3648" s="20" t="str">
        <f t="shared" si="56"/>
        <v>(nextval('obj_part_id_seq'), (select id from obj_building_v where zip||'|'||street||'|'||name||'|'||volume = '9471|Volksgartenstrasse 38|Feuerwehr- &amp; Zivilschutzanlage|18049.00'), 'P57', 5, 85, 2016,'Schiebetüre aus Holz, Holztrennwände, innere Verglasungen, Übungsraum'),</v>
      </c>
    </row>
    <row r="3649" spans="1:8" x14ac:dyDescent="0.25">
      <c r="A3649" s="9" t="s">
        <v>3327</v>
      </c>
      <c r="B3649" s="9" t="s">
        <v>1140</v>
      </c>
      <c r="C3649">
        <v>5</v>
      </c>
      <c r="D3649">
        <v>85</v>
      </c>
      <c r="E3649">
        <v>2016</v>
      </c>
      <c r="F3649" s="9" t="s">
        <v>3337</v>
      </c>
      <c r="H3649" s="20" t="str">
        <f t="shared" si="56"/>
        <v>(nextval('obj_part_id_seq'), (select id from obj_building_v where zip||'|'||street||'|'||name||'|'||volume = '9471|Volksgartenstrasse 38|Feuerwehr- &amp; Zivilschutzanlage|18049.00'), 'P58', 5, 85, 2016,'B: Hartbeton, Holzzement, gestrichen, PVC, Porphyrplatten, Kunststein,\neinzelne Risse im Hartbeton und Zementüberzug sowie Rostflecken\nvorhanden\nW: Holz, Keramik, gestrichen, verputzt\nD: Holz, Rohbeton, gestrichen, verputzt, Spritzputz'),</v>
      </c>
    </row>
    <row r="3650" spans="1:8" x14ac:dyDescent="0.25">
      <c r="A3650" s="9" t="s">
        <v>3327</v>
      </c>
      <c r="B3650" s="9" t="s">
        <v>1142</v>
      </c>
      <c r="C3650">
        <v>0</v>
      </c>
      <c r="D3650" t="s">
        <v>4080</v>
      </c>
      <c r="E3650">
        <v>2016</v>
      </c>
      <c r="F3650" s="9"/>
      <c r="H3650" s="20" t="str">
        <f t="shared" si="56"/>
        <v>(nextval('obj_part_id_seq'), (select id from obj_building_v where zip||'|'||street||'|'||name||'|'||volume = '9471|Volksgartenstrasse 38|Feuerwehr- &amp; Zivilschutzanlage|18049.00'), 'P60', 0, null, 2016,null),</v>
      </c>
    </row>
    <row r="3651" spans="1:8" x14ac:dyDescent="0.25">
      <c r="A3651" s="9" t="s">
        <v>3327</v>
      </c>
      <c r="B3651" s="9" t="s">
        <v>1143</v>
      </c>
      <c r="C3651">
        <v>4</v>
      </c>
      <c r="D3651">
        <v>90</v>
      </c>
      <c r="E3651">
        <v>2016</v>
      </c>
      <c r="F3651" s="9" t="s">
        <v>3338</v>
      </c>
      <c r="H3651" s="20" t="str">
        <f t="shared" si="56"/>
        <v>(nextval('obj_part_id_seq'), (select id from obj_building_v where zip||'|'||street||'|'||name||'|'||volume = '9471|Volksgartenstrasse 38|Feuerwehr- &amp; Zivilschutzanlage|18049.00'), 'P61', 4, 90, 2016,'Küche und Teeküche im OG mit gewerblichem GSP, Küche in der ZSA'),</v>
      </c>
    </row>
    <row r="3652" spans="1:8" x14ac:dyDescent="0.25">
      <c r="A3652" s="9" t="s">
        <v>3327</v>
      </c>
      <c r="B3652" s="9" t="s">
        <v>1144</v>
      </c>
      <c r="C3652">
        <v>0</v>
      </c>
      <c r="D3652" t="s">
        <v>4080</v>
      </c>
      <c r="E3652">
        <v>2016</v>
      </c>
      <c r="F3652" s="9"/>
      <c r="H3652" s="20" t="str">
        <f t="shared" si="56"/>
        <v>(nextval('obj_part_id_seq'), (select id from obj_building_v where zip||'|'||street||'|'||name||'|'||volume = '9471|Volksgartenstrasse 38|Feuerwehr- &amp; Zivilschutzanlage|18049.00'), 'P62', 0, null, 2016,null),</v>
      </c>
    </row>
    <row r="3653" spans="1:8" x14ac:dyDescent="0.25">
      <c r="A3653" s="9" t="s">
        <v>3339</v>
      </c>
      <c r="B3653" s="9" t="s">
        <v>1127</v>
      </c>
      <c r="C3653">
        <v>12</v>
      </c>
      <c r="D3653">
        <v>90</v>
      </c>
      <c r="E3653">
        <v>2016</v>
      </c>
      <c r="F3653" s="9" t="s">
        <v>1192</v>
      </c>
      <c r="H3653" s="20" t="str">
        <f t="shared" ref="H3653:H3716" si="57">"(nextval('obj_part_id_seq'), (select id from obj_building_v where zip||'|'||street||'|'||name||'|'||volume = '"&amp;A3653&amp;"'), '"&amp;B3653&amp;"', "&amp;C3653&amp;", "&amp;D3653&amp;", "&amp;IF(ISBLANK(E3653),"null",E3653)&amp;","&amp;IF(ISBLANK(F3653),"null","'"&amp;F3653&amp;"'")&amp;"),"</f>
        <v>(nextval('obj_part_id_seq'), (select id from obj_building_v where zip||'|'||street||'|'||name||'|'||volume = '9471|Aeulistrasse 12|Kindertagesstätte und Pavillon|4075.00'), 'P48', 12, 90, 2016,'Stahlbeton'),</v>
      </c>
    </row>
    <row r="3654" spans="1:8" x14ac:dyDescent="0.25">
      <c r="A3654" s="9" t="s">
        <v>3339</v>
      </c>
      <c r="B3654" s="9" t="s">
        <v>1129</v>
      </c>
      <c r="C3654">
        <v>12</v>
      </c>
      <c r="D3654">
        <v>90</v>
      </c>
      <c r="E3654">
        <v>2016</v>
      </c>
      <c r="F3654" s="9" t="s">
        <v>1303</v>
      </c>
      <c r="H3654" s="20" t="str">
        <f t="shared" si="57"/>
        <v>(nextval('obj_part_id_seq'), (select id from obj_building_v where zip||'|'||street||'|'||name||'|'||volume = '9471|Aeulistrasse 12|Kindertagesstätte und Pavillon|4075.00'), 'P49', 12, 90, 2016,'Holzbau'),</v>
      </c>
    </row>
    <row r="3655" spans="1:8" x14ac:dyDescent="0.25">
      <c r="A3655" s="9" t="s">
        <v>3339</v>
      </c>
      <c r="B3655" s="9" t="s">
        <v>1097</v>
      </c>
      <c r="C3655">
        <v>10</v>
      </c>
      <c r="D3655">
        <v>90</v>
      </c>
      <c r="E3655">
        <v>2016</v>
      </c>
      <c r="F3655" s="9" t="s">
        <v>3098</v>
      </c>
      <c r="H3655" s="20" t="str">
        <f t="shared" si="57"/>
        <v>(nextval('obj_part_id_seq'), (select id from obj_building_v where zip||'|'||street||'|'||name||'|'||volume = '9471|Aeulistrasse 12|Kindertagesstätte und Pavillon|4075.00'), 'P2', 10, 90, 2016,'Welleternit'),</v>
      </c>
    </row>
    <row r="3656" spans="1:8" x14ac:dyDescent="0.25">
      <c r="A3656" s="9" t="s">
        <v>3339</v>
      </c>
      <c r="B3656" s="9" t="s">
        <v>1099</v>
      </c>
      <c r="C3656">
        <v>10</v>
      </c>
      <c r="D3656">
        <v>90</v>
      </c>
      <c r="E3656">
        <v>2016</v>
      </c>
      <c r="F3656" s="9" t="s">
        <v>2419</v>
      </c>
      <c r="H3656" s="20" t="str">
        <f t="shared" si="57"/>
        <v>(nextval('obj_part_id_seq'), (select id from obj_building_v where zip||'|'||street||'|'||name||'|'||volume = '9471|Aeulistrasse 12|Kindertagesstätte und Pavillon|4075.00'), 'P3', 10, 90, 2016,'Extensivbegrünung'),</v>
      </c>
    </row>
    <row r="3657" spans="1:8" x14ac:dyDescent="0.25">
      <c r="A3657" s="9" t="s">
        <v>3339</v>
      </c>
      <c r="B3657" s="9" t="s">
        <v>1100</v>
      </c>
      <c r="C3657">
        <v>8</v>
      </c>
      <c r="D3657">
        <v>90</v>
      </c>
      <c r="E3657">
        <v>2016</v>
      </c>
      <c r="F3657" s="9" t="s">
        <v>3340</v>
      </c>
      <c r="H3657" s="20" t="str">
        <f t="shared" si="57"/>
        <v>(nextval('obj_part_id_seq'), (select id from obj_building_v where zip||'|'||street||'|'||name||'|'||volume = '9471|Aeulistrasse 12|Kindertagesstätte und Pavillon|4075.00'), 'P4', 8, 90, 2016,'Holzfassade, hinterlüftet und Eternitplatten beim Verbindungstrakt'),</v>
      </c>
    </row>
    <row r="3658" spans="1:8" x14ac:dyDescent="0.25">
      <c r="A3658" s="9" t="s">
        <v>3339</v>
      </c>
      <c r="B3658" s="9" t="s">
        <v>1102</v>
      </c>
      <c r="C3658">
        <v>14</v>
      </c>
      <c r="D3658">
        <v>90</v>
      </c>
      <c r="E3658">
        <v>2016</v>
      </c>
      <c r="F3658" s="9" t="s">
        <v>3341</v>
      </c>
      <c r="H3658" s="20" t="str">
        <f t="shared" si="57"/>
        <v>(nextval('obj_part_id_seq'), (select id from obj_building_v where zip||'|'||street||'|'||name||'|'||volume = '9471|Aeulistrasse 12|Kindertagesstätte und Pavillon|4075.00'), 'P5', 14, 90, 2016,'Alter Teil: Doppelverglaste Holzfenster ohne Isolierverglasung mit Holzfensterläden\nNeuer Teil: Kunststofffenster, 3-fach-verglast mit Isolierverglasung und Rafflamellenstoren'),</v>
      </c>
    </row>
    <row r="3659" spans="1:8" x14ac:dyDescent="0.25">
      <c r="A3659" s="9" t="s">
        <v>3339</v>
      </c>
      <c r="B3659" s="9" t="s">
        <v>1110</v>
      </c>
      <c r="C3659">
        <v>4</v>
      </c>
      <c r="D3659">
        <v>90</v>
      </c>
      <c r="E3659">
        <v>2016</v>
      </c>
      <c r="F3659" s="9" t="s">
        <v>3342</v>
      </c>
      <c r="H3659" s="20" t="str">
        <f t="shared" si="57"/>
        <v>(nextval('obj_part_id_seq'), (select id from obj_building_v where zip||'|'||street||'|'||name||'|'||volume = '9471|Aeulistrasse 12|Kindertagesstätte und Pavillon|4075.00'), 'P9', 4, 90, 2016,'Türsprechanlage, EDV-Anlage'),</v>
      </c>
    </row>
    <row r="3660" spans="1:8" x14ac:dyDescent="0.25">
      <c r="A3660" s="9" t="s">
        <v>3339</v>
      </c>
      <c r="B3660" s="9" t="s">
        <v>1104</v>
      </c>
      <c r="C3660">
        <v>1</v>
      </c>
      <c r="D3660">
        <v>90</v>
      </c>
      <c r="E3660">
        <v>2016</v>
      </c>
      <c r="F3660" s="9" t="s">
        <v>3343</v>
      </c>
      <c r="H3660" s="20" t="str">
        <f t="shared" si="57"/>
        <v>(nextval('obj_part_id_seq'), (select id from obj_building_v where zip||'|'||street||'|'||name||'|'||volume = '9471|Aeulistrasse 12|Kindertagesstätte und Pavillon|4075.00'), 'P6', 1, 90, 2016,'Fernwärme, Boiler'),</v>
      </c>
    </row>
    <row r="3661" spans="1:8" x14ac:dyDescent="0.25">
      <c r="A3661" s="9" t="s">
        <v>3339</v>
      </c>
      <c r="B3661" s="9" t="s">
        <v>1106</v>
      </c>
      <c r="C3661">
        <v>3</v>
      </c>
      <c r="D3661">
        <v>90</v>
      </c>
      <c r="E3661">
        <v>2016</v>
      </c>
      <c r="F3661" s="9" t="s">
        <v>3344</v>
      </c>
      <c r="H3661" s="20" t="str">
        <f t="shared" si="57"/>
        <v>(nextval('obj_part_id_seq'), (select id from obj_building_v where zip||'|'||street||'|'||name||'|'||volume = '9471|Aeulistrasse 12|Kindertagesstätte und Pavillon|4075.00'), 'P7', 3, 90, 2016,'Bodenheizung, Radiatoren'),</v>
      </c>
    </row>
    <row r="3662" spans="1:8" x14ac:dyDescent="0.25">
      <c r="A3662" s="9" t="s">
        <v>3339</v>
      </c>
      <c r="B3662" s="9" t="s">
        <v>1135</v>
      </c>
      <c r="C3662">
        <v>1</v>
      </c>
      <c r="D3662">
        <v>90</v>
      </c>
      <c r="E3662">
        <v>2016</v>
      </c>
      <c r="F3662" s="9" t="s">
        <v>3345</v>
      </c>
      <c r="H3662" s="20" t="str">
        <f t="shared" si="57"/>
        <v>(nextval('obj_part_id_seq'), (select id from obj_building_v where zip||'|'||street||'|'||name||'|'||volume = '9471|Aeulistrasse 12|Kindertagesstätte und Pavillon|4075.00'), 'P54', 1, 90, 2016,'Die Apparate sind neuwertig, keine Mängel vorhanden, WM/WT'),</v>
      </c>
    </row>
    <row r="3663" spans="1:8" x14ac:dyDescent="0.25">
      <c r="A3663" s="9" t="s">
        <v>3339</v>
      </c>
      <c r="B3663" s="9" t="s">
        <v>1137</v>
      </c>
      <c r="C3663">
        <v>3</v>
      </c>
      <c r="D3663">
        <v>90</v>
      </c>
      <c r="E3663">
        <v>2016</v>
      </c>
      <c r="F3663" s="9" t="s">
        <v>3119</v>
      </c>
      <c r="H3663" s="20" t="str">
        <f t="shared" si="57"/>
        <v>(nextval('obj_part_id_seq'), (select id from obj_building_v where zip||'|'||street||'|'||name||'|'||volume = '9471|Aeulistrasse 12|Kindertagesstätte und Pavillon|4075.00'), 'P55', 3, 90, 2016,'genügender Druck vorhanden, Wasser kann ungehindert ablaufen'),</v>
      </c>
    </row>
    <row r="3664" spans="1:8" x14ac:dyDescent="0.25">
      <c r="A3664" s="9" t="s">
        <v>3339</v>
      </c>
      <c r="B3664" s="9" t="s">
        <v>1138</v>
      </c>
      <c r="C3664">
        <v>17</v>
      </c>
      <c r="D3664">
        <v>90</v>
      </c>
      <c r="E3664">
        <v>2016</v>
      </c>
      <c r="F3664" s="9" t="s">
        <v>3346</v>
      </c>
      <c r="H3664" s="20" t="str">
        <f t="shared" si="57"/>
        <v>(nextval('obj_part_id_seq'), (select id from obj_building_v where zip||'|'||street||'|'||name||'|'||volume = '9471|Aeulistrasse 12|Kindertagesstätte und Pavillon|4075.00'), 'P57', 17, 90, 2016,'Innere Verglasungen, Einbauschränke, Küche neuwertig, Windfang, Garderoben'),</v>
      </c>
    </row>
    <row r="3665" spans="1:8" x14ac:dyDescent="0.25">
      <c r="A3665" s="9" t="s">
        <v>3339</v>
      </c>
      <c r="B3665" s="9" t="s">
        <v>1140</v>
      </c>
      <c r="C3665">
        <v>3</v>
      </c>
      <c r="D3665">
        <v>90</v>
      </c>
      <c r="E3665">
        <v>2016</v>
      </c>
      <c r="F3665" s="9" t="s">
        <v>3347</v>
      </c>
      <c r="H3665" s="20" t="str">
        <f t="shared" si="57"/>
        <v>(nextval('obj_part_id_seq'), (select id from obj_building_v where zip||'|'||street||'|'||name||'|'||volume = '9471|Aeulistrasse 12|Kindertagesstätte und Pavillon|4075.00'), 'P58', 3, 90, 2016,'B: Linol, Teppich\nW: Tapete, Beton, Rohputz, Holz\nD: Akustik, Holz'),</v>
      </c>
    </row>
    <row r="3666" spans="1:8" x14ac:dyDescent="0.25">
      <c r="A3666" s="9" t="s">
        <v>3339</v>
      </c>
      <c r="B3666" s="9" t="s">
        <v>1142</v>
      </c>
      <c r="C3666">
        <v>0</v>
      </c>
      <c r="D3666" t="s">
        <v>4080</v>
      </c>
      <c r="E3666">
        <v>2016</v>
      </c>
      <c r="F3666" s="9"/>
      <c r="H3666" s="20" t="str">
        <f t="shared" si="57"/>
        <v>(nextval('obj_part_id_seq'), (select id from obj_building_v where zip||'|'||street||'|'||name||'|'||volume = '9471|Aeulistrasse 12|Kindertagesstätte und Pavillon|4075.00'), 'P60', 0, null, 2016,null),</v>
      </c>
    </row>
    <row r="3667" spans="1:8" x14ac:dyDescent="0.25">
      <c r="A3667" s="9" t="s">
        <v>3339</v>
      </c>
      <c r="B3667" s="9" t="s">
        <v>1143</v>
      </c>
      <c r="C3667">
        <v>2</v>
      </c>
      <c r="D3667">
        <v>90</v>
      </c>
      <c r="E3667">
        <v>2016</v>
      </c>
      <c r="F3667" s="9" t="s">
        <v>3348</v>
      </c>
      <c r="H3667" s="20" t="str">
        <f t="shared" si="57"/>
        <v>(nextval('obj_part_id_seq'), (select id from obj_building_v where zip||'|'||street||'|'||name||'|'||volume = '9471|Aeulistrasse 12|Kindertagesstätte und Pavillon|4075.00'), 'P61', 2, 90, 2016,'Lüftung mit WRG'),</v>
      </c>
    </row>
    <row r="3668" spans="1:8" x14ac:dyDescent="0.25">
      <c r="A3668" s="9" t="s">
        <v>3339</v>
      </c>
      <c r="B3668" s="9" t="s">
        <v>1144</v>
      </c>
      <c r="C3668">
        <v>0</v>
      </c>
      <c r="D3668" t="s">
        <v>4080</v>
      </c>
      <c r="E3668">
        <v>2016</v>
      </c>
      <c r="F3668" s="9"/>
      <c r="H3668" s="20" t="str">
        <f t="shared" si="57"/>
        <v>(nextval('obj_part_id_seq'), (select id from obj_building_v where zip||'|'||street||'|'||name||'|'||volume = '9471|Aeulistrasse 12|Kindertagesstätte und Pavillon|4075.00'), 'P62', 0, null, 2016,null),</v>
      </c>
    </row>
    <row r="3669" spans="1:8" x14ac:dyDescent="0.25">
      <c r="A3669" s="9" t="s">
        <v>3349</v>
      </c>
      <c r="B3669" s="9" t="s">
        <v>1127</v>
      </c>
      <c r="C3669">
        <v>39</v>
      </c>
      <c r="D3669">
        <v>90</v>
      </c>
      <c r="E3669">
        <v>2016</v>
      </c>
      <c r="F3669" s="9" t="s">
        <v>3350</v>
      </c>
      <c r="H3669" s="20" t="str">
        <f t="shared" si="57"/>
        <v>(nextval('obj_part_id_seq'), (select id from obj_building_v where zip||'|'||street||'|'||name||'|'||volume = '9471|Aeulistrasse 10|Internationale Schule Rheintal|4761.00'), 'P48', 39, 90, 2016,'Mauerwerk, Stahlbeton, einzelne kleinere Risse im Mauerwerk vorhanden'),</v>
      </c>
    </row>
    <row r="3670" spans="1:8" x14ac:dyDescent="0.25">
      <c r="A3670" s="9" t="s">
        <v>3349</v>
      </c>
      <c r="B3670" s="9" t="s">
        <v>1129</v>
      </c>
      <c r="C3670">
        <v>0</v>
      </c>
      <c r="D3670" t="s">
        <v>4080</v>
      </c>
      <c r="E3670">
        <v>2016</v>
      </c>
      <c r="F3670" s="9"/>
      <c r="H3670" s="20" t="str">
        <f t="shared" si="57"/>
        <v>(nextval('obj_part_id_seq'), (select id from obj_building_v where zip||'|'||street||'|'||name||'|'||volume = '9471|Aeulistrasse 10|Internationale Schule Rheintal|4761.00'), 'P49', 0, null, 2016,null),</v>
      </c>
    </row>
    <row r="3671" spans="1:8" x14ac:dyDescent="0.25">
      <c r="A3671" s="9" t="s">
        <v>3349</v>
      </c>
      <c r="B3671" s="9" t="s">
        <v>1097</v>
      </c>
      <c r="C3671">
        <v>8</v>
      </c>
      <c r="D3671">
        <v>90</v>
      </c>
      <c r="E3671">
        <v>2016</v>
      </c>
      <c r="F3671" s="9" t="s">
        <v>3351</v>
      </c>
      <c r="H3671" s="20" t="str">
        <f t="shared" si="57"/>
        <v>(nextval('obj_part_id_seq'), (select id from obj_building_v where zip||'|'||street||'|'||name||'|'||volume = '9471|Aeulistrasse 10|Internationale Schule Rheintal|4761.00'), 'P2', 8, 90, 2016,'Satteldach mit Falzziegel, Untersichten aus Holz, Dachraum ausgebaut'),</v>
      </c>
    </row>
    <row r="3672" spans="1:8" x14ac:dyDescent="0.25">
      <c r="A3672" s="9" t="s">
        <v>3349</v>
      </c>
      <c r="B3672" s="9" t="s">
        <v>1099</v>
      </c>
      <c r="C3672">
        <v>0</v>
      </c>
      <c r="D3672" t="s">
        <v>4080</v>
      </c>
      <c r="E3672">
        <v>2016</v>
      </c>
      <c r="F3672" s="9"/>
      <c r="H3672" s="20" t="str">
        <f t="shared" si="57"/>
        <v>(nextval('obj_part_id_seq'), (select id from obj_building_v where zip||'|'||street||'|'||name||'|'||volume = '9471|Aeulistrasse 10|Internationale Schule Rheintal|4761.00'), 'P3', 0, null, 2016,null),</v>
      </c>
    </row>
    <row r="3673" spans="1:8" x14ac:dyDescent="0.25">
      <c r="A3673" s="9" t="s">
        <v>3349</v>
      </c>
      <c r="B3673" s="9" t="s">
        <v>1100</v>
      </c>
      <c r="C3673">
        <v>7</v>
      </c>
      <c r="D3673">
        <v>80</v>
      </c>
      <c r="E3673">
        <v>2016</v>
      </c>
      <c r="F3673" s="9" t="s">
        <v>3352</v>
      </c>
      <c r="H3673" s="20" t="str">
        <f t="shared" si="57"/>
        <v>(nextval('obj_part_id_seq'), (select id from obj_building_v where zip||'|'||street||'|'||name||'|'||volume = '9471|Aeulistrasse 10|Internationale Schule Rheintal|4761.00'), 'P4', 7, 80, 2016,'Mauerwerk, verputzt, Balkonplatte mit Zementüberzug veralgt und rissig, Geländer sind rostig'),</v>
      </c>
    </row>
    <row r="3674" spans="1:8" x14ac:dyDescent="0.25">
      <c r="A3674" s="9" t="s">
        <v>3349</v>
      </c>
      <c r="B3674" s="9" t="s">
        <v>1102</v>
      </c>
      <c r="C3674">
        <v>10</v>
      </c>
      <c r="D3674">
        <v>70</v>
      </c>
      <c r="E3674">
        <v>2016</v>
      </c>
      <c r="F3674" s="9" t="s">
        <v>3353</v>
      </c>
      <c r="H3674" s="20" t="str">
        <f t="shared" si="57"/>
        <v>(nextval('obj_part_id_seq'), (select id from obj_building_v where zip||'|'||street||'|'||name||'|'||volume = '9471|Aeulistrasse 10|Internationale Schule Rheintal|4761.00'), 'P5', 10, 70, 2016,'Holzfenster, doppelverglast, PVC-Fenster, Rollläden und Rafflamellenstoren, tw. verwittert'),</v>
      </c>
    </row>
    <row r="3675" spans="1:8" x14ac:dyDescent="0.25">
      <c r="A3675" s="9" t="s">
        <v>3349</v>
      </c>
      <c r="B3675" s="9" t="s">
        <v>1164</v>
      </c>
      <c r="C3675">
        <v>6</v>
      </c>
      <c r="D3675">
        <v>80</v>
      </c>
      <c r="E3675">
        <v>2016</v>
      </c>
      <c r="F3675" s="9" t="s">
        <v>3354</v>
      </c>
      <c r="H3675" s="20" t="str">
        <f t="shared" si="57"/>
        <v>(nextval('obj_part_id_seq'), (select id from obj_building_v where zip||'|'||street||'|'||name||'|'||volume = '9471|Aeulistrasse 10|Internationale Schule Rheintal|4761.00'), 'P50', 6, 80, 2016,'Beleuchtung tw. älteren Datums'),</v>
      </c>
    </row>
    <row r="3676" spans="1:8" x14ac:dyDescent="0.25">
      <c r="A3676" s="9" t="s">
        <v>3349</v>
      </c>
      <c r="B3676" s="9" t="s">
        <v>1166</v>
      </c>
      <c r="C3676">
        <v>1</v>
      </c>
      <c r="D3676">
        <v>90</v>
      </c>
      <c r="E3676">
        <v>2016</v>
      </c>
      <c r="F3676" s="9" t="s">
        <v>3355</v>
      </c>
      <c r="H3676" s="20" t="str">
        <f t="shared" si="57"/>
        <v>(nextval('obj_part_id_seq'), (select id from obj_building_v where zip||'|'||street||'|'||name||'|'||volume = '9471|Aeulistrasse 10|Internationale Schule Rheintal|4761.00'), 'P51', 1, 90, 2016,'Brandmeldeanlage'),</v>
      </c>
    </row>
    <row r="3677" spans="1:8" x14ac:dyDescent="0.25">
      <c r="A3677" s="9" t="s">
        <v>3349</v>
      </c>
      <c r="B3677" s="9" t="s">
        <v>1104</v>
      </c>
      <c r="C3677">
        <v>1</v>
      </c>
      <c r="D3677">
        <v>90</v>
      </c>
      <c r="E3677">
        <v>2016</v>
      </c>
      <c r="F3677" s="9" t="s">
        <v>3343</v>
      </c>
      <c r="H3677" s="20" t="str">
        <f t="shared" si="57"/>
        <v>(nextval('obj_part_id_seq'), (select id from obj_building_v where zip||'|'||street||'|'||name||'|'||volume = '9471|Aeulistrasse 10|Internationale Schule Rheintal|4761.00'), 'P6', 1, 90, 2016,'Fernwärme, Boiler'),</v>
      </c>
    </row>
    <row r="3678" spans="1:8" x14ac:dyDescent="0.25">
      <c r="A3678" s="9" t="s">
        <v>3349</v>
      </c>
      <c r="B3678" s="9" t="s">
        <v>1106</v>
      </c>
      <c r="C3678">
        <v>3</v>
      </c>
      <c r="D3678">
        <v>90</v>
      </c>
      <c r="E3678">
        <v>2016</v>
      </c>
      <c r="F3678" s="9" t="s">
        <v>1107</v>
      </c>
      <c r="H3678" s="20" t="str">
        <f t="shared" si="57"/>
        <v>(nextval('obj_part_id_seq'), (select id from obj_building_v where zip||'|'||street||'|'||name||'|'||volume = '9471|Aeulistrasse 10|Internationale Schule Rheintal|4761.00'), 'P7', 3, 90, 2016,'Radiatoren mit Thermostaten'),</v>
      </c>
    </row>
    <row r="3679" spans="1:8" x14ac:dyDescent="0.25">
      <c r="A3679" s="9" t="s">
        <v>3349</v>
      </c>
      <c r="B3679" s="9" t="s">
        <v>1108</v>
      </c>
      <c r="C3679">
        <v>4</v>
      </c>
      <c r="D3679">
        <v>85</v>
      </c>
      <c r="E3679">
        <v>2016</v>
      </c>
      <c r="F3679" s="9" t="s">
        <v>3356</v>
      </c>
      <c r="H3679" s="20" t="str">
        <f t="shared" si="57"/>
        <v>(nextval('obj_part_id_seq'), (select id from obj_building_v where zip||'|'||street||'|'||name||'|'||volume = '9471|Aeulistrasse 10|Internationale Schule Rheintal|4761.00'), 'P8', 4, 85, 2016,'Feuerlöschposten, bei Lavabos genügender Druck vorhanden, Wasser kann ungehindert ablaufen, Apparate funktionstüchtig'),</v>
      </c>
    </row>
    <row r="3680" spans="1:8" x14ac:dyDescent="0.25">
      <c r="A3680" s="9" t="s">
        <v>3349</v>
      </c>
      <c r="B3680" s="9" t="s">
        <v>1138</v>
      </c>
      <c r="C3680">
        <v>11</v>
      </c>
      <c r="D3680">
        <v>90</v>
      </c>
      <c r="E3680">
        <v>2016</v>
      </c>
      <c r="F3680" s="9" t="s">
        <v>3357</v>
      </c>
      <c r="H3680" s="20" t="str">
        <f t="shared" si="57"/>
        <v>(nextval('obj_part_id_seq'), (select id from obj_building_v where zip||'|'||street||'|'||name||'|'||volume = '9471|Aeulistrasse 10|Internationale Schule Rheintal|4761.00'), 'P57', 11, 90, 2016,'Küche mit Backofen und Glaskeramik, Spülmaschine, Garderoben, Empfangstheke aus Holz, Fensterbretter, Treppengeländer und Handläufe, WC-Trennwände'),</v>
      </c>
    </row>
    <row r="3681" spans="1:8" x14ac:dyDescent="0.25">
      <c r="A3681" s="9" t="s">
        <v>3349</v>
      </c>
      <c r="B3681" s="9" t="s">
        <v>1140</v>
      </c>
      <c r="C3681">
        <v>8</v>
      </c>
      <c r="D3681">
        <v>80</v>
      </c>
      <c r="E3681">
        <v>2016</v>
      </c>
      <c r="F3681" s="9" t="s">
        <v>3358</v>
      </c>
      <c r="H3681" s="20" t="str">
        <f t="shared" si="57"/>
        <v>(nextval('obj_part_id_seq'), (select id from obj_building_v where zip||'|'||street||'|'||name||'|'||volume = '9471|Aeulistrasse 10|Internationale Schule Rheintal|4761.00'), 'P58', 8, 80, 2016,'B: Teppich, Linol\nW: Verputz, Keramik, einzelne Risse ersichtlich\nD: Verputz'),</v>
      </c>
    </row>
    <row r="3682" spans="1:8" x14ac:dyDescent="0.25">
      <c r="A3682" s="9" t="s">
        <v>3349</v>
      </c>
      <c r="B3682" s="9" t="s">
        <v>1142</v>
      </c>
      <c r="C3682">
        <v>2</v>
      </c>
      <c r="D3682">
        <v>50</v>
      </c>
      <c r="E3682">
        <v>2016</v>
      </c>
      <c r="F3682" s="9" t="s">
        <v>3359</v>
      </c>
      <c r="H3682" s="20" t="str">
        <f t="shared" si="57"/>
        <v>(nextval('obj_part_id_seq'), (select id from obj_building_v where zip||'|'||street||'|'||name||'|'||volume = '9471|Aeulistrasse 10|Internationale Schule Rheintal|4761.00'), 'P60', 2, 50, 2016,'Aufzug (ausser Betrieb)'),</v>
      </c>
    </row>
    <row r="3683" spans="1:8" x14ac:dyDescent="0.25">
      <c r="A3683" s="9" t="s">
        <v>3349</v>
      </c>
      <c r="B3683" s="9" t="s">
        <v>1143</v>
      </c>
      <c r="C3683">
        <v>0</v>
      </c>
      <c r="D3683" t="s">
        <v>4080</v>
      </c>
      <c r="E3683">
        <v>2016</v>
      </c>
      <c r="F3683" s="9"/>
      <c r="H3683" s="20" t="str">
        <f t="shared" si="57"/>
        <v>(nextval('obj_part_id_seq'), (select id from obj_building_v where zip||'|'||street||'|'||name||'|'||volume = '9471|Aeulistrasse 10|Internationale Schule Rheintal|4761.00'), 'P61', 0, null, 2016,null),</v>
      </c>
    </row>
    <row r="3684" spans="1:8" x14ac:dyDescent="0.25">
      <c r="A3684" s="9" t="s">
        <v>3349</v>
      </c>
      <c r="B3684" s="9" t="s">
        <v>1144</v>
      </c>
      <c r="C3684">
        <v>0</v>
      </c>
      <c r="D3684" t="s">
        <v>4080</v>
      </c>
      <c r="E3684">
        <v>2016</v>
      </c>
      <c r="F3684" s="9"/>
      <c r="H3684" s="20" t="str">
        <f t="shared" si="57"/>
        <v>(nextval('obj_part_id_seq'), (select id from obj_building_v where zip||'|'||street||'|'||name||'|'||volume = '9471|Aeulistrasse 10|Internationale Schule Rheintal|4761.00'), 'P62', 0, null, 2016,null),</v>
      </c>
    </row>
    <row r="3685" spans="1:8" x14ac:dyDescent="0.25">
      <c r="A3685" s="9" t="s">
        <v>3360</v>
      </c>
      <c r="B3685" s="9" t="s">
        <v>1127</v>
      </c>
      <c r="C3685">
        <v>28</v>
      </c>
      <c r="D3685">
        <v>80</v>
      </c>
      <c r="E3685">
        <v>2019</v>
      </c>
      <c r="F3685" s="9" t="s">
        <v>3361</v>
      </c>
      <c r="H3685" s="20" t="str">
        <f t="shared" si="57"/>
        <v>(nextval('obj_part_id_seq'), (select id from obj_building_v where zip||'|'||street||'|'||name||'|'||volume = '4303|Dorfstrasse 17|Gemeindehaus inkl. Wohnung Hauswart und Feuerwehrmagazin Dorf|10589.00'), 'P48', 28, 80, 2019,'Stahlbeton, MW, Holzdecken im Altbau, Stahlträger beim Oblicht, Stahlkonstr. im DG Neubau'),</v>
      </c>
    </row>
    <row r="3686" spans="1:8" x14ac:dyDescent="0.25">
      <c r="A3686" s="9" t="s">
        <v>3360</v>
      </c>
      <c r="B3686" s="9" t="s">
        <v>1129</v>
      </c>
      <c r="C3686">
        <v>0</v>
      </c>
      <c r="D3686" t="s">
        <v>4080</v>
      </c>
      <c r="E3686">
        <v>2019</v>
      </c>
      <c r="F3686" s="9"/>
      <c r="H3686" s="20" t="str">
        <f t="shared" si="57"/>
        <v>(nextval('obj_part_id_seq'), (select id from obj_building_v where zip||'|'||street||'|'||name||'|'||volume = '4303|Dorfstrasse 17|Gemeindehaus inkl. Wohnung Hauswart und Feuerwehrmagazin Dorf|10589.00'), 'P49', 0, null, 2019,null),</v>
      </c>
    </row>
    <row r="3687" spans="1:8" x14ac:dyDescent="0.25">
      <c r="A3687" s="9" t="s">
        <v>3360</v>
      </c>
      <c r="B3687" s="9" t="s">
        <v>1097</v>
      </c>
      <c r="C3687">
        <v>4</v>
      </c>
      <c r="D3687">
        <v>90</v>
      </c>
      <c r="E3687">
        <v>2019</v>
      </c>
      <c r="F3687" s="9" t="s">
        <v>3362</v>
      </c>
      <c r="H3687" s="20" t="str">
        <f t="shared" si="57"/>
        <v>(nextval('obj_part_id_seq'), (select id from obj_building_v where zip||'|'||street||'|'||name||'|'||volume = '4303|Dorfstrasse 17|Gemeindehaus inkl. Wohnung Hauswart und Feuerwehrmagazin Dorf|10589.00'), 'P2', 4, 90, 2019,'Flachziegel, Blechdach beim Zw.bau, Lukarnen, Oblichtbänder, tw. mit ablös. Folien, Dachraum ohne sichtbare Mängel, Dachflächenfenster'),</v>
      </c>
    </row>
    <row r="3688" spans="1:8" x14ac:dyDescent="0.25">
      <c r="A3688" s="9" t="s">
        <v>3360</v>
      </c>
      <c r="B3688" s="9" t="s">
        <v>1099</v>
      </c>
      <c r="C3688">
        <v>2</v>
      </c>
      <c r="D3688">
        <v>80</v>
      </c>
      <c r="E3688">
        <v>2019</v>
      </c>
      <c r="F3688" s="9" t="s">
        <v>3363</v>
      </c>
      <c r="H3688" s="20" t="str">
        <f t="shared" si="57"/>
        <v>(nextval('obj_part_id_seq'), (select id from obj_building_v where zip||'|'||street||'|'||name||'|'||volume = '4303|Dorfstrasse 17|Gemeindehaus inkl. Wohnung Hauswart und Feuerwehrmagazin Dorf|10589.00'), 'P3', 2, 80, 2019,'Terrassenbelag defekt (Frostschaden), Vordach Eingang: Kiesklebedach'),</v>
      </c>
    </row>
    <row r="3689" spans="1:8" x14ac:dyDescent="0.25">
      <c r="A3689" s="9" t="s">
        <v>3360</v>
      </c>
      <c r="B3689" s="9" t="s">
        <v>1100</v>
      </c>
      <c r="C3689">
        <v>11</v>
      </c>
      <c r="D3689">
        <v>85</v>
      </c>
      <c r="E3689">
        <v>2019</v>
      </c>
      <c r="F3689" s="9" t="s">
        <v>3364</v>
      </c>
      <c r="H3689" s="20" t="str">
        <f t="shared" si="57"/>
        <v>(nextval('obj_part_id_seq'), (select id from obj_building_v where zip||'|'||street||'|'||name||'|'||volume = '4303|Dorfstrasse 17|Gemeindehaus inkl. Wohnung Hauswart und Feuerwehrmagazin Dorf|10589.00'), 'P4', 11, 85, 2019,'Mauerwerk, verputzt, tw. Kunststein- und Stahlgewände, einzelne Risse im Putz und Abplatzungen vorhanden, Flickstelle bei Fensterbank'),</v>
      </c>
    </row>
    <row r="3690" spans="1:8" x14ac:dyDescent="0.25">
      <c r="A3690" s="9" t="s">
        <v>3360</v>
      </c>
      <c r="B3690" s="9" t="s">
        <v>1102</v>
      </c>
      <c r="C3690">
        <v>10</v>
      </c>
      <c r="D3690">
        <v>85</v>
      </c>
      <c r="E3690">
        <v>2019</v>
      </c>
      <c r="F3690" s="9" t="s">
        <v>3365</v>
      </c>
      <c r="H3690" s="20" t="str">
        <f t="shared" si="57"/>
        <v>(nextval('obj_part_id_seq'), (select id from obj_building_v where zip||'|'||street||'|'||name||'|'||volume = '4303|Dorfstrasse 17|Gemeindehaus inkl. Wohnung Hauswart und Feuerwehrmagazin Dorf|10589.00'), 'P5', 10, 85, 2019,'Kunststoff-, Metall- und Holzfenster, Pfosten-Riegel-System beim Eingang, einz. Scheiben blind, el. Rafflamellenstoren, Holzläden beim Altbau, Aussentüren aus Holz und Metall, Feuerwehrtore'),</v>
      </c>
    </row>
    <row r="3691" spans="1:8" x14ac:dyDescent="0.25">
      <c r="A3691" s="9" t="s">
        <v>3360</v>
      </c>
      <c r="B3691" s="9" t="s">
        <v>1164</v>
      </c>
      <c r="C3691">
        <v>10</v>
      </c>
      <c r="D3691">
        <v>90</v>
      </c>
      <c r="E3691">
        <v>2019</v>
      </c>
      <c r="F3691" s="9" t="s">
        <v>3366</v>
      </c>
      <c r="H3691" s="20" t="str">
        <f t="shared" si="57"/>
        <v>(nextval('obj_part_id_seq'), (select id from obj_building_v where zip||'|'||street||'|'||name||'|'||volume = '4303|Dorfstrasse 17|Gemeindehaus inkl. Wohnung Hauswart und Feuerwehrmagazin Dorf|10589.00'), 'P50', 10, 90, 2019,'Sicherungen genügend, Belechtung, Notstormbelechtung, el. Storen'),</v>
      </c>
    </row>
    <row r="3692" spans="1:8" x14ac:dyDescent="0.25">
      <c r="A3692" s="9" t="s">
        <v>3360</v>
      </c>
      <c r="B3692" s="9" t="s">
        <v>1166</v>
      </c>
      <c r="C3692">
        <v>2</v>
      </c>
      <c r="D3692">
        <v>90</v>
      </c>
      <c r="E3692">
        <v>2019</v>
      </c>
      <c r="F3692" s="9" t="s">
        <v>3367</v>
      </c>
      <c r="H3692" s="20" t="str">
        <f t="shared" si="57"/>
        <v>(nextval('obj_part_id_seq'), (select id from obj_building_v where zip||'|'||street||'|'||name||'|'||volume = '4303|Dorfstrasse 17|Gemeindehaus inkl. Wohnung Hauswart und Feuerwehrmagazin Dorf|10589.00'), 'P51', 2, 90, 2019,'EDV-Analge und -verkabelung, Intrusions- und  Brandmeldeanlage'),</v>
      </c>
    </row>
    <row r="3693" spans="1:8" x14ac:dyDescent="0.25">
      <c r="A3693" s="9" t="s">
        <v>3360</v>
      </c>
      <c r="B3693" s="9" t="s">
        <v>1104</v>
      </c>
      <c r="C3693">
        <v>1</v>
      </c>
      <c r="D3693">
        <v>90</v>
      </c>
      <c r="E3693">
        <v>2019</v>
      </c>
      <c r="F3693" s="9" t="s">
        <v>1235</v>
      </c>
      <c r="H3693" s="20" t="str">
        <f t="shared" si="57"/>
        <v>(nextval('obj_part_id_seq'), (select id from obj_building_v where zip||'|'||street||'|'||name||'|'||volume = '4303|Dorfstrasse 17|Gemeindehaus inkl. Wohnung Hauswart und Feuerwehrmagazin Dorf|10589.00'), 'P6', 1, 90, 2019,'Fernwärme'),</v>
      </c>
    </row>
    <row r="3694" spans="1:8" x14ac:dyDescent="0.25">
      <c r="A3694" s="9" t="s">
        <v>3360</v>
      </c>
      <c r="B3694" s="9" t="s">
        <v>1106</v>
      </c>
      <c r="C3694">
        <v>4</v>
      </c>
      <c r="D3694">
        <v>90</v>
      </c>
      <c r="E3694">
        <v>2019</v>
      </c>
      <c r="F3694" s="9" t="s">
        <v>3368</v>
      </c>
      <c r="H3694" s="20" t="str">
        <f t="shared" si="57"/>
        <v>(nextval('obj_part_id_seq'), (select id from obj_building_v where zip||'|'||street||'|'||name||'|'||volume = '4303|Dorfstrasse 17|Gemeindehaus inkl. Wohnung Hauswart und Feuerwehrmagazin Dorf|10589.00'), 'P7', 4, 90, 2019,'Radiatoren mit Thermostaten, Pumpen älter aber funktionstüchtig'),</v>
      </c>
    </row>
    <row r="3695" spans="1:8" x14ac:dyDescent="0.25">
      <c r="A3695" s="9" t="s">
        <v>3360</v>
      </c>
      <c r="B3695" s="9" t="s">
        <v>1403</v>
      </c>
      <c r="C3695">
        <v>2</v>
      </c>
      <c r="D3695">
        <v>90</v>
      </c>
      <c r="E3695">
        <v>2019</v>
      </c>
      <c r="F3695" s="9" t="s">
        <v>3369</v>
      </c>
      <c r="H3695" s="20" t="str">
        <f t="shared" si="57"/>
        <v>(nextval('obj_part_id_seq'), (select id from obj_building_v where zip||'|'||street||'|'||name||'|'||volume = '4303|Dorfstrasse 17|Gemeindehaus inkl. Wohnung Hauswart und Feuerwehrmagazin Dorf|10589.00'), 'P52', 2, 90, 2019,'Lüftungsanlage im DG, grosser Saal Neubau ''95, Abluft im GR-Zimmer'),</v>
      </c>
    </row>
    <row r="3696" spans="1:8" x14ac:dyDescent="0.25">
      <c r="A3696" s="9" t="s">
        <v>3360</v>
      </c>
      <c r="B3696" s="9" t="s">
        <v>1404</v>
      </c>
      <c r="C3696">
        <v>2</v>
      </c>
      <c r="D3696">
        <v>90</v>
      </c>
      <c r="E3696">
        <v>2019</v>
      </c>
      <c r="F3696" s="9" t="s">
        <v>1218</v>
      </c>
      <c r="H3696" s="20" t="str">
        <f t="shared" si="57"/>
        <v>(nextval('obj_part_id_seq'), (select id from obj_building_v where zip||'|'||street||'|'||name||'|'||volume = '4303|Dorfstrasse 17|Gemeindehaus inkl. Wohnung Hauswart und Feuerwehrmagazin Dorf|10589.00'), 'P53', 2, 90, 2019,'Keine Mängel bekannt'),</v>
      </c>
    </row>
    <row r="3697" spans="1:8" x14ac:dyDescent="0.25">
      <c r="A3697" s="9" t="s">
        <v>3360</v>
      </c>
      <c r="B3697" s="9" t="s">
        <v>1108</v>
      </c>
      <c r="C3697">
        <v>4</v>
      </c>
      <c r="D3697">
        <v>90</v>
      </c>
      <c r="E3697">
        <v>2019</v>
      </c>
      <c r="F3697" s="9" t="s">
        <v>3370</v>
      </c>
      <c r="H3697" s="20" t="str">
        <f t="shared" si="57"/>
        <v>(nextval('obj_part_id_seq'), (select id from obj_building_v where zip||'|'||street||'|'||name||'|'||volume = '4303|Dorfstrasse 17|Gemeindehaus inkl. Wohnung Hauswart und Feuerwehrmagazin Dorf|10589.00'), 'P8', 4, 90, 2019,'Leitungen tw. mangelhaft, jedoch genügend Druck vorhanden, Wasser kann ungehindert ablaufen, Apparate zeitgemäss mit Mischarmaturen, WM/WT'),</v>
      </c>
    </row>
    <row r="3698" spans="1:8" x14ac:dyDescent="0.25">
      <c r="A3698" s="9" t="s">
        <v>3360</v>
      </c>
      <c r="B3698" s="9" t="s">
        <v>1155</v>
      </c>
      <c r="C3698">
        <v>1</v>
      </c>
      <c r="D3698">
        <v>90</v>
      </c>
      <c r="E3698">
        <v>2019</v>
      </c>
      <c r="F3698" s="9" t="s">
        <v>3371</v>
      </c>
      <c r="H3698" s="20" t="str">
        <f t="shared" si="57"/>
        <v>(nextval('obj_part_id_seq'), (select id from obj_building_v where zip||'|'||street||'|'||name||'|'||volume = '4303|Dorfstrasse 17|Gemeindehaus inkl. Wohnung Hauswart und Feuerwehrmagazin Dorf|10589.00'), 'P56', 1, 90, 2019,'Personenaufzug'),</v>
      </c>
    </row>
    <row r="3699" spans="1:8" x14ac:dyDescent="0.25">
      <c r="A3699" s="9" t="s">
        <v>3360</v>
      </c>
      <c r="B3699" s="9" t="s">
        <v>1138</v>
      </c>
      <c r="C3699">
        <v>13</v>
      </c>
      <c r="D3699">
        <v>85</v>
      </c>
      <c r="E3699">
        <v>2019</v>
      </c>
      <c r="F3699" s="9" t="s">
        <v>3372</v>
      </c>
      <c r="H3699" s="20" t="str">
        <f t="shared" si="57"/>
        <v>(nextval('obj_part_id_seq'), (select id from obj_building_v where zip||'|'||street||'|'||name||'|'||volume = '4303|Dorfstrasse 17|Gemeindehaus inkl. Wohnung Hauswart und Feuerwehrmagazin Dorf|10589.00'), 'P57', 13, 85, 2019,'Archivanlage (Compactus), Geländer, innere Verglasungen, Metalltüren, Küchen, tw. Risse im Putz, tw. Holzwände, Schalteranlagen, Vitrine, Teeküche und Küche in Wg.'),</v>
      </c>
    </row>
    <row r="3700" spans="1:8" x14ac:dyDescent="0.25">
      <c r="A3700" s="9" t="s">
        <v>3360</v>
      </c>
      <c r="B3700" s="9" t="s">
        <v>1140</v>
      </c>
      <c r="C3700">
        <v>6</v>
      </c>
      <c r="D3700">
        <v>85</v>
      </c>
      <c r="E3700">
        <v>2019</v>
      </c>
      <c r="F3700" s="9" t="s">
        <v>3373</v>
      </c>
      <c r="H3700" s="20" t="str">
        <f t="shared" si="57"/>
        <v>(nextval('obj_part_id_seq'), (select id from obj_building_v where zip||'|'||street||'|'||name||'|'||volume = '4303|Dorfstrasse 17|Gemeindehaus inkl. Wohnung Hauswart und Feuerwehrmagazin Dorf|10589.00'), 'P58', 6, 85, 2019,'Boden: Kreamik, Textil, Natur- und Kunstst.platten, Hartbeton, Parkett in Wg., Wand: Putz, tw. m. Rissen, Täfer, Decke: Putz, Metalldecken, tw. beschäd., Gipsdecken, Kasettendecke im GR-Zi. aus Holz'),</v>
      </c>
    </row>
    <row r="3701" spans="1:8" x14ac:dyDescent="0.25">
      <c r="A3701" s="9" t="s">
        <v>3360</v>
      </c>
      <c r="B3701" s="9" t="s">
        <v>1142</v>
      </c>
      <c r="C3701">
        <v>0</v>
      </c>
      <c r="D3701" t="s">
        <v>4080</v>
      </c>
      <c r="E3701">
        <v>2019</v>
      </c>
      <c r="F3701" s="9"/>
      <c r="H3701" s="20" t="str">
        <f t="shared" si="57"/>
        <v>(nextval('obj_part_id_seq'), (select id from obj_building_v where zip||'|'||street||'|'||name||'|'||volume = '4303|Dorfstrasse 17|Gemeindehaus inkl. Wohnung Hauswart und Feuerwehrmagazin Dorf|10589.00'), 'P60', 0, null, 2019,null),</v>
      </c>
    </row>
    <row r="3702" spans="1:8" x14ac:dyDescent="0.25">
      <c r="A3702" s="9" t="s">
        <v>3360</v>
      </c>
      <c r="B3702" s="9" t="s">
        <v>1143</v>
      </c>
      <c r="C3702">
        <v>0</v>
      </c>
      <c r="D3702" t="s">
        <v>4080</v>
      </c>
      <c r="E3702">
        <v>2019</v>
      </c>
      <c r="F3702" s="9"/>
      <c r="H3702" s="20" t="str">
        <f t="shared" si="57"/>
        <v>(nextval('obj_part_id_seq'), (select id from obj_building_v where zip||'|'||street||'|'||name||'|'||volume = '4303|Dorfstrasse 17|Gemeindehaus inkl. Wohnung Hauswart und Feuerwehrmagazin Dorf|10589.00'), 'P61', 0, null, 2019,null),</v>
      </c>
    </row>
    <row r="3703" spans="1:8" x14ac:dyDescent="0.25">
      <c r="A3703" s="9" t="s">
        <v>3360</v>
      </c>
      <c r="B3703" s="9" t="s">
        <v>1144</v>
      </c>
      <c r="C3703">
        <v>0</v>
      </c>
      <c r="D3703" t="s">
        <v>4080</v>
      </c>
      <c r="E3703">
        <v>2019</v>
      </c>
      <c r="F3703" s="9"/>
      <c r="H3703" s="20" t="str">
        <f t="shared" si="57"/>
        <v>(nextval('obj_part_id_seq'), (select id from obj_building_v where zip||'|'||street||'|'||name||'|'||volume = '4303|Dorfstrasse 17|Gemeindehaus inkl. Wohnung Hauswart und Feuerwehrmagazin Dorf|10589.00'), 'P62', 0, null, 2019,null),</v>
      </c>
    </row>
    <row r="3704" spans="1:8" x14ac:dyDescent="0.25">
      <c r="A3704" s="9" t="s">
        <v>3374</v>
      </c>
      <c r="B3704" s="9" t="s">
        <v>1095</v>
      </c>
      <c r="C3704">
        <v>44</v>
      </c>
      <c r="D3704">
        <v>90</v>
      </c>
      <c r="E3704">
        <v>2019</v>
      </c>
      <c r="F3704" s="9" t="s">
        <v>1192</v>
      </c>
      <c r="H3704" s="20" t="str">
        <f t="shared" si="57"/>
        <v>(nextval('obj_part_id_seq'), (select id from obj_building_v where zip||'|'||street||'|'||name||'|'||volume = '4303|Lochmatt|Chlorgasgebäude|45.00'), 'P1', 44, 90, 2019,'Stahlbeton'),</v>
      </c>
    </row>
    <row r="3705" spans="1:8" x14ac:dyDescent="0.25">
      <c r="A3705" s="9" t="s">
        <v>3374</v>
      </c>
      <c r="B3705" s="9" t="s">
        <v>1097</v>
      </c>
      <c r="C3705">
        <v>0</v>
      </c>
      <c r="D3705" t="s">
        <v>4080</v>
      </c>
      <c r="E3705">
        <v>2019</v>
      </c>
      <c r="F3705" s="9"/>
      <c r="H3705" s="20" t="str">
        <f t="shared" si="57"/>
        <v>(nextval('obj_part_id_seq'), (select id from obj_building_v where zip||'|'||street||'|'||name||'|'||volume = '4303|Lochmatt|Chlorgasgebäude|45.00'), 'P2', 0, null, 2019,null),</v>
      </c>
    </row>
    <row r="3706" spans="1:8" x14ac:dyDescent="0.25">
      <c r="A3706" s="9" t="s">
        <v>3374</v>
      </c>
      <c r="B3706" s="9" t="s">
        <v>1099</v>
      </c>
      <c r="C3706">
        <v>4</v>
      </c>
      <c r="D3706">
        <v>90</v>
      </c>
      <c r="E3706">
        <v>2019</v>
      </c>
      <c r="F3706" s="9" t="s">
        <v>3375</v>
      </c>
      <c r="H3706" s="20" t="str">
        <f t="shared" si="57"/>
        <v>(nextval('obj_part_id_seq'), (select id from obj_building_v where zip||'|'||street||'|'||name||'|'||volume = '4303|Lochmatt|Chlorgasgebäude|45.00'), 'P3', 4, 90, 2019,'Nacktdach, Beton'),</v>
      </c>
    </row>
    <row r="3707" spans="1:8" x14ac:dyDescent="0.25">
      <c r="A3707" s="9" t="s">
        <v>3374</v>
      </c>
      <c r="B3707" s="9" t="s">
        <v>1100</v>
      </c>
      <c r="C3707">
        <v>12</v>
      </c>
      <c r="D3707">
        <v>80</v>
      </c>
      <c r="E3707">
        <v>2019</v>
      </c>
      <c r="F3707" s="9" t="s">
        <v>2050</v>
      </c>
      <c r="H3707" s="20" t="str">
        <f t="shared" si="57"/>
        <v>(nextval('obj_part_id_seq'), (select id from obj_building_v where zip||'|'||street||'|'||name||'|'||volume = '4303|Lochmatt|Chlorgasgebäude|45.00'), 'P4', 12, 80, 2019,'Mauerwerk verputzt'),</v>
      </c>
    </row>
    <row r="3708" spans="1:8" x14ac:dyDescent="0.25">
      <c r="A3708" s="9" t="s">
        <v>3374</v>
      </c>
      <c r="B3708" s="9" t="s">
        <v>1102</v>
      </c>
      <c r="C3708">
        <v>4</v>
      </c>
      <c r="D3708">
        <v>80</v>
      </c>
      <c r="E3708">
        <v>2019</v>
      </c>
      <c r="F3708" s="9" t="s">
        <v>3376</v>
      </c>
      <c r="H3708" s="20" t="str">
        <f t="shared" si="57"/>
        <v>(nextval('obj_part_id_seq'), (select id from obj_building_v where zip||'|'||street||'|'||name||'|'||volume = '4303|Lochmatt|Chlorgasgebäude|45.00'), 'P5', 4, 80, 2019,'Holztüren mit Metallabdeckungen'),</v>
      </c>
    </row>
    <row r="3709" spans="1:8" x14ac:dyDescent="0.25">
      <c r="A3709" s="9" t="s">
        <v>3374</v>
      </c>
      <c r="B3709" s="9" t="s">
        <v>1104</v>
      </c>
      <c r="C3709">
        <v>0</v>
      </c>
      <c r="D3709" t="s">
        <v>4080</v>
      </c>
      <c r="E3709">
        <v>2019</v>
      </c>
      <c r="F3709" s="9"/>
      <c r="H3709" s="20" t="str">
        <f t="shared" si="57"/>
        <v>(nextval('obj_part_id_seq'), (select id from obj_building_v where zip||'|'||street||'|'||name||'|'||volume = '4303|Lochmatt|Chlorgasgebäude|45.00'), 'P6', 0, null, 2019,null),</v>
      </c>
    </row>
    <row r="3710" spans="1:8" x14ac:dyDescent="0.25">
      <c r="A3710" s="9" t="s">
        <v>3374</v>
      </c>
      <c r="B3710" s="9" t="s">
        <v>1106</v>
      </c>
      <c r="C3710">
        <v>0</v>
      </c>
      <c r="D3710" t="s">
        <v>4080</v>
      </c>
      <c r="E3710">
        <v>2019</v>
      </c>
      <c r="F3710" s="9"/>
      <c r="H3710" s="20" t="str">
        <f t="shared" si="57"/>
        <v>(nextval('obj_part_id_seq'), (select id from obj_building_v where zip||'|'||street||'|'||name||'|'||volume = '4303|Lochmatt|Chlorgasgebäude|45.00'), 'P7', 0, null, 2019,null),</v>
      </c>
    </row>
    <row r="3711" spans="1:8" x14ac:dyDescent="0.25">
      <c r="A3711" s="9" t="s">
        <v>3374</v>
      </c>
      <c r="B3711" s="9" t="s">
        <v>1108</v>
      </c>
      <c r="C3711">
        <v>4</v>
      </c>
      <c r="D3711">
        <v>90</v>
      </c>
      <c r="E3711">
        <v>2019</v>
      </c>
      <c r="F3711" s="9" t="s">
        <v>2332</v>
      </c>
      <c r="H3711" s="20" t="str">
        <f t="shared" si="57"/>
        <v>(nextval('obj_part_id_seq'), (select id from obj_building_v where zip||'|'||street||'|'||name||'|'||volume = '4303|Lochmatt|Chlorgasgebäude|45.00'), 'P8', 4, 90, 2019,'Es sind keine Mängel bekannt'),</v>
      </c>
    </row>
    <row r="3712" spans="1:8" x14ac:dyDescent="0.25">
      <c r="A3712" s="9" t="s">
        <v>3374</v>
      </c>
      <c r="B3712" s="9" t="s">
        <v>1110</v>
      </c>
      <c r="C3712">
        <v>6</v>
      </c>
      <c r="D3712">
        <v>90</v>
      </c>
      <c r="E3712">
        <v>2019</v>
      </c>
      <c r="F3712" s="9" t="s">
        <v>3377</v>
      </c>
      <c r="H3712" s="20" t="str">
        <f t="shared" si="57"/>
        <v>(nextval('obj_part_id_seq'), (select id from obj_building_v where zip||'|'||street||'|'||name||'|'||volume = '4303|Lochmatt|Chlorgasgebäude|45.00'), 'P9', 6, 90, 2019,'Beleuchtung, Steuerung'),</v>
      </c>
    </row>
    <row r="3713" spans="1:8" x14ac:dyDescent="0.25">
      <c r="A3713" s="9" t="s">
        <v>3374</v>
      </c>
      <c r="B3713" s="9" t="s">
        <v>1112</v>
      </c>
      <c r="C3713">
        <v>15</v>
      </c>
      <c r="D3713">
        <v>90</v>
      </c>
      <c r="E3713">
        <v>2019</v>
      </c>
      <c r="F3713" s="9" t="s">
        <v>3378</v>
      </c>
      <c r="H3713" s="20" t="str">
        <f t="shared" si="57"/>
        <v>(nextval('obj_part_id_seq'), (select id from obj_building_v where zip||'|'||street||'|'||name||'|'||volume = '4303|Lochmatt|Chlorgasgebäude|45.00'), 'P10', 15, 90, 2019,'Chlor-Anlage'),</v>
      </c>
    </row>
    <row r="3714" spans="1:8" x14ac:dyDescent="0.25">
      <c r="A3714" s="9" t="s">
        <v>3374</v>
      </c>
      <c r="B3714" s="9" t="s">
        <v>1114</v>
      </c>
      <c r="C3714">
        <v>8</v>
      </c>
      <c r="D3714">
        <v>90</v>
      </c>
      <c r="E3714">
        <v>2019</v>
      </c>
      <c r="F3714" s="9" t="s">
        <v>1850</v>
      </c>
      <c r="H3714" s="20" t="str">
        <f t="shared" si="57"/>
        <v>(nextval('obj_part_id_seq'), (select id from obj_building_v where zip||'|'||street||'|'||name||'|'||volume = '4303|Lochmatt|Chlorgasgebäude|45.00'), 'P11', 8, 90, 2019,'keine Mängel bekannt'),</v>
      </c>
    </row>
    <row r="3715" spans="1:8" x14ac:dyDescent="0.25">
      <c r="A3715" s="9" t="s">
        <v>3374</v>
      </c>
      <c r="B3715" s="9" t="s">
        <v>1114</v>
      </c>
      <c r="C3715">
        <v>3</v>
      </c>
      <c r="D3715">
        <v>90</v>
      </c>
      <c r="E3715">
        <v>2019</v>
      </c>
      <c r="F3715" s="9" t="s">
        <v>3379</v>
      </c>
      <c r="H3715" s="20" t="str">
        <f t="shared" si="57"/>
        <v>(nextval('obj_part_id_seq'), (select id from obj_building_v where zip||'|'||street||'|'||name||'|'||volume = '4303|Lochmatt|Chlorgasgebäude|45.00'), 'P11', 3, 90, 2019,'Boden: Hartbeton\nWand: Mauerwerk roh\nDecke: roh'),</v>
      </c>
    </row>
    <row r="3716" spans="1:8" x14ac:dyDescent="0.25">
      <c r="A3716" s="9" t="s">
        <v>3374</v>
      </c>
      <c r="B3716" s="9" t="s">
        <v>1116</v>
      </c>
      <c r="C3716">
        <v>0</v>
      </c>
      <c r="D3716">
        <v>90</v>
      </c>
      <c r="E3716">
        <v>2019</v>
      </c>
      <c r="F3716" s="9"/>
      <c r="H3716" s="20" t="str">
        <f t="shared" si="57"/>
        <v>(nextval('obj_part_id_seq'), (select id from obj_building_v where zip||'|'||street||'|'||name||'|'||volume = '4303|Lochmatt|Chlorgasgebäude|45.00'), 'P12', 0, 90, 2019,null),</v>
      </c>
    </row>
    <row r="3717" spans="1:8" x14ac:dyDescent="0.25">
      <c r="A3717" s="9" t="s">
        <v>3380</v>
      </c>
      <c r="B3717" s="9" t="s">
        <v>1127</v>
      </c>
      <c r="C3717">
        <v>37</v>
      </c>
      <c r="D3717">
        <v>90</v>
      </c>
      <c r="E3717">
        <v>2019</v>
      </c>
      <c r="F3717" s="9" t="s">
        <v>3381</v>
      </c>
      <c r="H3717" s="20" t="str">
        <f t="shared" ref="H3717:H3780" si="58">"(nextval('obj_part_id_seq'), (select id from obj_building_v where zip||'|'||street||'|'||name||'|'||volume = '"&amp;A3717&amp;"'), '"&amp;B3717&amp;"', "&amp;C3717&amp;", "&amp;D3717&amp;", "&amp;IF(ISBLANK(E3717),"null",E3717)&amp;","&amp;IF(ISBLANK(F3717),"null","'"&amp;F3717&amp;"'")&amp;"),"</f>
        <v>(nextval('obj_part_id_seq'), (select id from obj_building_v where zip||'|'||street||'|'||name||'|'||volume = '4303|Rinaustrasse 26|Asylbewerberunterkunft|2085.00'), 'P48', 37, 90, 2019,'Stahlkonstruktion, Stahlstützen und Stahlträger'),</v>
      </c>
    </row>
    <row r="3718" spans="1:8" x14ac:dyDescent="0.25">
      <c r="A3718" s="9" t="s">
        <v>3380</v>
      </c>
      <c r="B3718" s="9" t="s">
        <v>1129</v>
      </c>
      <c r="C3718">
        <v>0</v>
      </c>
      <c r="D3718" t="s">
        <v>4080</v>
      </c>
      <c r="E3718">
        <v>2019</v>
      </c>
      <c r="F3718" s="9"/>
      <c r="H3718" s="20" t="str">
        <f t="shared" si="58"/>
        <v>(nextval('obj_part_id_seq'), (select id from obj_building_v where zip||'|'||street||'|'||name||'|'||volume = '4303|Rinaustrasse 26|Asylbewerberunterkunft|2085.00'), 'P49', 0, null, 2019,null),</v>
      </c>
    </row>
    <row r="3719" spans="1:8" x14ac:dyDescent="0.25">
      <c r="A3719" s="9" t="s">
        <v>3380</v>
      </c>
      <c r="B3719" s="9" t="s">
        <v>1097</v>
      </c>
      <c r="C3719">
        <v>8</v>
      </c>
      <c r="D3719">
        <v>90</v>
      </c>
      <c r="E3719">
        <v>2019</v>
      </c>
      <c r="F3719" s="9" t="s">
        <v>1370</v>
      </c>
      <c r="H3719" s="20" t="str">
        <f t="shared" si="58"/>
        <v>(nextval('obj_part_id_seq'), (select id from obj_building_v where zip||'|'||street||'|'||name||'|'||volume = '4303|Rinaustrasse 26|Asylbewerberunterkunft|2085.00'), 'P2', 8, 90, 2019,'Ziegeldach'),</v>
      </c>
    </row>
    <row r="3720" spans="1:8" x14ac:dyDescent="0.25">
      <c r="A3720" s="9" t="s">
        <v>3380</v>
      </c>
      <c r="B3720" s="9" t="s">
        <v>1099</v>
      </c>
      <c r="C3720">
        <v>0</v>
      </c>
      <c r="D3720" t="s">
        <v>4080</v>
      </c>
      <c r="E3720">
        <v>2019</v>
      </c>
      <c r="F3720" s="9"/>
      <c r="H3720" s="20" t="str">
        <f t="shared" si="58"/>
        <v>(nextval('obj_part_id_seq'), (select id from obj_building_v where zip||'|'||street||'|'||name||'|'||volume = '4303|Rinaustrasse 26|Asylbewerberunterkunft|2085.00'), 'P3', 0, null, 2019,null),</v>
      </c>
    </row>
    <row r="3721" spans="1:8" x14ac:dyDescent="0.25">
      <c r="A3721" s="9" t="s">
        <v>3380</v>
      </c>
      <c r="B3721" s="9" t="s">
        <v>1100</v>
      </c>
      <c r="C3721">
        <v>7</v>
      </c>
      <c r="D3721">
        <v>90</v>
      </c>
      <c r="E3721">
        <v>2019</v>
      </c>
      <c r="F3721" s="9" t="s">
        <v>3382</v>
      </c>
      <c r="H3721" s="20" t="str">
        <f t="shared" si="58"/>
        <v>(nextval('obj_part_id_seq'), (select id from obj_building_v where zip||'|'||street||'|'||name||'|'||volume = '4303|Rinaustrasse 26|Asylbewerberunterkunft|2085.00'), 'P4', 7, 90, 2019,'Wellblech, Metallfensterbänke, Laubengang mit Geländer aus Metall'),</v>
      </c>
    </row>
    <row r="3722" spans="1:8" x14ac:dyDescent="0.25">
      <c r="A3722" s="9" t="s">
        <v>3380</v>
      </c>
      <c r="B3722" s="9" t="s">
        <v>1102</v>
      </c>
      <c r="C3722">
        <v>11</v>
      </c>
      <c r="D3722">
        <v>90</v>
      </c>
      <c r="E3722">
        <v>2019</v>
      </c>
      <c r="F3722" s="9" t="s">
        <v>3383</v>
      </c>
      <c r="H3722" s="20" t="str">
        <f t="shared" si="58"/>
        <v>(nextval('obj_part_id_seq'), (select id from obj_building_v where zip||'|'||street||'|'||name||'|'||volume = '4303|Rinaustrasse 26|Asylbewerberunterkunft|2085.00'), 'P5', 11, 90, 2019,'Kunststoff zweifach Verglasung, IV, Aussentüren aus Kunststoff'),</v>
      </c>
    </row>
    <row r="3723" spans="1:8" x14ac:dyDescent="0.25">
      <c r="A3723" s="9" t="s">
        <v>3380</v>
      </c>
      <c r="B3723" s="9" t="s">
        <v>1110</v>
      </c>
      <c r="C3723">
        <v>4</v>
      </c>
      <c r="D3723">
        <v>90</v>
      </c>
      <c r="E3723">
        <v>2019</v>
      </c>
      <c r="F3723" s="9" t="s">
        <v>3384</v>
      </c>
      <c r="H3723" s="20" t="str">
        <f t="shared" si="58"/>
        <v>(nextval('obj_part_id_seq'), (select id from obj_building_v where zip||'|'||street||'|'||name||'|'||volume = '4303|Rinaustrasse 26|Asylbewerberunterkunft|2085.00'), 'P9', 4, 90, 2019,'Sicherungen mit FI-Schutzschaltern, Beleuchtung innen und aussen, Sat-Empfangsanlage'),</v>
      </c>
    </row>
    <row r="3724" spans="1:8" x14ac:dyDescent="0.25">
      <c r="A3724" s="9" t="s">
        <v>3380</v>
      </c>
      <c r="B3724" s="9" t="s">
        <v>1104</v>
      </c>
      <c r="C3724">
        <v>2</v>
      </c>
      <c r="D3724">
        <v>90</v>
      </c>
      <c r="E3724">
        <v>2019</v>
      </c>
      <c r="F3724" s="9" t="s">
        <v>3385</v>
      </c>
      <c r="H3724" s="20" t="str">
        <f t="shared" si="58"/>
        <v>(nextval('obj_part_id_seq'), (select id from obj_building_v where zip||'|'||street||'|'||name||'|'||volume = '4303|Rinaustrasse 26|Asylbewerberunterkunft|2085.00'), 'P6', 2, 90, 2019,'Luft-Wärmepumpe, Warmwasserspeicher'),</v>
      </c>
    </row>
    <row r="3725" spans="1:8" x14ac:dyDescent="0.25">
      <c r="A3725" s="9" t="s">
        <v>3380</v>
      </c>
      <c r="B3725" s="9" t="s">
        <v>1106</v>
      </c>
      <c r="C3725">
        <v>3</v>
      </c>
      <c r="D3725">
        <v>90</v>
      </c>
      <c r="E3725">
        <v>2019</v>
      </c>
      <c r="F3725" s="9" t="s">
        <v>3386</v>
      </c>
      <c r="H3725" s="20" t="str">
        <f t="shared" si="58"/>
        <v>(nextval('obj_part_id_seq'), (select id from obj_building_v where zip||'|'||street||'|'||name||'|'||volume = '4303|Rinaustrasse 26|Asylbewerberunterkunft|2085.00'), 'P7', 3, 90, 2019,'Radiatoren mit Thermostaten, Heizleitungen auf Putz'),</v>
      </c>
    </row>
    <row r="3726" spans="1:8" x14ac:dyDescent="0.25">
      <c r="A3726" s="9" t="s">
        <v>3380</v>
      </c>
      <c r="B3726" s="9" t="s">
        <v>1135</v>
      </c>
      <c r="C3726">
        <v>3</v>
      </c>
      <c r="D3726">
        <v>90</v>
      </c>
      <c r="E3726">
        <v>2019</v>
      </c>
      <c r="F3726" s="9" t="s">
        <v>3387</v>
      </c>
      <c r="H3726" s="20" t="str">
        <f t="shared" si="58"/>
        <v>(nextval('obj_part_id_seq'), (select id from obj_building_v where zip||'|'||street||'|'||name||'|'||volume = '4303|Rinaustrasse 26|Asylbewerberunterkunft|2085.00'), 'P54', 3, 90, 2019,'Waschmaschinen, Wäschetrockner, Apparate und Armaturen zeitgemäss mit Mischventilen'),</v>
      </c>
    </row>
    <row r="3727" spans="1:8" x14ac:dyDescent="0.25">
      <c r="A3727" s="9" t="s">
        <v>3380</v>
      </c>
      <c r="B3727" s="9" t="s">
        <v>1137</v>
      </c>
      <c r="C3727">
        <v>4</v>
      </c>
      <c r="D3727">
        <v>90</v>
      </c>
      <c r="E3727">
        <v>2019</v>
      </c>
      <c r="F3727" s="9" t="s">
        <v>3388</v>
      </c>
      <c r="H3727" s="20" t="str">
        <f t="shared" si="58"/>
        <v>(nextval('obj_part_id_seq'), (select id from obj_building_v where zip||'|'||street||'|'||name||'|'||volume = '4303|Rinaustrasse 26|Asylbewerberunterkunft|2085.00'), 'P55', 4, 90, 2019,'Leitungen aus Chromstahl, genügender Druck vorhanden, kein Rost sichtbar'),</v>
      </c>
    </row>
    <row r="3728" spans="1:8" x14ac:dyDescent="0.25">
      <c r="A3728" s="9" t="s">
        <v>3380</v>
      </c>
      <c r="B3728" s="9" t="s">
        <v>1155</v>
      </c>
      <c r="C3728">
        <v>0</v>
      </c>
      <c r="D3728" t="s">
        <v>4080</v>
      </c>
      <c r="E3728">
        <v>2019</v>
      </c>
      <c r="F3728" s="9"/>
      <c r="H3728" s="20" t="str">
        <f t="shared" si="58"/>
        <v>(nextval('obj_part_id_seq'), (select id from obj_building_v where zip||'|'||street||'|'||name||'|'||volume = '4303|Rinaustrasse 26|Asylbewerberunterkunft|2085.00'), 'P56', 0, null, 2019,null),</v>
      </c>
    </row>
    <row r="3729" spans="1:8" x14ac:dyDescent="0.25">
      <c r="A3729" s="9" t="s">
        <v>3380</v>
      </c>
      <c r="B3729" s="9" t="s">
        <v>1138</v>
      </c>
      <c r="C3729">
        <v>9</v>
      </c>
      <c r="D3729">
        <v>90</v>
      </c>
      <c r="E3729">
        <v>2019</v>
      </c>
      <c r="F3729" s="9" t="s">
        <v>3389</v>
      </c>
      <c r="H3729" s="20" t="str">
        <f t="shared" si="58"/>
        <v>(nextval('obj_part_id_seq'), (select id from obj_building_v where zip||'|'||street||'|'||name||'|'||volume = '4303|Rinaustrasse 26|Asylbewerberunterkunft|2085.00'), 'P57', 9, 90, 2019,'Gipsständerwände, Innentüren aus Holz'),</v>
      </c>
    </row>
    <row r="3730" spans="1:8" x14ac:dyDescent="0.25">
      <c r="A3730" s="9" t="s">
        <v>3380</v>
      </c>
      <c r="B3730" s="9" t="s">
        <v>1140</v>
      </c>
      <c r="C3730">
        <v>8</v>
      </c>
      <c r="D3730">
        <v>85</v>
      </c>
      <c r="E3730">
        <v>2019</v>
      </c>
      <c r="F3730" s="9" t="s">
        <v>3390</v>
      </c>
      <c r="H3730" s="20" t="str">
        <f t="shared" si="58"/>
        <v>(nextval('obj_part_id_seq'), (select id from obj_building_v where zip||'|'||street||'|'||name||'|'||volume = '4303|Rinaustrasse 26|Asylbewerberunterkunft|2085.00'), 'P58', 8, 85, 2019,'Boden: PVC, Linol, Wand:Gips, Holzwerkstoffplatten, Wände: Gips, Keramik, Decken: Gipskartonplatten'),</v>
      </c>
    </row>
    <row r="3731" spans="1:8" x14ac:dyDescent="0.25">
      <c r="A3731" s="9" t="s">
        <v>3380</v>
      </c>
      <c r="B3731" s="9" t="s">
        <v>1157</v>
      </c>
      <c r="C3731">
        <v>4</v>
      </c>
      <c r="D3731">
        <v>85</v>
      </c>
      <c r="E3731">
        <v>2019</v>
      </c>
      <c r="F3731" s="9" t="s">
        <v>3391</v>
      </c>
      <c r="H3731" s="20" t="str">
        <f t="shared" si="58"/>
        <v>(nextval('obj_part_id_seq'), (select id from obj_building_v where zip||'|'||street||'|'||name||'|'||volume = '4303|Rinaustrasse 26|Asylbewerberunterkunft|2085.00'), 'P59', 4, 85, 2019,'Küchen mit Backofen und el. Kochfeldern (keine Keramik), Umluft, Kühlschrank mit Gefrierteil'),</v>
      </c>
    </row>
    <row r="3732" spans="1:8" x14ac:dyDescent="0.25">
      <c r="A3732" s="9" t="s">
        <v>3380</v>
      </c>
      <c r="B3732" s="9" t="s">
        <v>1142</v>
      </c>
      <c r="C3732">
        <v>0</v>
      </c>
      <c r="D3732" t="s">
        <v>4080</v>
      </c>
      <c r="E3732">
        <v>2019</v>
      </c>
      <c r="F3732" s="9"/>
      <c r="H3732" s="20" t="str">
        <f t="shared" si="58"/>
        <v>(nextval('obj_part_id_seq'), (select id from obj_building_v where zip||'|'||street||'|'||name||'|'||volume = '4303|Rinaustrasse 26|Asylbewerberunterkunft|2085.00'), 'P60', 0, null, 2019,null),</v>
      </c>
    </row>
    <row r="3733" spans="1:8" x14ac:dyDescent="0.25">
      <c r="A3733" s="9" t="s">
        <v>3380</v>
      </c>
      <c r="B3733" s="9" t="s">
        <v>1143</v>
      </c>
      <c r="C3733">
        <v>0</v>
      </c>
      <c r="D3733" t="s">
        <v>4080</v>
      </c>
      <c r="E3733">
        <v>2019</v>
      </c>
      <c r="F3733" s="9"/>
      <c r="H3733" s="20" t="str">
        <f t="shared" si="58"/>
        <v>(nextval('obj_part_id_seq'), (select id from obj_building_v where zip||'|'||street||'|'||name||'|'||volume = '4303|Rinaustrasse 26|Asylbewerberunterkunft|2085.00'), 'P61', 0, null, 2019,null),</v>
      </c>
    </row>
    <row r="3734" spans="1:8" x14ac:dyDescent="0.25">
      <c r="A3734" s="9" t="s">
        <v>3380</v>
      </c>
      <c r="B3734" s="9" t="s">
        <v>1144</v>
      </c>
      <c r="C3734">
        <v>0</v>
      </c>
      <c r="D3734" t="s">
        <v>4080</v>
      </c>
      <c r="E3734">
        <v>2019</v>
      </c>
      <c r="F3734" s="9"/>
      <c r="H3734" s="20" t="str">
        <f t="shared" si="58"/>
        <v>(nextval('obj_part_id_seq'), (select id from obj_building_v where zip||'|'||street||'|'||name||'|'||volume = '4303|Rinaustrasse 26|Asylbewerberunterkunft|2085.00'), 'P62', 0, null, 2019,null),</v>
      </c>
    </row>
    <row r="3735" spans="1:8" x14ac:dyDescent="0.25">
      <c r="A3735" s="9" t="s">
        <v>3392</v>
      </c>
      <c r="B3735" s="9" t="s">
        <v>1127</v>
      </c>
      <c r="C3735">
        <v>35</v>
      </c>
      <c r="D3735">
        <v>40</v>
      </c>
      <c r="E3735">
        <v>2019</v>
      </c>
      <c r="F3735" s="9" t="s">
        <v>3393</v>
      </c>
      <c r="H3735" s="20" t="str">
        <f t="shared" si="58"/>
        <v>(nextval('obj_part_id_seq'), (select id from obj_building_v where zip||'|'||street||'|'||name||'|'||volume = '4303|Rinaustrasse 28|Asylbewerberunterkunft|407.00'), 'P48', 35, 40, 2019,'Container aus Holz mit Holzanbau: Holz ist morsch'),</v>
      </c>
    </row>
    <row r="3736" spans="1:8" x14ac:dyDescent="0.25">
      <c r="A3736" s="9" t="s">
        <v>3392</v>
      </c>
      <c r="B3736" s="9" t="s">
        <v>1129</v>
      </c>
      <c r="C3736">
        <v>0</v>
      </c>
      <c r="D3736" t="s">
        <v>4080</v>
      </c>
      <c r="E3736">
        <v>2019</v>
      </c>
      <c r="F3736" s="9"/>
      <c r="H3736" s="20" t="str">
        <f t="shared" si="58"/>
        <v>(nextval('obj_part_id_seq'), (select id from obj_building_v where zip||'|'||street||'|'||name||'|'||volume = '4303|Rinaustrasse 28|Asylbewerberunterkunft|407.00'), 'P49', 0, null, 2019,null),</v>
      </c>
    </row>
    <row r="3737" spans="1:8" x14ac:dyDescent="0.25">
      <c r="A3737" s="9" t="s">
        <v>3392</v>
      </c>
      <c r="B3737" s="9" t="s">
        <v>1097</v>
      </c>
      <c r="C3737">
        <v>0</v>
      </c>
      <c r="D3737" t="s">
        <v>4080</v>
      </c>
      <c r="E3737">
        <v>2019</v>
      </c>
      <c r="F3737" s="9"/>
      <c r="H3737" s="20" t="str">
        <f t="shared" si="58"/>
        <v>(nextval('obj_part_id_seq'), (select id from obj_building_v where zip||'|'||street||'|'||name||'|'||volume = '4303|Rinaustrasse 28|Asylbewerberunterkunft|407.00'), 'P2', 0, null, 2019,null),</v>
      </c>
    </row>
    <row r="3738" spans="1:8" x14ac:dyDescent="0.25">
      <c r="A3738" s="9" t="s">
        <v>3392</v>
      </c>
      <c r="B3738" s="9" t="s">
        <v>1099</v>
      </c>
      <c r="C3738">
        <v>10</v>
      </c>
      <c r="D3738">
        <v>55</v>
      </c>
      <c r="E3738">
        <v>2019</v>
      </c>
      <c r="F3738" s="9" t="s">
        <v>3394</v>
      </c>
      <c r="H3738" s="20" t="str">
        <f t="shared" si="58"/>
        <v>(nextval('obj_part_id_seq'), (select id from obj_building_v where zip||'|'||street||'|'||name||'|'||volume = '4303|Rinaustrasse 28|Asylbewerberunterkunft|407.00'), 'P3', 10, 55, 2019,'Wellblech, Blech, Sparren aus Holz und Ortbrettter verwittert'),</v>
      </c>
    </row>
    <row r="3739" spans="1:8" x14ac:dyDescent="0.25">
      <c r="A3739" s="9" t="s">
        <v>3392</v>
      </c>
      <c r="B3739" s="9" t="s">
        <v>1100</v>
      </c>
      <c r="C3739">
        <v>7</v>
      </c>
      <c r="D3739">
        <v>45</v>
      </c>
      <c r="E3739">
        <v>2019</v>
      </c>
      <c r="F3739" s="9" t="s">
        <v>3395</v>
      </c>
      <c r="H3739" s="20" t="str">
        <f t="shared" si="58"/>
        <v>(nextval('obj_part_id_seq'), (select id from obj_building_v where zip||'|'||street||'|'||name||'|'||volume = '4303|Rinaustrasse 28|Asylbewerberunterkunft|407.00'), 'P4', 7, 45, 2019,'Holz, verwittert und morsch'),</v>
      </c>
    </row>
    <row r="3740" spans="1:8" x14ac:dyDescent="0.25">
      <c r="A3740" s="9" t="s">
        <v>3392</v>
      </c>
      <c r="B3740" s="9" t="s">
        <v>1102</v>
      </c>
      <c r="C3740">
        <v>11</v>
      </c>
      <c r="D3740">
        <v>50</v>
      </c>
      <c r="E3740">
        <v>2019</v>
      </c>
      <c r="F3740" s="9" t="s">
        <v>3396</v>
      </c>
      <c r="H3740" s="20" t="str">
        <f t="shared" si="58"/>
        <v>(nextval('obj_part_id_seq'), (select id from obj_building_v where zip||'|'||street||'|'||name||'|'||volume = '4303|Rinaustrasse 28|Asylbewerberunterkunft|407.00'), 'P5', 11, 50, 2019,'Holzfenster, IV, Storen nicht funktionierend, Tür: Holz und Metall (rückwertige Tür)'),</v>
      </c>
    </row>
    <row r="3741" spans="1:8" x14ac:dyDescent="0.25">
      <c r="A3741" s="9" t="s">
        <v>3392</v>
      </c>
      <c r="B3741" s="9" t="s">
        <v>1110</v>
      </c>
      <c r="C3741">
        <v>4</v>
      </c>
      <c r="D3741">
        <v>80</v>
      </c>
      <c r="E3741">
        <v>2019</v>
      </c>
      <c r="F3741" s="9" t="s">
        <v>3397</v>
      </c>
      <c r="H3741" s="20" t="str">
        <f t="shared" si="58"/>
        <v>(nextval('obj_part_id_seq'), (select id from obj_building_v where zip||'|'||street||'|'||name||'|'||volume = '4303|Rinaustrasse 28|Asylbewerberunterkunft|407.00'), 'P9', 4, 80, 2019,'Steckdosen und Leitungen auf Putz, Beleuchtung innen, einzelne Brandmelder'),</v>
      </c>
    </row>
    <row r="3742" spans="1:8" x14ac:dyDescent="0.25">
      <c r="A3742" s="9" t="s">
        <v>3392</v>
      </c>
      <c r="B3742" s="9" t="s">
        <v>1104</v>
      </c>
      <c r="C3742">
        <v>2</v>
      </c>
      <c r="D3742">
        <v>60</v>
      </c>
      <c r="E3742">
        <v>2019</v>
      </c>
      <c r="F3742" s="9" t="s">
        <v>3398</v>
      </c>
      <c r="H3742" s="20" t="str">
        <f t="shared" si="58"/>
        <v>(nextval('obj_part_id_seq'), (select id from obj_building_v where zip||'|'||street||'|'||name||'|'||volume = '4303|Rinaustrasse 28|Asylbewerberunterkunft|407.00'), 'P6', 2, 60, 2019,'El. Heizkörper (Radiatoren), alt'),</v>
      </c>
    </row>
    <row r="3743" spans="1:8" x14ac:dyDescent="0.25">
      <c r="A3743" s="9" t="s">
        <v>3392</v>
      </c>
      <c r="B3743" s="9" t="s">
        <v>1106</v>
      </c>
      <c r="C3743">
        <v>3</v>
      </c>
      <c r="D3743">
        <v>60</v>
      </c>
      <c r="E3743">
        <v>2019</v>
      </c>
      <c r="F3743" s="9" t="s">
        <v>3398</v>
      </c>
      <c r="H3743" s="20" t="str">
        <f t="shared" si="58"/>
        <v>(nextval('obj_part_id_seq'), (select id from obj_building_v where zip||'|'||street||'|'||name||'|'||volume = '4303|Rinaustrasse 28|Asylbewerberunterkunft|407.00'), 'P7', 3, 60, 2019,'El. Heizkörper (Radiatoren), alt'),</v>
      </c>
    </row>
    <row r="3744" spans="1:8" x14ac:dyDescent="0.25">
      <c r="A3744" s="9" t="s">
        <v>3392</v>
      </c>
      <c r="B3744" s="9" t="s">
        <v>1135</v>
      </c>
      <c r="C3744">
        <v>3</v>
      </c>
      <c r="D3744">
        <v>50</v>
      </c>
      <c r="E3744">
        <v>2019</v>
      </c>
      <c r="F3744" s="9" t="s">
        <v>3399</v>
      </c>
      <c r="H3744" s="20" t="str">
        <f t="shared" si="58"/>
        <v>(nextval('obj_part_id_seq'), (select id from obj_building_v where zip||'|'||street||'|'||name||'|'||volume = '4303|Rinaustrasse 28|Asylbewerberunterkunft|407.00'), 'P54', 3, 50, 2019,'Keine Mischvent. vorh., Waschmaschinen und Wäschetrockner, mobile Duschkabinen, alt'),</v>
      </c>
    </row>
    <row r="3745" spans="1:8" x14ac:dyDescent="0.25">
      <c r="A3745" s="9" t="s">
        <v>3392</v>
      </c>
      <c r="B3745" s="9" t="s">
        <v>1137</v>
      </c>
      <c r="C3745">
        <v>4</v>
      </c>
      <c r="D3745">
        <v>60</v>
      </c>
      <c r="E3745">
        <v>2019</v>
      </c>
      <c r="F3745" s="9" t="s">
        <v>3400</v>
      </c>
      <c r="H3745" s="20" t="str">
        <f t="shared" si="58"/>
        <v>(nextval('obj_part_id_seq'), (select id from obj_building_v where zip||'|'||street||'|'||name||'|'||volume = '4303|Rinaustrasse 28|Asylbewerberunterkunft|407.00'), 'P55', 4, 60, 2019,'Leitungen alt, jedoch mit genügendem Druck'),</v>
      </c>
    </row>
    <row r="3746" spans="1:8" x14ac:dyDescent="0.25">
      <c r="A3746" s="9" t="s">
        <v>3392</v>
      </c>
      <c r="B3746" s="9" t="s">
        <v>1155</v>
      </c>
      <c r="C3746">
        <v>0</v>
      </c>
      <c r="D3746" t="s">
        <v>4080</v>
      </c>
      <c r="E3746">
        <v>2019</v>
      </c>
      <c r="F3746" s="9"/>
      <c r="H3746" s="20" t="str">
        <f t="shared" si="58"/>
        <v>(nextval('obj_part_id_seq'), (select id from obj_building_v where zip||'|'||street||'|'||name||'|'||volume = '4303|Rinaustrasse 28|Asylbewerberunterkunft|407.00'), 'P56', 0, null, 2019,null),</v>
      </c>
    </row>
    <row r="3747" spans="1:8" x14ac:dyDescent="0.25">
      <c r="A3747" s="9" t="s">
        <v>3392</v>
      </c>
      <c r="B3747" s="9" t="s">
        <v>1138</v>
      </c>
      <c r="C3747">
        <v>9</v>
      </c>
      <c r="D3747">
        <v>50</v>
      </c>
      <c r="E3747">
        <v>2019</v>
      </c>
      <c r="F3747" s="9" t="s">
        <v>3401</v>
      </c>
      <c r="H3747" s="20" t="str">
        <f t="shared" si="58"/>
        <v>(nextval('obj_part_id_seq'), (select id from obj_building_v where zip||'|'||street||'|'||name||'|'||volume = '4303|Rinaustrasse 28|Asylbewerberunterkunft|407.00'), 'P57', 9, 50, 2019,'Innenwände und -türen aus Holz, abgenutzt'),</v>
      </c>
    </row>
    <row r="3748" spans="1:8" x14ac:dyDescent="0.25">
      <c r="A3748" s="9" t="s">
        <v>3392</v>
      </c>
      <c r="B3748" s="9" t="s">
        <v>1140</v>
      </c>
      <c r="C3748">
        <v>8</v>
      </c>
      <c r="D3748">
        <v>60</v>
      </c>
      <c r="E3748">
        <v>2019</v>
      </c>
      <c r="F3748" s="9" t="s">
        <v>3402</v>
      </c>
      <c r="H3748" s="20" t="str">
        <f t="shared" si="58"/>
        <v>(nextval('obj_part_id_seq'), (select id from obj_building_v where zip||'|'||street||'|'||name||'|'||volume = '4303|Rinaustrasse 28|Asylbewerberunterkunft|407.00'), 'P58', 8, 60, 2019,'Boden: PVC, abgenutzt, Wände und Decken: Gipskartonplatten, tw. defekt'),</v>
      </c>
    </row>
    <row r="3749" spans="1:8" x14ac:dyDescent="0.25">
      <c r="A3749" s="9" t="s">
        <v>3392</v>
      </c>
      <c r="B3749" s="9" t="s">
        <v>1157</v>
      </c>
      <c r="C3749">
        <v>4</v>
      </c>
      <c r="D3749">
        <v>40</v>
      </c>
      <c r="E3749">
        <v>2019</v>
      </c>
      <c r="F3749" s="9" t="s">
        <v>3403</v>
      </c>
      <c r="H3749" s="20" t="str">
        <f t="shared" si="58"/>
        <v>(nextval('obj_part_id_seq'), (select id from obj_building_v where zip||'|'||street||'|'||name||'|'||volume = '4303|Rinaustrasse 28|Asylbewerberunterkunft|407.00'), 'P59', 4, 40, 2019,'Kühlschrank und Herd nicht fest eingebaut, Chromstahlabdeckung und -becken, alte Küchenmöbel, Abluft zu Fassade'),</v>
      </c>
    </row>
    <row r="3750" spans="1:8" x14ac:dyDescent="0.25">
      <c r="A3750" s="9" t="s">
        <v>3392</v>
      </c>
      <c r="B3750" s="9" t="s">
        <v>1142</v>
      </c>
      <c r="C3750">
        <v>0</v>
      </c>
      <c r="D3750" t="s">
        <v>4080</v>
      </c>
      <c r="E3750">
        <v>2019</v>
      </c>
      <c r="F3750" s="9"/>
      <c r="H3750" s="20" t="str">
        <f t="shared" si="58"/>
        <v>(nextval('obj_part_id_seq'), (select id from obj_building_v where zip||'|'||street||'|'||name||'|'||volume = '4303|Rinaustrasse 28|Asylbewerberunterkunft|407.00'), 'P60', 0, null, 2019,null),</v>
      </c>
    </row>
    <row r="3751" spans="1:8" x14ac:dyDescent="0.25">
      <c r="A3751" s="9" t="s">
        <v>3392</v>
      </c>
      <c r="B3751" s="9" t="s">
        <v>1143</v>
      </c>
      <c r="C3751">
        <v>0</v>
      </c>
      <c r="D3751" t="s">
        <v>4080</v>
      </c>
      <c r="E3751">
        <v>2019</v>
      </c>
      <c r="F3751" s="9"/>
      <c r="H3751" s="20" t="str">
        <f t="shared" si="58"/>
        <v>(nextval('obj_part_id_seq'), (select id from obj_building_v where zip||'|'||street||'|'||name||'|'||volume = '4303|Rinaustrasse 28|Asylbewerberunterkunft|407.00'), 'P61', 0, null, 2019,null),</v>
      </c>
    </row>
    <row r="3752" spans="1:8" x14ac:dyDescent="0.25">
      <c r="A3752" s="9" t="s">
        <v>3392</v>
      </c>
      <c r="B3752" s="9" t="s">
        <v>1144</v>
      </c>
      <c r="C3752">
        <v>0</v>
      </c>
      <c r="D3752" t="s">
        <v>4080</v>
      </c>
      <c r="E3752">
        <v>2019</v>
      </c>
      <c r="F3752" s="9"/>
      <c r="H3752" s="20" t="str">
        <f t="shared" si="58"/>
        <v>(nextval('obj_part_id_seq'), (select id from obj_building_v where zip||'|'||street||'|'||name||'|'||volume = '4303|Rinaustrasse 28|Asylbewerberunterkunft|407.00'), 'P62', 0, null, 2019,null),</v>
      </c>
    </row>
    <row r="3753" spans="1:8" x14ac:dyDescent="0.25">
      <c r="A3753" s="9" t="s">
        <v>3404</v>
      </c>
      <c r="B3753" s="9" t="s">
        <v>1127</v>
      </c>
      <c r="C3753">
        <v>37</v>
      </c>
      <c r="D3753">
        <v>80</v>
      </c>
      <c r="E3753">
        <v>2019</v>
      </c>
      <c r="F3753" s="9" t="s">
        <v>3405</v>
      </c>
      <c r="H3753" s="20" t="str">
        <f t="shared" si="58"/>
        <v>(nextval('obj_part_id_seq'), (select id from obj_building_v where zip||'|'||street||'|'||name||'|'||volume = '4303|Allmendgasse 13|Wohnhaus|820.00'), 'P48', 37, 80, 2019,'Mauerwerk, Hourdisdecke über Keller, Holzanbau, Naturkeller'),</v>
      </c>
    </row>
    <row r="3754" spans="1:8" x14ac:dyDescent="0.25">
      <c r="A3754" s="9" t="s">
        <v>3404</v>
      </c>
      <c r="B3754" s="9" t="s">
        <v>1129</v>
      </c>
      <c r="C3754">
        <v>0</v>
      </c>
      <c r="D3754" t="s">
        <v>4080</v>
      </c>
      <c r="E3754">
        <v>2019</v>
      </c>
      <c r="F3754" s="9"/>
      <c r="H3754" s="20" t="str">
        <f t="shared" si="58"/>
        <v>(nextval('obj_part_id_seq'), (select id from obj_building_v where zip||'|'||street||'|'||name||'|'||volume = '4303|Allmendgasse 13|Wohnhaus|820.00'), 'P49', 0, null, 2019,null),</v>
      </c>
    </row>
    <row r="3755" spans="1:8" x14ac:dyDescent="0.25">
      <c r="A3755" s="9" t="s">
        <v>3404</v>
      </c>
      <c r="B3755" s="9" t="s">
        <v>1097</v>
      </c>
      <c r="C3755">
        <v>8</v>
      </c>
      <c r="D3755">
        <v>85</v>
      </c>
      <c r="E3755">
        <v>2019</v>
      </c>
      <c r="F3755" s="9" t="s">
        <v>3406</v>
      </c>
      <c r="H3755" s="20" t="str">
        <f t="shared" si="58"/>
        <v>(nextval('obj_part_id_seq'), (select id from obj_building_v where zip||'|'||street||'|'||name||'|'||volume = '4303|Allmendgasse 13|Wohnhaus|820.00'), 'P2', 8, 85, 2019,'Falzziegeldach, Lukarnen und Dachflächenfenster, Unterdach aus Holzwerkstoffplatten'),</v>
      </c>
    </row>
    <row r="3756" spans="1:8" x14ac:dyDescent="0.25">
      <c r="A3756" s="9" t="s">
        <v>3404</v>
      </c>
      <c r="B3756" s="9" t="s">
        <v>1099</v>
      </c>
      <c r="C3756">
        <v>0</v>
      </c>
      <c r="D3756" t="s">
        <v>4080</v>
      </c>
      <c r="E3756">
        <v>2019</v>
      </c>
      <c r="F3756" s="9"/>
      <c r="H3756" s="20" t="str">
        <f t="shared" si="58"/>
        <v>(nextval('obj_part_id_seq'), (select id from obj_building_v where zip||'|'||street||'|'||name||'|'||volume = '4303|Allmendgasse 13|Wohnhaus|820.00'), 'P3', 0, null, 2019,null),</v>
      </c>
    </row>
    <row r="3757" spans="1:8" x14ac:dyDescent="0.25">
      <c r="A3757" s="9" t="s">
        <v>3404</v>
      </c>
      <c r="B3757" s="9" t="s">
        <v>1100</v>
      </c>
      <c r="C3757">
        <v>7</v>
      </c>
      <c r="D3757">
        <v>80</v>
      </c>
      <c r="E3757">
        <v>2019</v>
      </c>
      <c r="F3757" s="9" t="s">
        <v>3407</v>
      </c>
      <c r="H3757" s="20" t="str">
        <f t="shared" si="58"/>
        <v>(nextval('obj_part_id_seq'), (select id from obj_building_v where zip||'|'||street||'|'||name||'|'||volume = '4303|Allmendgasse 13|Wohnhaus|820.00'), 'P4', 7, 80, 2019,'Mauerwerk, verputzt, im Sockel und der Stirnfassade: Risse vorh., beim Anbau unisol. Fassade aus Holz'),</v>
      </c>
    </row>
    <row r="3758" spans="1:8" x14ac:dyDescent="0.25">
      <c r="A3758" s="9" t="s">
        <v>3404</v>
      </c>
      <c r="B3758" s="9" t="s">
        <v>1102</v>
      </c>
      <c r="C3758">
        <v>11</v>
      </c>
      <c r="D3758">
        <v>60</v>
      </c>
      <c r="E3758">
        <v>2019</v>
      </c>
      <c r="F3758" s="9" t="s">
        <v>3408</v>
      </c>
      <c r="H3758" s="20" t="str">
        <f t="shared" si="58"/>
        <v>(nextval('obj_part_id_seq'), (select id from obj_building_v where zip||'|'||street||'|'||name||'|'||volume = '4303|Allmendgasse 13|Wohnhaus|820.00'), 'P5', 11, 60, 2019,'Holzfenster mit Holzläden, verwittert, Aussentüren aus Holz'),</v>
      </c>
    </row>
    <row r="3759" spans="1:8" x14ac:dyDescent="0.25">
      <c r="A3759" s="9" t="s">
        <v>3404</v>
      </c>
      <c r="B3759" s="9" t="s">
        <v>1110</v>
      </c>
      <c r="C3759">
        <v>4</v>
      </c>
      <c r="D3759">
        <v>70</v>
      </c>
      <c r="E3759">
        <v>2019</v>
      </c>
      <c r="F3759" s="9" t="s">
        <v>3409</v>
      </c>
      <c r="H3759" s="20" t="str">
        <f t="shared" si="58"/>
        <v>(nextval('obj_part_id_seq'), (select id from obj_building_v where zip||'|'||street||'|'||name||'|'||volume = '4303|Allmendgasse 13|Wohnhaus|820.00'), 'P9', 4, 70, 2019,'Alte Keramiksicherungen in Elektrotableau, vermutlich mit Asbestgrundplatte'),</v>
      </c>
    </row>
    <row r="3760" spans="1:8" x14ac:dyDescent="0.25">
      <c r="A3760" s="9" t="s">
        <v>3404</v>
      </c>
      <c r="B3760" s="9" t="s">
        <v>1104</v>
      </c>
      <c r="C3760">
        <v>2</v>
      </c>
      <c r="D3760">
        <v>80</v>
      </c>
      <c r="E3760">
        <v>2019</v>
      </c>
      <c r="F3760" s="9" t="s">
        <v>3410</v>
      </c>
      <c r="H3760" s="20" t="str">
        <f t="shared" si="58"/>
        <v>(nextval('obj_part_id_seq'), (select id from obj_building_v where zip||'|'||street||'|'||name||'|'||volume = '4303|Allmendgasse 13|Wohnhaus|820.00'), 'P6', 2, 80, 2019,'Holzheizung, Elektr. Durchlauferhitzer'),</v>
      </c>
    </row>
    <row r="3761" spans="1:8" x14ac:dyDescent="0.25">
      <c r="A3761" s="9" t="s">
        <v>3404</v>
      </c>
      <c r="B3761" s="9" t="s">
        <v>1106</v>
      </c>
      <c r="C3761">
        <v>3</v>
      </c>
      <c r="D3761">
        <v>80</v>
      </c>
      <c r="E3761">
        <v>2019</v>
      </c>
      <c r="F3761" s="9" t="s">
        <v>3411</v>
      </c>
      <c r="H3761" s="20" t="str">
        <f t="shared" si="58"/>
        <v>(nextval('obj_part_id_seq'), (select id from obj_building_v where zip||'|'||street||'|'||name||'|'||volume = '4303|Allmendgasse 13|Wohnhaus|820.00'), 'P7', 3, 80, 2019,'Elektr.-Heizungen'),</v>
      </c>
    </row>
    <row r="3762" spans="1:8" x14ac:dyDescent="0.25">
      <c r="A3762" s="9" t="s">
        <v>3404</v>
      </c>
      <c r="B3762" s="9" t="s">
        <v>1135</v>
      </c>
      <c r="C3762">
        <v>3</v>
      </c>
      <c r="D3762">
        <v>80</v>
      </c>
      <c r="E3762">
        <v>2019</v>
      </c>
      <c r="F3762" s="9" t="s">
        <v>3412</v>
      </c>
      <c r="H3762" s="20" t="str">
        <f t="shared" si="58"/>
        <v>(nextval('obj_part_id_seq'), (select id from obj_building_v where zip||'|'||street||'|'||name||'|'||volume = '4303|Allmendgasse 13|Wohnhaus|820.00'), 'P54', 3, 80, 2019,'alte App., Waschmaschine, Gasherd'),</v>
      </c>
    </row>
    <row r="3763" spans="1:8" x14ac:dyDescent="0.25">
      <c r="A3763" s="9" t="s">
        <v>3404</v>
      </c>
      <c r="B3763" s="9" t="s">
        <v>1137</v>
      </c>
      <c r="C3763">
        <v>4</v>
      </c>
      <c r="D3763">
        <v>70</v>
      </c>
      <c r="E3763">
        <v>2019</v>
      </c>
      <c r="F3763" s="9" t="s">
        <v>3413</v>
      </c>
      <c r="H3763" s="20" t="str">
        <f t="shared" si="58"/>
        <v>(nextval('obj_part_id_seq'), (select id from obj_building_v where zip||'|'||street||'|'||name||'|'||volume = '4303|Allmendgasse 13|Wohnhaus|820.00'), 'P55', 4, 70, 2019,'Leitungen mangelhaft (gemäss Herr Lüthi)'),</v>
      </c>
    </row>
    <row r="3764" spans="1:8" x14ac:dyDescent="0.25">
      <c r="A3764" s="9" t="s">
        <v>3404</v>
      </c>
      <c r="B3764" s="9" t="s">
        <v>1155</v>
      </c>
      <c r="C3764">
        <v>0</v>
      </c>
      <c r="D3764" t="s">
        <v>4080</v>
      </c>
      <c r="E3764">
        <v>2019</v>
      </c>
      <c r="F3764" s="9"/>
      <c r="H3764" s="20" t="str">
        <f t="shared" si="58"/>
        <v>(nextval('obj_part_id_seq'), (select id from obj_building_v where zip||'|'||street||'|'||name||'|'||volume = '4303|Allmendgasse 13|Wohnhaus|820.00'), 'P56', 0, null, 2019,null),</v>
      </c>
    </row>
    <row r="3765" spans="1:8" x14ac:dyDescent="0.25">
      <c r="A3765" s="9" t="s">
        <v>3404</v>
      </c>
      <c r="B3765" s="9" t="s">
        <v>1138</v>
      </c>
      <c r="C3765">
        <v>9</v>
      </c>
      <c r="D3765">
        <v>70</v>
      </c>
      <c r="E3765">
        <v>2019</v>
      </c>
      <c r="F3765" s="9" t="s">
        <v>3414</v>
      </c>
      <c r="H3765" s="20" t="str">
        <f t="shared" si="58"/>
        <v>(nextval('obj_part_id_seq'), (select id from obj_building_v where zip||'|'||street||'|'||name||'|'||volume = '4303|Allmendgasse 13|Wohnhaus|820.00'), 'P57', 9, 70, 2019,'Holztäfer, Innentüren aus Holz'),</v>
      </c>
    </row>
    <row r="3766" spans="1:8" x14ac:dyDescent="0.25">
      <c r="A3766" s="9" t="s">
        <v>3404</v>
      </c>
      <c r="B3766" s="9" t="s">
        <v>1140</v>
      </c>
      <c r="C3766">
        <v>8</v>
      </c>
      <c r="D3766">
        <v>70</v>
      </c>
      <c r="E3766">
        <v>2019</v>
      </c>
      <c r="F3766" s="9" t="s">
        <v>3415</v>
      </c>
      <c r="H3766" s="20" t="str">
        <f t="shared" si="58"/>
        <v>(nextval('obj_part_id_seq'), (select id from obj_building_v where zip||'|'||street||'|'||name||'|'||volume = '4303|Allmendgasse 13|Wohnhaus|820.00'), 'P58', 8, 70, 2019,'Boden: Laminat, PVC, Teppich. Wand: Tapeten, Täfer. Decke: Holztäfer'),</v>
      </c>
    </row>
    <row r="3767" spans="1:8" x14ac:dyDescent="0.25">
      <c r="A3767" s="9" t="s">
        <v>3404</v>
      </c>
      <c r="B3767" s="9" t="s">
        <v>1157</v>
      </c>
      <c r="C3767">
        <v>4</v>
      </c>
      <c r="D3767">
        <v>70</v>
      </c>
      <c r="E3767">
        <v>2019</v>
      </c>
      <c r="F3767" s="9" t="s">
        <v>3416</v>
      </c>
      <c r="H3767" s="20" t="str">
        <f t="shared" si="58"/>
        <v>(nextval('obj_part_id_seq'), (select id from obj_building_v where zip||'|'||street||'|'||name||'|'||volume = '4303|Allmendgasse 13|Wohnhaus|820.00'), 'P59', 4, 70, 2019,'Alte Einbauküche mit Gas- und Holzherd'),</v>
      </c>
    </row>
    <row r="3768" spans="1:8" x14ac:dyDescent="0.25">
      <c r="A3768" s="9" t="s">
        <v>3404</v>
      </c>
      <c r="B3768" s="9" t="s">
        <v>1142</v>
      </c>
      <c r="C3768">
        <v>0</v>
      </c>
      <c r="D3768" t="s">
        <v>4080</v>
      </c>
      <c r="E3768">
        <v>2019</v>
      </c>
      <c r="F3768" s="9"/>
      <c r="H3768" s="20" t="str">
        <f t="shared" si="58"/>
        <v>(nextval('obj_part_id_seq'), (select id from obj_building_v where zip||'|'||street||'|'||name||'|'||volume = '4303|Allmendgasse 13|Wohnhaus|820.00'), 'P60', 0, null, 2019,null),</v>
      </c>
    </row>
    <row r="3769" spans="1:8" x14ac:dyDescent="0.25">
      <c r="A3769" s="9" t="s">
        <v>3404</v>
      </c>
      <c r="B3769" s="9" t="s">
        <v>1143</v>
      </c>
      <c r="C3769">
        <v>0</v>
      </c>
      <c r="D3769" t="s">
        <v>4080</v>
      </c>
      <c r="E3769">
        <v>2019</v>
      </c>
      <c r="F3769" s="9"/>
      <c r="H3769" s="20" t="str">
        <f t="shared" si="58"/>
        <v>(nextval('obj_part_id_seq'), (select id from obj_building_v where zip||'|'||street||'|'||name||'|'||volume = '4303|Allmendgasse 13|Wohnhaus|820.00'), 'P61', 0, null, 2019,null),</v>
      </c>
    </row>
    <row r="3770" spans="1:8" x14ac:dyDescent="0.25">
      <c r="A3770" s="9" t="s">
        <v>3404</v>
      </c>
      <c r="B3770" s="9" t="s">
        <v>1144</v>
      </c>
      <c r="C3770">
        <v>0</v>
      </c>
      <c r="D3770" t="s">
        <v>4080</v>
      </c>
      <c r="E3770">
        <v>2019</v>
      </c>
      <c r="F3770" s="9"/>
      <c r="H3770" s="20" t="str">
        <f t="shared" si="58"/>
        <v>(nextval('obj_part_id_seq'), (select id from obj_building_v where zip||'|'||street||'|'||name||'|'||volume = '4303|Allmendgasse 13|Wohnhaus|820.00'), 'P62', 0, null, 2019,null),</v>
      </c>
    </row>
    <row r="3771" spans="1:8" x14ac:dyDescent="0.25">
      <c r="A3771" s="9" t="s">
        <v>3417</v>
      </c>
      <c r="B3771" s="9" t="s">
        <v>1095</v>
      </c>
      <c r="C3771">
        <v>39</v>
      </c>
      <c r="D3771">
        <v>80</v>
      </c>
      <c r="E3771">
        <v>2019</v>
      </c>
      <c r="F3771" s="9" t="s">
        <v>3418</v>
      </c>
      <c r="H3771" s="20" t="str">
        <f t="shared" si="58"/>
        <v>(nextval('obj_part_id_seq'), (select id from obj_building_v where zip||'|'||street||'|'||name||'|'||volume = '4303|Kirchgasse 21|Lötscher-Scheune|1600.00'), 'P1', 39, 80, 2019,'Mauerwerk, Holz'),</v>
      </c>
    </row>
    <row r="3772" spans="1:8" x14ac:dyDescent="0.25">
      <c r="A3772" s="9" t="s">
        <v>3417</v>
      </c>
      <c r="B3772" s="9" t="s">
        <v>1097</v>
      </c>
      <c r="C3772">
        <v>23</v>
      </c>
      <c r="D3772">
        <v>85</v>
      </c>
      <c r="E3772">
        <v>2019</v>
      </c>
      <c r="F3772" s="9" t="s">
        <v>3419</v>
      </c>
      <c r="H3772" s="20" t="str">
        <f t="shared" si="58"/>
        <v>(nextval('obj_part_id_seq'), (select id from obj_building_v where zip||'|'||street||'|'||name||'|'||volume = '4303|Kirchgasse 21|Lötscher-Scheune|1600.00'), 'P2', 23, 85, 2019,'Ziegel ohne Unterdach'),</v>
      </c>
    </row>
    <row r="3773" spans="1:8" x14ac:dyDescent="0.25">
      <c r="A3773" s="9" t="s">
        <v>3417</v>
      </c>
      <c r="B3773" s="9" t="s">
        <v>1099</v>
      </c>
      <c r="C3773">
        <v>0</v>
      </c>
      <c r="D3773" t="s">
        <v>4080</v>
      </c>
      <c r="E3773">
        <v>2019</v>
      </c>
      <c r="F3773" s="9"/>
      <c r="H3773" s="20" t="str">
        <f t="shared" si="58"/>
        <v>(nextval('obj_part_id_seq'), (select id from obj_building_v where zip||'|'||street||'|'||name||'|'||volume = '4303|Kirchgasse 21|Lötscher-Scheune|1600.00'), 'P3', 0, null, 2019,null),</v>
      </c>
    </row>
    <row r="3774" spans="1:8" x14ac:dyDescent="0.25">
      <c r="A3774" s="9" t="s">
        <v>3417</v>
      </c>
      <c r="B3774" s="9" t="s">
        <v>1100</v>
      </c>
      <c r="C3774">
        <v>18</v>
      </c>
      <c r="D3774">
        <v>70</v>
      </c>
      <c r="E3774">
        <v>2019</v>
      </c>
      <c r="F3774" s="9" t="s">
        <v>3420</v>
      </c>
      <c r="H3774" s="20" t="str">
        <f t="shared" si="58"/>
        <v>(nextval('obj_part_id_seq'), (select id from obj_building_v where zip||'|'||street||'|'||name||'|'||volume = '4303|Kirchgasse 21|Lötscher-Scheune|1600.00'), 'P4', 18, 70, 2019,'Mauerwerk, verputzt, tw. Klinker, Holz, Betonsockel'),</v>
      </c>
    </row>
    <row r="3775" spans="1:8" x14ac:dyDescent="0.25">
      <c r="A3775" s="9" t="s">
        <v>3417</v>
      </c>
      <c r="B3775" s="9" t="s">
        <v>1102</v>
      </c>
      <c r="C3775">
        <v>5</v>
      </c>
      <c r="D3775">
        <v>60</v>
      </c>
      <c r="E3775">
        <v>2019</v>
      </c>
      <c r="F3775" s="9" t="s">
        <v>3421</v>
      </c>
      <c r="H3775" s="20" t="str">
        <f t="shared" si="58"/>
        <v>(nextval('obj_part_id_seq'), (select id from obj_building_v where zip||'|'||street||'|'||name||'|'||volume = '4303|Kirchgasse 21|Lötscher-Scheune|1600.00'), 'P5', 5, 60, 2019,'Türen, Tore und Fenster aus Holz'),</v>
      </c>
    </row>
    <row r="3776" spans="1:8" x14ac:dyDescent="0.25">
      <c r="A3776" s="9" t="s">
        <v>3417</v>
      </c>
      <c r="B3776" s="9" t="s">
        <v>1104</v>
      </c>
      <c r="C3776">
        <v>0</v>
      </c>
      <c r="D3776" t="s">
        <v>4080</v>
      </c>
      <c r="E3776">
        <v>2019</v>
      </c>
      <c r="F3776" s="9"/>
      <c r="H3776" s="20" t="str">
        <f t="shared" si="58"/>
        <v>(nextval('obj_part_id_seq'), (select id from obj_building_v where zip||'|'||street||'|'||name||'|'||volume = '4303|Kirchgasse 21|Lötscher-Scheune|1600.00'), 'P6', 0, null, 2019,null),</v>
      </c>
    </row>
    <row r="3777" spans="1:8" x14ac:dyDescent="0.25">
      <c r="A3777" s="9" t="s">
        <v>3417</v>
      </c>
      <c r="B3777" s="9" t="s">
        <v>1106</v>
      </c>
      <c r="C3777">
        <v>0</v>
      </c>
      <c r="D3777" t="s">
        <v>4080</v>
      </c>
      <c r="E3777">
        <v>2019</v>
      </c>
      <c r="F3777" s="9"/>
      <c r="H3777" s="20" t="str">
        <f t="shared" si="58"/>
        <v>(nextval('obj_part_id_seq'), (select id from obj_building_v where zip||'|'||street||'|'||name||'|'||volume = '4303|Kirchgasse 21|Lötscher-Scheune|1600.00'), 'P7', 0, null, 2019,null),</v>
      </c>
    </row>
    <row r="3778" spans="1:8" x14ac:dyDescent="0.25">
      <c r="A3778" s="9" t="s">
        <v>3417</v>
      </c>
      <c r="B3778" s="9" t="s">
        <v>1108</v>
      </c>
      <c r="C3778">
        <v>0</v>
      </c>
      <c r="D3778" t="s">
        <v>4080</v>
      </c>
      <c r="E3778">
        <v>2019</v>
      </c>
      <c r="F3778" s="9"/>
      <c r="H3778" s="20" t="str">
        <f t="shared" si="58"/>
        <v>(nextval('obj_part_id_seq'), (select id from obj_building_v where zip||'|'||street||'|'||name||'|'||volume = '4303|Kirchgasse 21|Lötscher-Scheune|1600.00'), 'P8', 0, null, 2019,null),</v>
      </c>
    </row>
    <row r="3779" spans="1:8" x14ac:dyDescent="0.25">
      <c r="A3779" s="9" t="s">
        <v>3417</v>
      </c>
      <c r="B3779" s="9" t="s">
        <v>1110</v>
      </c>
      <c r="C3779">
        <v>2</v>
      </c>
      <c r="D3779">
        <v>70</v>
      </c>
      <c r="E3779">
        <v>2019</v>
      </c>
      <c r="F3779" s="9" t="s">
        <v>3422</v>
      </c>
      <c r="H3779" s="20" t="str">
        <f t="shared" si="58"/>
        <v>(nextval('obj_part_id_seq'), (select id from obj_building_v where zip||'|'||street||'|'||name||'|'||volume = '4303|Kirchgasse 21|Lötscher-Scheune|1600.00'), 'P9', 2, 70, 2019,'Beleuchtung, Leitungen und Schalter auf Putz'),</v>
      </c>
    </row>
    <row r="3780" spans="1:8" x14ac:dyDescent="0.25">
      <c r="A3780" s="9" t="s">
        <v>3417</v>
      </c>
      <c r="B3780" s="9" t="s">
        <v>1112</v>
      </c>
      <c r="C3780">
        <v>0</v>
      </c>
      <c r="D3780" t="s">
        <v>4080</v>
      </c>
      <c r="E3780">
        <v>2019</v>
      </c>
      <c r="F3780" s="9"/>
      <c r="H3780" s="20" t="str">
        <f t="shared" si="58"/>
        <v>(nextval('obj_part_id_seq'), (select id from obj_building_v where zip||'|'||street||'|'||name||'|'||volume = '4303|Kirchgasse 21|Lötscher-Scheune|1600.00'), 'P10', 0, null, 2019,null),</v>
      </c>
    </row>
    <row r="3781" spans="1:8" x14ac:dyDescent="0.25">
      <c r="A3781" s="9" t="s">
        <v>3417</v>
      </c>
      <c r="B3781" s="9" t="s">
        <v>1114</v>
      </c>
      <c r="C3781">
        <v>5</v>
      </c>
      <c r="D3781">
        <v>90</v>
      </c>
      <c r="E3781">
        <v>2019</v>
      </c>
      <c r="F3781" s="9"/>
      <c r="H3781" s="20" t="str">
        <f t="shared" ref="H3781:H3844" si="59">"(nextval('obj_part_id_seq'), (select id from obj_building_v where zip||'|'||street||'|'||name||'|'||volume = '"&amp;A3781&amp;"'), '"&amp;B3781&amp;"', "&amp;C3781&amp;", "&amp;D3781&amp;", "&amp;IF(ISBLANK(E3781),"null",E3781)&amp;","&amp;IF(ISBLANK(F3781),"null","'"&amp;F3781&amp;"'")&amp;"),"</f>
        <v>(nextval('obj_part_id_seq'), (select id from obj_building_v where zip||'|'||street||'|'||name||'|'||volume = '4303|Kirchgasse 21|Lötscher-Scheune|1600.00'), 'P11', 5, 90, 2019,null),</v>
      </c>
    </row>
    <row r="3782" spans="1:8" x14ac:dyDescent="0.25">
      <c r="A3782" s="9" t="s">
        <v>3417</v>
      </c>
      <c r="B3782" s="9" t="s">
        <v>1114</v>
      </c>
      <c r="C3782">
        <v>8</v>
      </c>
      <c r="D3782">
        <v>80</v>
      </c>
      <c r="E3782">
        <v>2019</v>
      </c>
      <c r="F3782" s="9" t="s">
        <v>3423</v>
      </c>
      <c r="H3782" s="20" t="str">
        <f t="shared" si="59"/>
        <v>(nextval('obj_part_id_seq'), (select id from obj_building_v where zip||'|'||street||'|'||name||'|'||volume = '4303|Kirchgasse 21|Lötscher-Scheune|1600.00'), 'P11', 8, 80, 2019,'Boden: Verbundsteine'),</v>
      </c>
    </row>
    <row r="3783" spans="1:8" x14ac:dyDescent="0.25">
      <c r="A3783" s="9" t="s">
        <v>3417</v>
      </c>
      <c r="B3783" s="9" t="s">
        <v>1116</v>
      </c>
      <c r="C3783">
        <v>0</v>
      </c>
      <c r="D3783" t="s">
        <v>4080</v>
      </c>
      <c r="E3783">
        <v>2019</v>
      </c>
      <c r="F3783" s="9"/>
      <c r="H3783" s="20" t="str">
        <f t="shared" si="59"/>
        <v>(nextval('obj_part_id_seq'), (select id from obj_building_v where zip||'|'||street||'|'||name||'|'||volume = '4303|Kirchgasse 21|Lötscher-Scheune|1600.00'), 'P12', 0, null, 2019,null),</v>
      </c>
    </row>
    <row r="3784" spans="1:8" x14ac:dyDescent="0.25">
      <c r="A3784" s="9" t="s">
        <v>3424</v>
      </c>
      <c r="B3784" s="9" t="s">
        <v>1095</v>
      </c>
      <c r="C3784">
        <v>34</v>
      </c>
      <c r="D3784">
        <v>80</v>
      </c>
      <c r="E3784">
        <v>2019</v>
      </c>
      <c r="F3784" s="9" t="s">
        <v>3425</v>
      </c>
      <c r="H3784" s="20" t="str">
        <f t="shared" si="59"/>
        <v>(nextval('obj_part_id_seq'), (select id from obj_building_v where zip||'|'||street||'|'||name||'|'||volume = '4303|Kirchgasse 19|Fährihäuschen / Stübli|250.00'), 'P1', 34, 80, 2019,'Mauerwerk, Riss, aussen ca. 2.5-3.0mm, innen &gt;5mm (wahrscheinlich durch Senkung)'),</v>
      </c>
    </row>
    <row r="3785" spans="1:8" x14ac:dyDescent="0.25">
      <c r="A3785" s="9" t="s">
        <v>3424</v>
      </c>
      <c r="B3785" s="9" t="s">
        <v>1097</v>
      </c>
      <c r="C3785">
        <v>8</v>
      </c>
      <c r="D3785">
        <v>90</v>
      </c>
      <c r="E3785">
        <v>2019</v>
      </c>
      <c r="F3785" s="9" t="s">
        <v>3426</v>
      </c>
      <c r="H3785" s="20" t="str">
        <f t="shared" si="59"/>
        <v>(nextval('obj_part_id_seq'), (select id from obj_building_v where zip||'|'||street||'|'||name||'|'||volume = '4303|Kirchgasse 19|Fährihäuschen / Stübli|250.00'), 'P2', 8, 90, 2019,'Ziegel, Holz'),</v>
      </c>
    </row>
    <row r="3786" spans="1:8" x14ac:dyDescent="0.25">
      <c r="A3786" s="9" t="s">
        <v>3424</v>
      </c>
      <c r="B3786" s="9" t="s">
        <v>1099</v>
      </c>
      <c r="C3786">
        <v>0</v>
      </c>
      <c r="D3786" t="s">
        <v>4080</v>
      </c>
      <c r="E3786">
        <v>2019</v>
      </c>
      <c r="F3786" s="9"/>
      <c r="H3786" s="20" t="str">
        <f t="shared" si="59"/>
        <v>(nextval('obj_part_id_seq'), (select id from obj_building_v where zip||'|'||street||'|'||name||'|'||volume = '4303|Kirchgasse 19|Fährihäuschen / Stübli|250.00'), 'P3', 0, null, 2019,null),</v>
      </c>
    </row>
    <row r="3787" spans="1:8" x14ac:dyDescent="0.25">
      <c r="A3787" s="9" t="s">
        <v>3424</v>
      </c>
      <c r="B3787" s="9" t="s">
        <v>1100</v>
      </c>
      <c r="C3787">
        <v>14</v>
      </c>
      <c r="D3787">
        <v>70</v>
      </c>
      <c r="E3787">
        <v>2019</v>
      </c>
      <c r="F3787" s="9" t="s">
        <v>3427</v>
      </c>
      <c r="H3787" s="20" t="str">
        <f t="shared" si="59"/>
        <v>(nextval('obj_part_id_seq'), (select id from obj_building_v where zip||'|'||street||'|'||name||'|'||volume = '4303|Kirchgasse 19|Fährihäuschen / Stübli|250.00'), 'P4', 14, 70, 2019,'Riss, Mauerwerk verputzt, Holz, bei Gewänden verwittert, Holzstützen und -geländer bei Balkon'),</v>
      </c>
    </row>
    <row r="3788" spans="1:8" x14ac:dyDescent="0.25">
      <c r="A3788" s="9" t="s">
        <v>3424</v>
      </c>
      <c r="B3788" s="9" t="s">
        <v>1102</v>
      </c>
      <c r="C3788">
        <v>8</v>
      </c>
      <c r="D3788">
        <v>80</v>
      </c>
      <c r="E3788">
        <v>2019</v>
      </c>
      <c r="F3788" s="9" t="s">
        <v>3428</v>
      </c>
      <c r="H3788" s="20" t="str">
        <f t="shared" si="59"/>
        <v>(nextval('obj_part_id_seq'), (select id from obj_building_v where zip||'|'||street||'|'||name||'|'||volume = '4303|Kirchgasse 19|Fährihäuschen / Stübli|250.00'), 'P5', 8, 80, 2019,'Holzfenster,  ohne Beschattungselemente'),</v>
      </c>
    </row>
    <row r="3789" spans="1:8" x14ac:dyDescent="0.25">
      <c r="A3789" s="9" t="s">
        <v>3424</v>
      </c>
      <c r="B3789" s="9" t="s">
        <v>1104</v>
      </c>
      <c r="C3789">
        <v>0</v>
      </c>
      <c r="D3789" t="s">
        <v>4080</v>
      </c>
      <c r="E3789">
        <v>2019</v>
      </c>
      <c r="F3789" s="9"/>
      <c r="H3789" s="20" t="str">
        <f t="shared" si="59"/>
        <v>(nextval('obj_part_id_seq'), (select id from obj_building_v where zip||'|'||street||'|'||name||'|'||volume = '4303|Kirchgasse 19|Fährihäuschen / Stübli|250.00'), 'P6', 0, null, 2019,null),</v>
      </c>
    </row>
    <row r="3790" spans="1:8" x14ac:dyDescent="0.25">
      <c r="A3790" s="9" t="s">
        <v>3424</v>
      </c>
      <c r="B3790" s="9" t="s">
        <v>1106</v>
      </c>
      <c r="C3790">
        <v>2</v>
      </c>
      <c r="D3790">
        <v>90</v>
      </c>
      <c r="E3790">
        <v>2019</v>
      </c>
      <c r="F3790" s="9" t="s">
        <v>3429</v>
      </c>
      <c r="H3790" s="20" t="str">
        <f t="shared" si="59"/>
        <v>(nextval('obj_part_id_seq'), (select id from obj_building_v where zip||'|'||street||'|'||name||'|'||volume = '4303|Kirchgasse 19|Fährihäuschen / Stübli|250.00'), 'P7', 2, 90, 2019,'Elektrische Bodenheizung'),</v>
      </c>
    </row>
    <row r="3791" spans="1:8" x14ac:dyDescent="0.25">
      <c r="A3791" s="9" t="s">
        <v>3424</v>
      </c>
      <c r="B3791" s="9" t="s">
        <v>1108</v>
      </c>
      <c r="C3791">
        <v>6</v>
      </c>
      <c r="D3791">
        <v>90</v>
      </c>
      <c r="E3791">
        <v>2019</v>
      </c>
      <c r="F3791" s="9" t="s">
        <v>3430</v>
      </c>
      <c r="H3791" s="20" t="str">
        <f t="shared" si="59"/>
        <v>(nextval('obj_part_id_seq'), (select id from obj_building_v where zip||'|'||street||'|'||name||'|'||volume = '4303|Kirchgasse 19|Fährihäuschen / Stübli|250.00'), 'P8', 6, 90, 2019,'WC-Anlage'),</v>
      </c>
    </row>
    <row r="3792" spans="1:8" x14ac:dyDescent="0.25">
      <c r="A3792" s="9" t="s">
        <v>3424</v>
      </c>
      <c r="B3792" s="9" t="s">
        <v>1110</v>
      </c>
      <c r="C3792">
        <v>6</v>
      </c>
      <c r="D3792">
        <v>90</v>
      </c>
      <c r="E3792">
        <v>2019</v>
      </c>
      <c r="F3792" s="9" t="s">
        <v>3431</v>
      </c>
      <c r="H3792" s="20" t="str">
        <f t="shared" si="59"/>
        <v>(nextval('obj_part_id_seq'), (select id from obj_building_v where zip||'|'||street||'|'||name||'|'||volume = '4303|Kirchgasse 19|Fährihäuschen / Stübli|250.00'), 'P9', 6, 90, 2019,'Sicherung mit IF-Schalter'),</v>
      </c>
    </row>
    <row r="3793" spans="1:8" x14ac:dyDescent="0.25">
      <c r="A3793" s="9" t="s">
        <v>3424</v>
      </c>
      <c r="B3793" s="9" t="s">
        <v>1112</v>
      </c>
      <c r="C3793">
        <v>2</v>
      </c>
      <c r="D3793">
        <v>80</v>
      </c>
      <c r="E3793">
        <v>2019</v>
      </c>
      <c r="F3793" s="9" t="s">
        <v>2577</v>
      </c>
      <c r="H3793" s="20" t="str">
        <f t="shared" si="59"/>
        <v>(nextval('obj_part_id_seq'), (select id from obj_building_v where zip||'|'||street||'|'||name||'|'||volume = '4303|Kirchgasse 19|Fährihäuschen / Stübli|250.00'), 'P10', 2, 80, 2019,'Lüftung'),</v>
      </c>
    </row>
    <row r="3794" spans="1:8" x14ac:dyDescent="0.25">
      <c r="A3794" s="9" t="s">
        <v>3424</v>
      </c>
      <c r="B3794" s="9" t="s">
        <v>1114</v>
      </c>
      <c r="C3794">
        <v>20</v>
      </c>
      <c r="D3794">
        <v>85</v>
      </c>
      <c r="E3794">
        <v>2019</v>
      </c>
      <c r="F3794" s="9" t="s">
        <v>3432</v>
      </c>
      <c r="H3794" s="20" t="str">
        <f t="shared" si="59"/>
        <v>(nextval('obj_part_id_seq'), (select id from obj_building_v where zip||'|'||street||'|'||name||'|'||volume = '4303|Kirchgasse 19|Fährihäuschen / Stübli|250.00'), 'P11', 20, 85, 2019,'Boden: Keramikplatten Wand: verputzt und gestrichen, im WC Keramik, Decke: Holz'),</v>
      </c>
    </row>
    <row r="3795" spans="1:8" x14ac:dyDescent="0.25">
      <c r="A3795" s="9" t="s">
        <v>3424</v>
      </c>
      <c r="B3795" s="9" t="s">
        <v>1114</v>
      </c>
      <c r="C3795">
        <v>0</v>
      </c>
      <c r="D3795">
        <v>90</v>
      </c>
      <c r="E3795">
        <v>2019</v>
      </c>
      <c r="F3795" s="9"/>
      <c r="H3795" s="20" t="str">
        <f t="shared" si="59"/>
        <v>(nextval('obj_part_id_seq'), (select id from obj_building_v where zip||'|'||street||'|'||name||'|'||volume = '4303|Kirchgasse 19|Fährihäuschen / Stübli|250.00'), 'P11', 0, 90, 2019,null),</v>
      </c>
    </row>
    <row r="3796" spans="1:8" x14ac:dyDescent="0.25">
      <c r="A3796" s="9" t="s">
        <v>3424</v>
      </c>
      <c r="B3796" s="9" t="s">
        <v>1116</v>
      </c>
      <c r="C3796">
        <v>0</v>
      </c>
      <c r="D3796" t="s">
        <v>4080</v>
      </c>
      <c r="E3796">
        <v>2019</v>
      </c>
      <c r="F3796" s="9"/>
      <c r="H3796" s="20" t="str">
        <f t="shared" si="59"/>
        <v>(nextval('obj_part_id_seq'), (select id from obj_building_v where zip||'|'||street||'|'||name||'|'||volume = '4303|Kirchgasse 19|Fährihäuschen / Stübli|250.00'), 'P12', 0, null, 2019,null),</v>
      </c>
    </row>
    <row r="3797" spans="1:8" x14ac:dyDescent="0.25">
      <c r="A3797" s="9" t="s">
        <v>3433</v>
      </c>
      <c r="B3797" s="9" t="s">
        <v>1095</v>
      </c>
      <c r="C3797">
        <v>38</v>
      </c>
      <c r="D3797">
        <v>80</v>
      </c>
      <c r="E3797">
        <v>2019</v>
      </c>
      <c r="F3797" s="9" t="s">
        <v>3434</v>
      </c>
      <c r="H3797" s="20" t="str">
        <f t="shared" si="59"/>
        <v>(nextval('obj_part_id_seq'), (select id from obj_building_v where zip||'|'||street||'|'||name||'|'||volume = '4303|Rheinuferweg|Fährianlagestelle|231.00'), 'P1', 38, 80, 2019,'Holz, Stahlträger mit Beton'),</v>
      </c>
    </row>
    <row r="3798" spans="1:8" x14ac:dyDescent="0.25">
      <c r="A3798" s="9" t="s">
        <v>3433</v>
      </c>
      <c r="B3798" s="9" t="s">
        <v>1097</v>
      </c>
      <c r="C3798">
        <v>10</v>
      </c>
      <c r="D3798">
        <v>90</v>
      </c>
      <c r="E3798">
        <v>2019</v>
      </c>
      <c r="F3798" s="9" t="s">
        <v>3435</v>
      </c>
      <c r="H3798" s="20" t="str">
        <f t="shared" si="59"/>
        <v>(nextval('obj_part_id_seq'), (select id from obj_building_v where zip||'|'||street||'|'||name||'|'||volume = '4303|Rheinuferweg|Fährianlagestelle|231.00'), 'P2', 10, 90, 2019,'Bieberschwanzziegel'),</v>
      </c>
    </row>
    <row r="3799" spans="1:8" x14ac:dyDescent="0.25">
      <c r="A3799" s="9" t="s">
        <v>3433</v>
      </c>
      <c r="B3799" s="9" t="s">
        <v>1099</v>
      </c>
      <c r="C3799">
        <v>0</v>
      </c>
      <c r="D3799" t="s">
        <v>4080</v>
      </c>
      <c r="E3799">
        <v>2019</v>
      </c>
      <c r="F3799" s="9"/>
      <c r="H3799" s="20" t="str">
        <f t="shared" si="59"/>
        <v>(nextval('obj_part_id_seq'), (select id from obj_building_v where zip||'|'||street||'|'||name||'|'||volume = '4303|Rheinuferweg|Fährianlagestelle|231.00'), 'P3', 0, null, 2019,null),</v>
      </c>
    </row>
    <row r="3800" spans="1:8" x14ac:dyDescent="0.25">
      <c r="A3800" s="9" t="s">
        <v>3433</v>
      </c>
      <c r="B3800" s="9" t="s">
        <v>1100</v>
      </c>
      <c r="C3800">
        <v>8</v>
      </c>
      <c r="D3800">
        <v>70</v>
      </c>
      <c r="E3800">
        <v>2019</v>
      </c>
      <c r="F3800" s="9" t="s">
        <v>1305</v>
      </c>
      <c r="H3800" s="20" t="str">
        <f t="shared" si="59"/>
        <v>(nextval('obj_part_id_seq'), (select id from obj_building_v where zip||'|'||street||'|'||name||'|'||volume = '4303|Rheinuferweg|Fährianlagestelle|231.00'), 'P4', 8, 70, 2019,'Holz'),</v>
      </c>
    </row>
    <row r="3801" spans="1:8" x14ac:dyDescent="0.25">
      <c r="A3801" s="9" t="s">
        <v>3433</v>
      </c>
      <c r="B3801" s="9" t="s">
        <v>1102</v>
      </c>
      <c r="C3801">
        <v>8</v>
      </c>
      <c r="D3801">
        <v>70</v>
      </c>
      <c r="E3801">
        <v>2019</v>
      </c>
      <c r="F3801" s="9" t="s">
        <v>3436</v>
      </c>
      <c r="H3801" s="20" t="str">
        <f t="shared" si="59"/>
        <v>(nextval('obj_part_id_seq'), (select id from obj_building_v where zip||'|'||street||'|'||name||'|'||volume = '4303|Rheinuferweg|Fährianlagestelle|231.00'), 'P5', 8, 70, 2019,'Holz Türe'),</v>
      </c>
    </row>
    <row r="3802" spans="1:8" x14ac:dyDescent="0.25">
      <c r="A3802" s="9" t="s">
        <v>3433</v>
      </c>
      <c r="B3802" s="9" t="s">
        <v>1104</v>
      </c>
      <c r="C3802">
        <v>0</v>
      </c>
      <c r="D3802" t="s">
        <v>4080</v>
      </c>
      <c r="E3802">
        <v>2019</v>
      </c>
      <c r="F3802" s="9"/>
      <c r="H3802" s="20" t="str">
        <f t="shared" si="59"/>
        <v>(nextval('obj_part_id_seq'), (select id from obj_building_v where zip||'|'||street||'|'||name||'|'||volume = '4303|Rheinuferweg|Fährianlagestelle|231.00'), 'P6', 0, null, 2019,null),</v>
      </c>
    </row>
    <row r="3803" spans="1:8" x14ac:dyDescent="0.25">
      <c r="A3803" s="9" t="s">
        <v>3433</v>
      </c>
      <c r="B3803" s="9" t="s">
        <v>1106</v>
      </c>
      <c r="C3803">
        <v>0</v>
      </c>
      <c r="D3803" t="s">
        <v>4080</v>
      </c>
      <c r="E3803">
        <v>2019</v>
      </c>
      <c r="F3803" s="9"/>
      <c r="H3803" s="20" t="str">
        <f t="shared" si="59"/>
        <v>(nextval('obj_part_id_seq'), (select id from obj_building_v where zip||'|'||street||'|'||name||'|'||volume = '4303|Rheinuferweg|Fährianlagestelle|231.00'), 'P7', 0, null, 2019,null),</v>
      </c>
    </row>
    <row r="3804" spans="1:8" x14ac:dyDescent="0.25">
      <c r="A3804" s="9" t="s">
        <v>3433</v>
      </c>
      <c r="B3804" s="9" t="s">
        <v>1108</v>
      </c>
      <c r="C3804">
        <v>0</v>
      </c>
      <c r="D3804" t="s">
        <v>4080</v>
      </c>
      <c r="E3804">
        <v>2019</v>
      </c>
      <c r="F3804" s="9"/>
      <c r="H3804" s="20" t="str">
        <f t="shared" si="59"/>
        <v>(nextval('obj_part_id_seq'), (select id from obj_building_v where zip||'|'||street||'|'||name||'|'||volume = '4303|Rheinuferweg|Fährianlagestelle|231.00'), 'P8', 0, null, 2019,null),</v>
      </c>
    </row>
    <row r="3805" spans="1:8" x14ac:dyDescent="0.25">
      <c r="A3805" s="9" t="s">
        <v>3433</v>
      </c>
      <c r="B3805" s="9" t="s">
        <v>1110</v>
      </c>
      <c r="C3805">
        <v>6</v>
      </c>
      <c r="D3805">
        <v>80</v>
      </c>
      <c r="E3805">
        <v>2019</v>
      </c>
      <c r="F3805" s="9" t="s">
        <v>3437</v>
      </c>
      <c r="H3805" s="20" t="str">
        <f t="shared" si="59"/>
        <v>(nextval('obj_part_id_seq'), (select id from obj_building_v where zip||'|'||street||'|'||name||'|'||volume = '4303|Rheinuferweg|Fährianlagestelle|231.00'), 'P9', 6, 80, 2019,'Elektrische Heizung, Klingelanlage (Funkverbindung), Wasser- und Luft-Temperaturanzeige, FI-Schalter vorh.'),</v>
      </c>
    </row>
    <row r="3806" spans="1:8" x14ac:dyDescent="0.25">
      <c r="A3806" s="9" t="s">
        <v>3433</v>
      </c>
      <c r="B3806" s="9" t="s">
        <v>1112</v>
      </c>
      <c r="C3806">
        <v>3</v>
      </c>
      <c r="D3806">
        <v>80</v>
      </c>
      <c r="E3806">
        <v>2019</v>
      </c>
      <c r="F3806" s="9" t="s">
        <v>3438</v>
      </c>
      <c r="H3806" s="20" t="str">
        <f t="shared" si="59"/>
        <v>(nextval('obj_part_id_seq'), (select id from obj_building_v where zip||'|'||street||'|'||name||'|'||volume = '4303|Rheinuferweg|Fährianlagestelle|231.00'), 'P10', 3, 80, 2019,'Videoüberwachung Kamera, Dieseltank für Fähre'),</v>
      </c>
    </row>
    <row r="3807" spans="1:8" x14ac:dyDescent="0.25">
      <c r="A3807" s="9" t="s">
        <v>3433</v>
      </c>
      <c r="B3807" s="9" t="s">
        <v>1114</v>
      </c>
      <c r="C3807">
        <v>27</v>
      </c>
      <c r="D3807">
        <v>80</v>
      </c>
      <c r="E3807">
        <v>2019</v>
      </c>
      <c r="F3807" s="9" t="s">
        <v>3439</v>
      </c>
      <c r="H3807" s="20" t="str">
        <f t="shared" si="59"/>
        <v>(nextval('obj_part_id_seq'), (select id from obj_building_v where zip||'|'||street||'|'||name||'|'||volume = '4303|Rheinuferweg|Fährianlagestelle|231.00'), 'P11', 27, 80, 2019,'Innere Verglasungen, Trennwände, Decke und Türe aus Holz, Metallgeländer, Bodenbelag aus PVC'),</v>
      </c>
    </row>
    <row r="3808" spans="1:8" x14ac:dyDescent="0.25">
      <c r="A3808" s="9" t="s">
        <v>3433</v>
      </c>
      <c r="B3808" s="9" t="s">
        <v>1114</v>
      </c>
      <c r="C3808">
        <v>0</v>
      </c>
      <c r="D3808" t="s">
        <v>4080</v>
      </c>
      <c r="E3808">
        <v>2019</v>
      </c>
      <c r="F3808" s="9"/>
      <c r="H3808" s="20" t="str">
        <f t="shared" si="59"/>
        <v>(nextval('obj_part_id_seq'), (select id from obj_building_v where zip||'|'||street||'|'||name||'|'||volume = '4303|Rheinuferweg|Fährianlagestelle|231.00'), 'P11', 0, null, 2019,null),</v>
      </c>
    </row>
    <row r="3809" spans="1:8" x14ac:dyDescent="0.25">
      <c r="A3809" s="9" t="s">
        <v>3433</v>
      </c>
      <c r="B3809" s="9" t="s">
        <v>1116</v>
      </c>
      <c r="C3809">
        <v>0</v>
      </c>
      <c r="D3809" t="s">
        <v>4080</v>
      </c>
      <c r="E3809">
        <v>2019</v>
      </c>
      <c r="F3809" s="9"/>
      <c r="H3809" s="20" t="str">
        <f t="shared" si="59"/>
        <v>(nextval('obj_part_id_seq'), (select id from obj_building_v where zip||'|'||street||'|'||name||'|'||volume = '4303|Rheinuferweg|Fährianlagestelle|231.00'), 'P12', 0, null, 2019,null),</v>
      </c>
    </row>
    <row r="3810" spans="1:8" x14ac:dyDescent="0.25">
      <c r="A3810" s="9" t="s">
        <v>3440</v>
      </c>
      <c r="B3810" s="9" t="s">
        <v>1095</v>
      </c>
      <c r="C3810">
        <v>35</v>
      </c>
      <c r="D3810">
        <v>85</v>
      </c>
      <c r="E3810">
        <v>2019</v>
      </c>
      <c r="F3810" s="9" t="s">
        <v>1303</v>
      </c>
      <c r="H3810" s="20" t="str">
        <f t="shared" si="59"/>
        <v>(nextval('obj_part_id_seq'), (select id from obj_building_v where zip||'|'||street||'|'||name||'|'||volume = '4303|Rheinuferweg|Zollhaus|34.00'), 'P1', 35, 85, 2019,'Holzbau'),</v>
      </c>
    </row>
    <row r="3811" spans="1:8" x14ac:dyDescent="0.25">
      <c r="A3811" s="9" t="s">
        <v>3440</v>
      </c>
      <c r="B3811" s="9" t="s">
        <v>1097</v>
      </c>
      <c r="C3811">
        <v>12</v>
      </c>
      <c r="D3811">
        <v>80</v>
      </c>
      <c r="E3811">
        <v>2019</v>
      </c>
      <c r="F3811" s="9" t="s">
        <v>3441</v>
      </c>
      <c r="H3811" s="20" t="str">
        <f t="shared" si="59"/>
        <v>(nextval('obj_part_id_seq'), (select id from obj_building_v where zip||'|'||street||'|'||name||'|'||volume = '4303|Rheinuferweg|Zollhaus|34.00'), 'P2', 12, 80, 2019,'Welleternit (vermoost)'),</v>
      </c>
    </row>
    <row r="3812" spans="1:8" x14ac:dyDescent="0.25">
      <c r="A3812" s="9" t="s">
        <v>3440</v>
      </c>
      <c r="B3812" s="9" t="s">
        <v>1099</v>
      </c>
      <c r="C3812">
        <v>0</v>
      </c>
      <c r="D3812" t="s">
        <v>4080</v>
      </c>
      <c r="E3812">
        <v>2019</v>
      </c>
      <c r="F3812" s="9"/>
      <c r="H3812" s="20" t="str">
        <f t="shared" si="59"/>
        <v>(nextval('obj_part_id_seq'), (select id from obj_building_v where zip||'|'||street||'|'||name||'|'||volume = '4303|Rheinuferweg|Zollhaus|34.00'), 'P3', 0, null, 2019,null),</v>
      </c>
    </row>
    <row r="3813" spans="1:8" x14ac:dyDescent="0.25">
      <c r="A3813" s="9" t="s">
        <v>3440</v>
      </c>
      <c r="B3813" s="9" t="s">
        <v>1100</v>
      </c>
      <c r="C3813">
        <v>12</v>
      </c>
      <c r="D3813">
        <v>85</v>
      </c>
      <c r="E3813">
        <v>2019</v>
      </c>
      <c r="F3813" s="9" t="s">
        <v>3442</v>
      </c>
      <c r="H3813" s="20" t="str">
        <f t="shared" si="59"/>
        <v>(nextval('obj_part_id_seq'), (select id from obj_building_v where zip||'|'||street||'|'||name||'|'||volume = '4303|Rheinuferweg|Zollhaus|34.00'), 'P4', 12, 85, 2019,'Holz, Sockel: Beton'),</v>
      </c>
    </row>
    <row r="3814" spans="1:8" x14ac:dyDescent="0.25">
      <c r="A3814" s="9" t="s">
        <v>3440</v>
      </c>
      <c r="B3814" s="9" t="s">
        <v>1102</v>
      </c>
      <c r="C3814">
        <v>8</v>
      </c>
      <c r="D3814">
        <v>80</v>
      </c>
      <c r="E3814">
        <v>2019</v>
      </c>
      <c r="F3814" s="9" t="s">
        <v>3443</v>
      </c>
      <c r="H3814" s="20" t="str">
        <f t="shared" si="59"/>
        <v>(nextval('obj_part_id_seq'), (select id from obj_building_v where zip||'|'||street||'|'||name||'|'||volume = '4303|Rheinuferweg|Zollhaus|34.00'), 'P5', 8, 80, 2019,'Holzfenster einfach verglast, Fensterläden aus Holz, Holztür'),</v>
      </c>
    </row>
    <row r="3815" spans="1:8" x14ac:dyDescent="0.25">
      <c r="A3815" s="9" t="s">
        <v>3440</v>
      </c>
      <c r="B3815" s="9" t="s">
        <v>1104</v>
      </c>
      <c r="C3815">
        <v>0</v>
      </c>
      <c r="D3815" t="s">
        <v>4080</v>
      </c>
      <c r="E3815">
        <v>2019</v>
      </c>
      <c r="F3815" s="9"/>
      <c r="H3815" s="20" t="str">
        <f t="shared" si="59"/>
        <v>(nextval('obj_part_id_seq'), (select id from obj_building_v where zip||'|'||street||'|'||name||'|'||volume = '4303|Rheinuferweg|Zollhaus|34.00'), 'P6', 0, null, 2019,null),</v>
      </c>
    </row>
    <row r="3816" spans="1:8" x14ac:dyDescent="0.25">
      <c r="A3816" s="9" t="s">
        <v>3440</v>
      </c>
      <c r="B3816" s="9" t="s">
        <v>1106</v>
      </c>
      <c r="C3816">
        <v>0</v>
      </c>
      <c r="D3816" t="s">
        <v>4080</v>
      </c>
      <c r="E3816">
        <v>2019</v>
      </c>
      <c r="F3816" s="9"/>
      <c r="H3816" s="20" t="str">
        <f t="shared" si="59"/>
        <v>(nextval('obj_part_id_seq'), (select id from obj_building_v where zip||'|'||street||'|'||name||'|'||volume = '4303|Rheinuferweg|Zollhaus|34.00'), 'P7', 0, null, 2019,null),</v>
      </c>
    </row>
    <row r="3817" spans="1:8" x14ac:dyDescent="0.25">
      <c r="A3817" s="9" t="s">
        <v>3440</v>
      </c>
      <c r="B3817" s="9" t="s">
        <v>1108</v>
      </c>
      <c r="C3817">
        <v>0</v>
      </c>
      <c r="D3817" t="s">
        <v>4080</v>
      </c>
      <c r="E3817">
        <v>2019</v>
      </c>
      <c r="F3817" s="9"/>
      <c r="H3817" s="20" t="str">
        <f t="shared" si="59"/>
        <v>(nextval('obj_part_id_seq'), (select id from obj_building_v where zip||'|'||street||'|'||name||'|'||volume = '4303|Rheinuferweg|Zollhaus|34.00'), 'P8', 0, null, 2019,null),</v>
      </c>
    </row>
    <row r="3818" spans="1:8" x14ac:dyDescent="0.25">
      <c r="A3818" s="9" t="s">
        <v>3440</v>
      </c>
      <c r="B3818" s="9" t="s">
        <v>1110</v>
      </c>
      <c r="C3818">
        <v>6</v>
      </c>
      <c r="D3818">
        <v>80</v>
      </c>
      <c r="E3818">
        <v>2019</v>
      </c>
      <c r="F3818" s="9" t="s">
        <v>3444</v>
      </c>
      <c r="H3818" s="20" t="str">
        <f t="shared" si="59"/>
        <v>(nextval('obj_part_id_seq'), (select id from obj_building_v where zip||'|'||street||'|'||name||'|'||volume = '4303|Rheinuferweg|Zollhaus|34.00'), 'P9', 6, 80, 2019,'Zähler für Fährihäuschen, vermutlich auf asbesthaltiger Grundplatte, Belechtung'),</v>
      </c>
    </row>
    <row r="3819" spans="1:8" x14ac:dyDescent="0.25">
      <c r="A3819" s="9" t="s">
        <v>3440</v>
      </c>
      <c r="B3819" s="9" t="s">
        <v>1112</v>
      </c>
      <c r="C3819">
        <v>0</v>
      </c>
      <c r="D3819" t="s">
        <v>4080</v>
      </c>
      <c r="E3819">
        <v>2019</v>
      </c>
      <c r="F3819" s="9"/>
      <c r="H3819" s="20" t="str">
        <f t="shared" si="59"/>
        <v>(nextval('obj_part_id_seq'), (select id from obj_building_v where zip||'|'||street||'|'||name||'|'||volume = '4303|Rheinuferweg|Zollhaus|34.00'), 'P10', 0, null, 2019,null),</v>
      </c>
    </row>
    <row r="3820" spans="1:8" x14ac:dyDescent="0.25">
      <c r="A3820" s="9" t="s">
        <v>3440</v>
      </c>
      <c r="B3820" s="9" t="s">
        <v>1114</v>
      </c>
      <c r="C3820">
        <v>27</v>
      </c>
      <c r="D3820">
        <v>80</v>
      </c>
      <c r="E3820">
        <v>2019</v>
      </c>
      <c r="F3820" s="9" t="s">
        <v>3445</v>
      </c>
      <c r="H3820" s="20" t="str">
        <f t="shared" si="59"/>
        <v>(nextval('obj_part_id_seq'), (select id from obj_building_v where zip||'|'||street||'|'||name||'|'||volume = '4303|Rheinuferweg|Zollhaus|34.00'), 'P11', 27, 80, 2019,'Boden: Pflastersteine, Zementplatten, Wand: Beton, Stahlbeton, Holz'),</v>
      </c>
    </row>
    <row r="3821" spans="1:8" x14ac:dyDescent="0.25">
      <c r="A3821" s="9" t="s">
        <v>3440</v>
      </c>
      <c r="B3821" s="9" t="s">
        <v>1114</v>
      </c>
      <c r="C3821">
        <v>0</v>
      </c>
      <c r="D3821" t="s">
        <v>4080</v>
      </c>
      <c r="E3821">
        <v>2019</v>
      </c>
      <c r="F3821" s="9"/>
      <c r="H3821" s="20" t="str">
        <f t="shared" si="59"/>
        <v>(nextval('obj_part_id_seq'), (select id from obj_building_v where zip||'|'||street||'|'||name||'|'||volume = '4303|Rheinuferweg|Zollhaus|34.00'), 'P11', 0, null, 2019,null),</v>
      </c>
    </row>
    <row r="3822" spans="1:8" x14ac:dyDescent="0.25">
      <c r="A3822" s="9" t="s">
        <v>3440</v>
      </c>
      <c r="B3822" s="9" t="s">
        <v>1116</v>
      </c>
      <c r="C3822">
        <v>0</v>
      </c>
      <c r="D3822" t="s">
        <v>4080</v>
      </c>
      <c r="E3822">
        <v>2019</v>
      </c>
      <c r="F3822" s="9"/>
      <c r="H3822" s="20" t="str">
        <f t="shared" si="59"/>
        <v>(nextval('obj_part_id_seq'), (select id from obj_building_v where zip||'|'||street||'|'||name||'|'||volume = '4303|Rheinuferweg|Zollhaus|34.00'), 'P12', 0, null, 2019,null),</v>
      </c>
    </row>
    <row r="3823" spans="1:8" x14ac:dyDescent="0.25">
      <c r="A3823" s="9" t="s">
        <v>3446</v>
      </c>
      <c r="B3823" s="9" t="s">
        <v>1095</v>
      </c>
      <c r="C3823">
        <v>46</v>
      </c>
      <c r="D3823">
        <v>90</v>
      </c>
      <c r="E3823">
        <v>2019</v>
      </c>
      <c r="F3823" s="9" t="s">
        <v>1118</v>
      </c>
      <c r="H3823" s="20" t="str">
        <f t="shared" si="59"/>
        <v>(nextval('obj_part_id_seq'), (select id from obj_building_v where zip||'|'||street||'|'||name||'|'||volume = '4303|Rheinuferweg|Pumpenhaus|38.00'), 'P1', 46, 90, 2019,'Massiv'),</v>
      </c>
    </row>
    <row r="3824" spans="1:8" x14ac:dyDescent="0.25">
      <c r="A3824" s="9" t="s">
        <v>3446</v>
      </c>
      <c r="B3824" s="9" t="s">
        <v>1097</v>
      </c>
      <c r="C3824">
        <v>0</v>
      </c>
      <c r="D3824" t="s">
        <v>4080</v>
      </c>
      <c r="E3824">
        <v>2019</v>
      </c>
      <c r="F3824" s="9"/>
      <c r="H3824" s="20" t="str">
        <f t="shared" si="59"/>
        <v>(nextval('obj_part_id_seq'), (select id from obj_building_v where zip||'|'||street||'|'||name||'|'||volume = '4303|Rheinuferweg|Pumpenhaus|38.00'), 'P2', 0, null, 2019,null),</v>
      </c>
    </row>
    <row r="3825" spans="1:8" x14ac:dyDescent="0.25">
      <c r="A3825" s="9" t="s">
        <v>3446</v>
      </c>
      <c r="B3825" s="9" t="s">
        <v>1099</v>
      </c>
      <c r="C3825">
        <v>6</v>
      </c>
      <c r="D3825">
        <v>80</v>
      </c>
      <c r="E3825">
        <v>2019</v>
      </c>
      <c r="F3825" s="9" t="s">
        <v>3447</v>
      </c>
      <c r="H3825" s="20" t="str">
        <f t="shared" si="59"/>
        <v>(nextval('obj_part_id_seq'), (select id from obj_building_v where zip||'|'||street||'|'||name||'|'||volume = '4303|Rheinuferweg|Pumpenhaus|38.00'), 'P3', 6, 80, 2019,'Nacktdach, vermoost'),</v>
      </c>
    </row>
    <row r="3826" spans="1:8" x14ac:dyDescent="0.25">
      <c r="A3826" s="9" t="s">
        <v>3446</v>
      </c>
      <c r="B3826" s="9" t="s">
        <v>1100</v>
      </c>
      <c r="C3826">
        <v>12</v>
      </c>
      <c r="D3826">
        <v>90</v>
      </c>
      <c r="E3826">
        <v>2019</v>
      </c>
      <c r="F3826" s="9" t="s">
        <v>1716</v>
      </c>
      <c r="H3826" s="20" t="str">
        <f t="shared" si="59"/>
        <v>(nextval('obj_part_id_seq'), (select id from obj_building_v where zip||'|'||street||'|'||name||'|'||volume = '4303|Rheinuferweg|Pumpenhaus|38.00'), 'P4', 12, 90, 2019,'Mauerwerk, verputzt'),</v>
      </c>
    </row>
    <row r="3827" spans="1:8" x14ac:dyDescent="0.25">
      <c r="A3827" s="9" t="s">
        <v>3446</v>
      </c>
      <c r="B3827" s="9" t="s">
        <v>1102</v>
      </c>
      <c r="C3827">
        <v>8</v>
      </c>
      <c r="D3827">
        <v>80</v>
      </c>
      <c r="E3827">
        <v>2019</v>
      </c>
      <c r="F3827" s="9" t="s">
        <v>3448</v>
      </c>
      <c r="H3827" s="20" t="str">
        <f t="shared" si="59"/>
        <v>(nextval('obj_part_id_seq'), (select id from obj_building_v where zip||'|'||street||'|'||name||'|'||volume = '4303|Rheinuferweg|Pumpenhaus|38.00'), 'P5', 8, 80, 2019,'Türe und Fenster aus Holz'),</v>
      </c>
    </row>
    <row r="3828" spans="1:8" x14ac:dyDescent="0.25">
      <c r="A3828" s="9" t="s">
        <v>3446</v>
      </c>
      <c r="B3828" s="9" t="s">
        <v>1104</v>
      </c>
      <c r="C3828">
        <v>8</v>
      </c>
      <c r="D3828">
        <v>50</v>
      </c>
      <c r="E3828">
        <v>2019</v>
      </c>
      <c r="F3828" s="9" t="s">
        <v>3449</v>
      </c>
      <c r="H3828" s="20" t="str">
        <f t="shared" si="59"/>
        <v>(nextval('obj_part_id_seq'), (select id from obj_building_v where zip||'|'||street||'|'||name||'|'||volume = '4303|Rheinuferweg|Pumpenhaus|38.00'), 'P6', 8, 50, 2019,'alte Elektroheizung, nicht funktionstüchtig'),</v>
      </c>
    </row>
    <row r="3829" spans="1:8" x14ac:dyDescent="0.25">
      <c r="A3829" s="9" t="s">
        <v>3446</v>
      </c>
      <c r="B3829" s="9" t="s">
        <v>1106</v>
      </c>
      <c r="C3829">
        <v>0</v>
      </c>
      <c r="D3829" t="s">
        <v>4080</v>
      </c>
      <c r="E3829">
        <v>2019</v>
      </c>
      <c r="F3829" s="9"/>
      <c r="H3829" s="20" t="str">
        <f t="shared" si="59"/>
        <v>(nextval('obj_part_id_seq'), (select id from obj_building_v where zip||'|'||street||'|'||name||'|'||volume = '4303|Rheinuferweg|Pumpenhaus|38.00'), 'P7', 0, null, 2019,null),</v>
      </c>
    </row>
    <row r="3830" spans="1:8" x14ac:dyDescent="0.25">
      <c r="A3830" s="9" t="s">
        <v>3446</v>
      </c>
      <c r="B3830" s="9" t="s">
        <v>1108</v>
      </c>
      <c r="C3830">
        <v>6</v>
      </c>
      <c r="D3830">
        <v>85</v>
      </c>
      <c r="E3830">
        <v>2019</v>
      </c>
      <c r="F3830" s="9" t="s">
        <v>3450</v>
      </c>
      <c r="H3830" s="20" t="str">
        <f t="shared" si="59"/>
        <v>(nextval('obj_part_id_seq'), (select id from obj_building_v where zip||'|'||street||'|'||name||'|'||volume = '4303|Rheinuferweg|Pumpenhaus|38.00'), 'P8', 6, 85, 2019,'Wasserleitung Brunnen'),</v>
      </c>
    </row>
    <row r="3831" spans="1:8" x14ac:dyDescent="0.25">
      <c r="A3831" s="9" t="s">
        <v>3446</v>
      </c>
      <c r="B3831" s="9" t="s">
        <v>1110</v>
      </c>
      <c r="C3831">
        <v>8</v>
      </c>
      <c r="D3831">
        <v>50</v>
      </c>
      <c r="E3831">
        <v>2019</v>
      </c>
      <c r="F3831" s="9" t="s">
        <v>3451</v>
      </c>
      <c r="H3831" s="20" t="str">
        <f t="shared" si="59"/>
        <v>(nextval('obj_part_id_seq'), (select id from obj_building_v where zip||'|'||street||'|'||name||'|'||volume = '4303|Rheinuferweg|Pumpenhaus|38.00'), 'P9', 8, 50, 2019,'Elektroanlagen, nicht angeschlossen'),</v>
      </c>
    </row>
    <row r="3832" spans="1:8" x14ac:dyDescent="0.25">
      <c r="A3832" s="9" t="s">
        <v>3446</v>
      </c>
      <c r="B3832" s="9" t="s">
        <v>1112</v>
      </c>
      <c r="C3832">
        <v>0</v>
      </c>
      <c r="D3832" t="s">
        <v>4080</v>
      </c>
      <c r="E3832">
        <v>2019</v>
      </c>
      <c r="F3832" s="9"/>
      <c r="H3832" s="20" t="str">
        <f t="shared" si="59"/>
        <v>(nextval('obj_part_id_seq'), (select id from obj_building_v where zip||'|'||street||'|'||name||'|'||volume = '4303|Rheinuferweg|Pumpenhaus|38.00'), 'P10', 0, null, 2019,null),</v>
      </c>
    </row>
    <row r="3833" spans="1:8" x14ac:dyDescent="0.25">
      <c r="A3833" s="9" t="s">
        <v>3446</v>
      </c>
      <c r="B3833" s="9" t="s">
        <v>1114</v>
      </c>
      <c r="C3833">
        <v>0</v>
      </c>
      <c r="D3833" t="s">
        <v>4080</v>
      </c>
      <c r="E3833">
        <v>2019</v>
      </c>
      <c r="F3833" s="9"/>
      <c r="H3833" s="20" t="str">
        <f t="shared" si="59"/>
        <v>(nextval('obj_part_id_seq'), (select id from obj_building_v where zip||'|'||street||'|'||name||'|'||volume = '4303|Rheinuferweg|Pumpenhaus|38.00'), 'P11', 0, null, 2019,null),</v>
      </c>
    </row>
    <row r="3834" spans="1:8" x14ac:dyDescent="0.25">
      <c r="A3834" s="9" t="s">
        <v>3446</v>
      </c>
      <c r="B3834" s="9" t="s">
        <v>1114</v>
      </c>
      <c r="C3834">
        <v>6</v>
      </c>
      <c r="D3834">
        <v>70</v>
      </c>
      <c r="E3834">
        <v>2019</v>
      </c>
      <c r="F3834" s="9" t="s">
        <v>3452</v>
      </c>
      <c r="H3834" s="20" t="str">
        <f t="shared" si="59"/>
        <v>(nextval('obj_part_id_seq'), (select id from obj_building_v where zip||'|'||street||'|'||name||'|'||volume = '4303|Rheinuferweg|Pumpenhaus|38.00'), 'P11', 6, 70, 2019,'Boden: Beton, Wände: Anstrich, Decke: Anstrich'),</v>
      </c>
    </row>
    <row r="3835" spans="1:8" x14ac:dyDescent="0.25">
      <c r="A3835" s="9" t="s">
        <v>3446</v>
      </c>
      <c r="B3835" s="9" t="s">
        <v>1116</v>
      </c>
      <c r="C3835">
        <v>0</v>
      </c>
      <c r="D3835" t="s">
        <v>4080</v>
      </c>
      <c r="E3835">
        <v>2019</v>
      </c>
      <c r="F3835" s="9"/>
      <c r="H3835" s="20" t="str">
        <f t="shared" si="59"/>
        <v>(nextval('obj_part_id_seq'), (select id from obj_building_v where zip||'|'||street||'|'||name||'|'||volume = '4303|Rheinuferweg|Pumpenhaus|38.00'), 'P12', 0, null, 2019,null),</v>
      </c>
    </row>
    <row r="3836" spans="1:8" x14ac:dyDescent="0.25">
      <c r="A3836" s="9" t="s">
        <v>3453</v>
      </c>
      <c r="B3836" s="9" t="s">
        <v>1095</v>
      </c>
      <c r="C3836">
        <v>52</v>
      </c>
      <c r="D3836">
        <v>90</v>
      </c>
      <c r="E3836">
        <v>2019</v>
      </c>
      <c r="F3836" s="9" t="s">
        <v>3454</v>
      </c>
      <c r="H3836" s="20" t="str">
        <f t="shared" si="59"/>
        <v>(nextval('obj_part_id_seq'), (select id from obj_building_v where zip||'|'||street||'|'||name||'|'||volume = '4303|Rheinuferweg|Wartehäuschen Fähri / Werkhaus|29.00'), 'P1', 52, 90, 2019,'Beton'),</v>
      </c>
    </row>
    <row r="3837" spans="1:8" x14ac:dyDescent="0.25">
      <c r="A3837" s="9" t="s">
        <v>3453</v>
      </c>
      <c r="B3837" s="9" t="s">
        <v>1097</v>
      </c>
      <c r="C3837">
        <v>0</v>
      </c>
      <c r="D3837" t="s">
        <v>4080</v>
      </c>
      <c r="E3837">
        <v>2019</v>
      </c>
      <c r="F3837" s="9"/>
      <c r="H3837" s="20" t="str">
        <f t="shared" si="59"/>
        <v>(nextval('obj_part_id_seq'), (select id from obj_building_v where zip||'|'||street||'|'||name||'|'||volume = '4303|Rheinuferweg|Wartehäuschen Fähri / Werkhaus|29.00'), 'P2', 0, null, 2019,null),</v>
      </c>
    </row>
    <row r="3838" spans="1:8" x14ac:dyDescent="0.25">
      <c r="A3838" s="9" t="s">
        <v>3453</v>
      </c>
      <c r="B3838" s="9" t="s">
        <v>1099</v>
      </c>
      <c r="C3838">
        <v>10</v>
      </c>
      <c r="D3838">
        <v>80</v>
      </c>
      <c r="E3838">
        <v>2019</v>
      </c>
      <c r="F3838" s="9" t="s">
        <v>3455</v>
      </c>
      <c r="H3838" s="20" t="str">
        <f t="shared" si="59"/>
        <v>(nextval('obj_part_id_seq'), (select id from obj_building_v where zip||'|'||street||'|'||name||'|'||volume = '4303|Rheinuferweg|Wartehäuschen Fähri / Werkhaus|29.00'), 'P3', 10, 80, 2019,'Betondach (vermoost)'),</v>
      </c>
    </row>
    <row r="3839" spans="1:8" x14ac:dyDescent="0.25">
      <c r="A3839" s="9" t="s">
        <v>3453</v>
      </c>
      <c r="B3839" s="9" t="s">
        <v>1100</v>
      </c>
      <c r="C3839">
        <v>12</v>
      </c>
      <c r="D3839">
        <v>80</v>
      </c>
      <c r="E3839">
        <v>2019</v>
      </c>
      <c r="F3839" s="9" t="s">
        <v>3454</v>
      </c>
      <c r="H3839" s="20" t="str">
        <f t="shared" si="59"/>
        <v>(nextval('obj_part_id_seq'), (select id from obj_building_v where zip||'|'||street||'|'||name||'|'||volume = '4303|Rheinuferweg|Wartehäuschen Fähri / Werkhaus|29.00'), 'P4', 12, 80, 2019,'Beton'),</v>
      </c>
    </row>
    <row r="3840" spans="1:8" x14ac:dyDescent="0.25">
      <c r="A3840" s="9" t="s">
        <v>3453</v>
      </c>
      <c r="B3840" s="9" t="s">
        <v>1102</v>
      </c>
      <c r="C3840">
        <v>8</v>
      </c>
      <c r="D3840">
        <v>80</v>
      </c>
      <c r="E3840">
        <v>2019</v>
      </c>
      <c r="F3840" s="9" t="s">
        <v>3456</v>
      </c>
      <c r="H3840" s="20" t="str">
        <f t="shared" si="59"/>
        <v>(nextval('obj_part_id_seq'), (select id from obj_building_v where zip||'|'||street||'|'||name||'|'||volume = '4303|Rheinuferweg|Wartehäuschen Fähri / Werkhaus|29.00'), 'P5', 8, 80, 2019,'Metalltüre'),</v>
      </c>
    </row>
    <row r="3841" spans="1:8" x14ac:dyDescent="0.25">
      <c r="A3841" s="9" t="s">
        <v>3453</v>
      </c>
      <c r="B3841" s="9" t="s">
        <v>1104</v>
      </c>
      <c r="C3841">
        <v>0</v>
      </c>
      <c r="D3841" t="s">
        <v>4080</v>
      </c>
      <c r="E3841">
        <v>2019</v>
      </c>
      <c r="F3841" s="9"/>
      <c r="H3841" s="20" t="str">
        <f t="shared" si="59"/>
        <v>(nextval('obj_part_id_seq'), (select id from obj_building_v where zip||'|'||street||'|'||name||'|'||volume = '4303|Rheinuferweg|Wartehäuschen Fähri / Werkhaus|29.00'), 'P6', 0, null, 2019,null),</v>
      </c>
    </row>
    <row r="3842" spans="1:8" x14ac:dyDescent="0.25">
      <c r="A3842" s="9" t="s">
        <v>3453</v>
      </c>
      <c r="B3842" s="9" t="s">
        <v>1106</v>
      </c>
      <c r="C3842">
        <v>0</v>
      </c>
      <c r="D3842" t="s">
        <v>4080</v>
      </c>
      <c r="E3842">
        <v>2019</v>
      </c>
      <c r="F3842" s="9"/>
      <c r="H3842" s="20" t="str">
        <f t="shared" si="59"/>
        <v>(nextval('obj_part_id_seq'), (select id from obj_building_v where zip||'|'||street||'|'||name||'|'||volume = '4303|Rheinuferweg|Wartehäuschen Fähri / Werkhaus|29.00'), 'P7', 0, null, 2019,null),</v>
      </c>
    </row>
    <row r="3843" spans="1:8" x14ac:dyDescent="0.25">
      <c r="A3843" s="9" t="s">
        <v>3453</v>
      </c>
      <c r="B3843" s="9" t="s">
        <v>1108</v>
      </c>
      <c r="C3843">
        <v>0</v>
      </c>
      <c r="D3843" t="s">
        <v>4080</v>
      </c>
      <c r="E3843">
        <v>2019</v>
      </c>
      <c r="F3843" s="9"/>
      <c r="H3843" s="20" t="str">
        <f t="shared" si="59"/>
        <v>(nextval('obj_part_id_seq'), (select id from obj_building_v where zip||'|'||street||'|'||name||'|'||volume = '4303|Rheinuferweg|Wartehäuschen Fähri / Werkhaus|29.00'), 'P8', 0, null, 2019,null),</v>
      </c>
    </row>
    <row r="3844" spans="1:8" x14ac:dyDescent="0.25">
      <c r="A3844" s="9" t="s">
        <v>3453</v>
      </c>
      <c r="B3844" s="9" t="s">
        <v>1110</v>
      </c>
      <c r="C3844">
        <v>6</v>
      </c>
      <c r="D3844">
        <v>80</v>
      </c>
      <c r="E3844">
        <v>2019</v>
      </c>
      <c r="F3844" s="9" t="s">
        <v>1295</v>
      </c>
      <c r="H3844" s="20" t="str">
        <f t="shared" si="59"/>
        <v>(nextval('obj_part_id_seq'), (select id from obj_building_v where zip||'|'||street||'|'||name||'|'||volume = '4303|Rheinuferweg|Wartehäuschen Fähri / Werkhaus|29.00'), 'P9', 6, 80, 2019,'Beleuchtung'),</v>
      </c>
    </row>
    <row r="3845" spans="1:8" x14ac:dyDescent="0.25">
      <c r="A3845" s="9" t="s">
        <v>3453</v>
      </c>
      <c r="B3845" s="9" t="s">
        <v>1112</v>
      </c>
      <c r="C3845">
        <v>0</v>
      </c>
      <c r="D3845" t="s">
        <v>4080</v>
      </c>
      <c r="E3845">
        <v>2019</v>
      </c>
      <c r="F3845" s="9"/>
      <c r="H3845" s="20" t="str">
        <f t="shared" ref="H3845:H3908" si="60">"(nextval('obj_part_id_seq'), (select id from obj_building_v where zip||'|'||street||'|'||name||'|'||volume = '"&amp;A3845&amp;"'), '"&amp;B3845&amp;"', "&amp;C3845&amp;", "&amp;D3845&amp;", "&amp;IF(ISBLANK(E3845),"null",E3845)&amp;","&amp;IF(ISBLANK(F3845),"null","'"&amp;F3845&amp;"'")&amp;"),"</f>
        <v>(nextval('obj_part_id_seq'), (select id from obj_building_v where zip||'|'||street||'|'||name||'|'||volume = '4303|Rheinuferweg|Wartehäuschen Fähri / Werkhaus|29.00'), 'P10', 0, null, 2019,null),</v>
      </c>
    </row>
    <row r="3846" spans="1:8" x14ac:dyDescent="0.25">
      <c r="A3846" s="9" t="s">
        <v>3453</v>
      </c>
      <c r="B3846" s="9" t="s">
        <v>1114</v>
      </c>
      <c r="C3846">
        <v>12</v>
      </c>
      <c r="D3846">
        <v>80</v>
      </c>
      <c r="E3846">
        <v>2019</v>
      </c>
      <c r="F3846" s="9" t="s">
        <v>3457</v>
      </c>
      <c r="H3846" s="20" t="str">
        <f t="shared" si="60"/>
        <v>(nextval('obj_part_id_seq'), (select id from obj_building_v where zip||'|'||street||'|'||name||'|'||volume = '4303|Rheinuferweg|Wartehäuschen Fähri / Werkhaus|29.00'), 'P11', 12, 80, 2019,'Boden: Beton'),</v>
      </c>
    </row>
    <row r="3847" spans="1:8" x14ac:dyDescent="0.25">
      <c r="A3847" s="9" t="s">
        <v>3453</v>
      </c>
      <c r="B3847" s="9" t="s">
        <v>1114</v>
      </c>
      <c r="C3847">
        <v>0</v>
      </c>
      <c r="D3847" t="s">
        <v>4080</v>
      </c>
      <c r="E3847">
        <v>2019</v>
      </c>
      <c r="F3847" s="9"/>
      <c r="H3847" s="20" t="str">
        <f t="shared" si="60"/>
        <v>(nextval('obj_part_id_seq'), (select id from obj_building_v where zip||'|'||street||'|'||name||'|'||volume = '4303|Rheinuferweg|Wartehäuschen Fähri / Werkhaus|29.00'), 'P11', 0, null, 2019,null),</v>
      </c>
    </row>
    <row r="3848" spans="1:8" x14ac:dyDescent="0.25">
      <c r="A3848" s="9" t="s">
        <v>3453</v>
      </c>
      <c r="B3848" s="9" t="s">
        <v>1116</v>
      </c>
      <c r="C3848">
        <v>0</v>
      </c>
      <c r="D3848" t="s">
        <v>4080</v>
      </c>
      <c r="E3848">
        <v>2019</v>
      </c>
      <c r="F3848" s="9"/>
      <c r="H3848" s="20" t="str">
        <f t="shared" si="60"/>
        <v>(nextval('obj_part_id_seq'), (select id from obj_building_v where zip||'|'||street||'|'||name||'|'||volume = '4303|Rheinuferweg|Wartehäuschen Fähri / Werkhaus|29.00'), 'P12', 0, null, 2019,null),</v>
      </c>
    </row>
    <row r="3849" spans="1:8" x14ac:dyDescent="0.25">
      <c r="A3849" s="9" t="s">
        <v>3458</v>
      </c>
      <c r="B3849" s="9" t="s">
        <v>1127</v>
      </c>
      <c r="C3849">
        <v>31</v>
      </c>
      <c r="D3849">
        <v>85</v>
      </c>
      <c r="E3849">
        <v>2019</v>
      </c>
      <c r="F3849" s="9" t="s">
        <v>3459</v>
      </c>
      <c r="H3849" s="20" t="str">
        <f t="shared" si="60"/>
        <v>(nextval('obj_part_id_seq'), (select id from obj_building_v where zip||'|'||street||'|'||name||'|'||volume = '4303|Rheinuferweg|Pumpihaus Clubhaus Rheingenossen|638.00'), 'P48', 31, 85, 2019,'Mauerwerk, Holz, Holzstützen'),</v>
      </c>
    </row>
    <row r="3850" spans="1:8" x14ac:dyDescent="0.25">
      <c r="A3850" s="9" t="s">
        <v>3458</v>
      </c>
      <c r="B3850" s="9" t="s">
        <v>1129</v>
      </c>
      <c r="C3850">
        <v>0</v>
      </c>
      <c r="D3850" t="s">
        <v>4080</v>
      </c>
      <c r="E3850">
        <v>2019</v>
      </c>
      <c r="F3850" s="9"/>
      <c r="H3850" s="20" t="str">
        <f t="shared" si="60"/>
        <v>(nextval('obj_part_id_seq'), (select id from obj_building_v where zip||'|'||street||'|'||name||'|'||volume = '4303|Rheinuferweg|Pumpihaus Clubhaus Rheingenossen|638.00'), 'P49', 0, null, 2019,null),</v>
      </c>
    </row>
    <row r="3851" spans="1:8" x14ac:dyDescent="0.25">
      <c r="A3851" s="9" t="s">
        <v>3458</v>
      </c>
      <c r="B3851" s="9" t="s">
        <v>1097</v>
      </c>
      <c r="C3851">
        <v>13</v>
      </c>
      <c r="D3851">
        <v>90</v>
      </c>
      <c r="E3851">
        <v>2019</v>
      </c>
      <c r="F3851" s="9" t="s">
        <v>3460</v>
      </c>
      <c r="H3851" s="20" t="str">
        <f t="shared" si="60"/>
        <v>(nextval('obj_part_id_seq'), (select id from obj_building_v where zip||'|'||street||'|'||name||'|'||volume = '4303|Rheinuferweg|Pumpihaus Clubhaus Rheingenossen|638.00'), 'P2', 13, 90, 2019,'Biberschwanzziegel, Holzwerk trocken'),</v>
      </c>
    </row>
    <row r="3852" spans="1:8" x14ac:dyDescent="0.25">
      <c r="A3852" s="9" t="s">
        <v>3458</v>
      </c>
      <c r="B3852" s="9" t="s">
        <v>1099</v>
      </c>
      <c r="C3852">
        <v>0</v>
      </c>
      <c r="D3852" t="s">
        <v>4080</v>
      </c>
      <c r="E3852">
        <v>2019</v>
      </c>
      <c r="F3852" s="9"/>
      <c r="H3852" s="20" t="str">
        <f t="shared" si="60"/>
        <v>(nextval('obj_part_id_seq'), (select id from obj_building_v where zip||'|'||street||'|'||name||'|'||volume = '4303|Rheinuferweg|Pumpihaus Clubhaus Rheingenossen|638.00'), 'P3', 0, null, 2019,null),</v>
      </c>
    </row>
    <row r="3853" spans="1:8" x14ac:dyDescent="0.25">
      <c r="A3853" s="9" t="s">
        <v>3458</v>
      </c>
      <c r="B3853" s="9" t="s">
        <v>1100</v>
      </c>
      <c r="C3853">
        <v>10</v>
      </c>
      <c r="D3853">
        <v>85</v>
      </c>
      <c r="E3853">
        <v>2019</v>
      </c>
      <c r="F3853" s="9" t="s">
        <v>3461</v>
      </c>
      <c r="H3853" s="20" t="str">
        <f t="shared" si="60"/>
        <v>(nextval('obj_part_id_seq'), (select id from obj_building_v where zip||'|'||street||'|'||name||'|'||volume = '4303|Rheinuferweg|Pumpihaus Clubhaus Rheingenossen|638.00'), 'P4', 10, 85, 2019,'Sandstein gestrichen, Mauerwerk verputzt, Holzanbau'),</v>
      </c>
    </row>
    <row r="3854" spans="1:8" x14ac:dyDescent="0.25">
      <c r="A3854" s="9" t="s">
        <v>3458</v>
      </c>
      <c r="B3854" s="9" t="s">
        <v>1102</v>
      </c>
      <c r="C3854">
        <v>13</v>
      </c>
      <c r="D3854">
        <v>80</v>
      </c>
      <c r="E3854">
        <v>2019</v>
      </c>
      <c r="F3854" s="9" t="s">
        <v>3462</v>
      </c>
      <c r="H3854" s="20" t="str">
        <f t="shared" si="60"/>
        <v>(nextval('obj_part_id_seq'), (select id from obj_building_v where zip||'|'||street||'|'||name||'|'||volume = '4303|Rheinuferweg|Pumpihaus Clubhaus Rheingenossen|638.00'), 'P5', 13, 80, 2019,'Holz, Einscheibenglas, Läden aus Holz, neue Eingangstüre (2009), Isolierverglasung'),</v>
      </c>
    </row>
    <row r="3855" spans="1:8" x14ac:dyDescent="0.25">
      <c r="A3855" s="9" t="s">
        <v>3458</v>
      </c>
      <c r="B3855" s="9" t="s">
        <v>1110</v>
      </c>
      <c r="C3855">
        <v>3</v>
      </c>
      <c r="D3855">
        <v>85</v>
      </c>
      <c r="E3855">
        <v>2019</v>
      </c>
      <c r="F3855" s="9" t="s">
        <v>3463</v>
      </c>
      <c r="H3855" s="20" t="str">
        <f t="shared" si="60"/>
        <v>(nextval('obj_part_id_seq'), (select id from obj_building_v where zip||'|'||street||'|'||name||'|'||volume = '4303|Rheinuferweg|Pumpihaus Clubhaus Rheingenossen|638.00'), 'P9', 3, 85, 2019,'Beleuchtung, Sicherung genügend'),</v>
      </c>
    </row>
    <row r="3856" spans="1:8" x14ac:dyDescent="0.25">
      <c r="A3856" s="9" t="s">
        <v>3458</v>
      </c>
      <c r="B3856" s="9" t="s">
        <v>1104</v>
      </c>
      <c r="C3856">
        <v>4</v>
      </c>
      <c r="D3856">
        <v>50</v>
      </c>
      <c r="E3856">
        <v>2019</v>
      </c>
      <c r="F3856" s="9" t="s">
        <v>3464</v>
      </c>
      <c r="H3856" s="20" t="str">
        <f t="shared" si="60"/>
        <v>(nextval('obj_part_id_seq'), (select id from obj_building_v where zip||'|'||street||'|'||name||'|'||volume = '4303|Rheinuferweg|Pumpihaus Clubhaus Rheingenossen|638.00'), 'P6', 4, 50, 2019,'Heizung kaputt, Holzofen'),</v>
      </c>
    </row>
    <row r="3857" spans="1:8" x14ac:dyDescent="0.25">
      <c r="A3857" s="9" t="s">
        <v>3458</v>
      </c>
      <c r="B3857" s="9" t="s">
        <v>1106</v>
      </c>
      <c r="C3857">
        <v>0</v>
      </c>
      <c r="D3857" t="s">
        <v>4080</v>
      </c>
      <c r="E3857">
        <v>2019</v>
      </c>
      <c r="F3857" s="9"/>
      <c r="H3857" s="20" t="str">
        <f t="shared" si="60"/>
        <v>(nextval('obj_part_id_seq'), (select id from obj_building_v where zip||'|'||street||'|'||name||'|'||volume = '4303|Rheinuferweg|Pumpihaus Clubhaus Rheingenossen|638.00'), 'P7', 0, null, 2019,null),</v>
      </c>
    </row>
    <row r="3858" spans="1:8" x14ac:dyDescent="0.25">
      <c r="A3858" s="9" t="s">
        <v>3458</v>
      </c>
      <c r="B3858" s="9" t="s">
        <v>1135</v>
      </c>
      <c r="C3858">
        <v>2</v>
      </c>
      <c r="D3858">
        <v>80</v>
      </c>
      <c r="E3858">
        <v>2019</v>
      </c>
      <c r="F3858" s="9" t="s">
        <v>3465</v>
      </c>
      <c r="H3858" s="20" t="str">
        <f t="shared" si="60"/>
        <v>(nextval('obj_part_id_seq'), (select id from obj_building_v where zip||'|'||street||'|'||name||'|'||volume = '4303|Rheinuferweg|Pumpihaus Clubhaus Rheingenossen|638.00'), 'P54', 2, 80, 2019,'WC, Geschirrspüler in Küche'),</v>
      </c>
    </row>
    <row r="3859" spans="1:8" x14ac:dyDescent="0.25">
      <c r="A3859" s="9" t="s">
        <v>3458</v>
      </c>
      <c r="B3859" s="9" t="s">
        <v>1137</v>
      </c>
      <c r="C3859">
        <v>4</v>
      </c>
      <c r="D3859">
        <v>85</v>
      </c>
      <c r="E3859">
        <v>2019</v>
      </c>
      <c r="F3859" s="9" t="s">
        <v>1218</v>
      </c>
      <c r="H3859" s="20" t="str">
        <f t="shared" si="60"/>
        <v>(nextval('obj_part_id_seq'), (select id from obj_building_v where zip||'|'||street||'|'||name||'|'||volume = '4303|Rheinuferweg|Pumpihaus Clubhaus Rheingenossen|638.00'), 'P55', 4, 85, 2019,'Keine Mängel bekannt'),</v>
      </c>
    </row>
    <row r="3860" spans="1:8" x14ac:dyDescent="0.25">
      <c r="A3860" s="9" t="s">
        <v>3458</v>
      </c>
      <c r="B3860" s="9" t="s">
        <v>1138</v>
      </c>
      <c r="C3860">
        <v>10</v>
      </c>
      <c r="D3860">
        <v>80</v>
      </c>
      <c r="E3860">
        <v>2019</v>
      </c>
      <c r="F3860" s="9" t="s">
        <v>3466</v>
      </c>
      <c r="H3860" s="20" t="str">
        <f t="shared" si="60"/>
        <v>(nextval('obj_part_id_seq'), (select id from obj_building_v where zip||'|'||street||'|'||name||'|'||volume = '4303|Rheinuferweg|Pumpihaus Clubhaus Rheingenossen|638.00'), 'P57', 10, 80, 2019,'Einbauten, Innentüren'),</v>
      </c>
    </row>
    <row r="3861" spans="1:8" x14ac:dyDescent="0.25">
      <c r="A3861" s="9" t="s">
        <v>3458</v>
      </c>
      <c r="B3861" s="9" t="s">
        <v>1140</v>
      </c>
      <c r="C3861">
        <v>6</v>
      </c>
      <c r="D3861">
        <v>80</v>
      </c>
      <c r="E3861">
        <v>2019</v>
      </c>
      <c r="F3861" s="9" t="s">
        <v>3467</v>
      </c>
      <c r="H3861" s="20" t="str">
        <f t="shared" si="60"/>
        <v>(nextval('obj_part_id_seq'), (select id from obj_building_v where zip||'|'||street||'|'||name||'|'||volume = '4303|Rheinuferweg|Pumpihaus Clubhaus Rheingenossen|638.00'), 'P58', 6, 80, 2019,'Boden: Linol,  Wand: Holz, Dach: Holzwerkstoffplatten Pavatex'),</v>
      </c>
    </row>
    <row r="3862" spans="1:8" x14ac:dyDescent="0.25">
      <c r="A3862" s="9" t="s">
        <v>3458</v>
      </c>
      <c r="B3862" s="9" t="s">
        <v>1157</v>
      </c>
      <c r="C3862">
        <v>4</v>
      </c>
      <c r="D3862">
        <v>80</v>
      </c>
      <c r="E3862">
        <v>2019</v>
      </c>
      <c r="F3862" s="9" t="s">
        <v>3468</v>
      </c>
      <c r="H3862" s="20" t="str">
        <f t="shared" si="60"/>
        <v>(nextval('obj_part_id_seq'), (select id from obj_building_v where zip||'|'||street||'|'||name||'|'||volume = '4303|Rheinuferweg|Pumpihaus Clubhaus Rheingenossen|638.00'), 'P59', 4, 80, 2019,'Küche, Buffet'),</v>
      </c>
    </row>
    <row r="3863" spans="1:8" x14ac:dyDescent="0.25">
      <c r="A3863" s="9" t="s">
        <v>3458</v>
      </c>
      <c r="B3863" s="9" t="s">
        <v>1142</v>
      </c>
      <c r="C3863">
        <v>0</v>
      </c>
      <c r="D3863" t="s">
        <v>4080</v>
      </c>
      <c r="E3863">
        <v>2019</v>
      </c>
      <c r="F3863" s="9"/>
      <c r="H3863" s="20" t="str">
        <f t="shared" si="60"/>
        <v>(nextval('obj_part_id_seq'), (select id from obj_building_v where zip||'|'||street||'|'||name||'|'||volume = '4303|Rheinuferweg|Pumpihaus Clubhaus Rheingenossen|638.00'), 'P60', 0, null, 2019,null),</v>
      </c>
    </row>
    <row r="3864" spans="1:8" x14ac:dyDescent="0.25">
      <c r="A3864" s="9" t="s">
        <v>3458</v>
      </c>
      <c r="B3864" s="9" t="s">
        <v>1143</v>
      </c>
      <c r="C3864">
        <v>0</v>
      </c>
      <c r="D3864" t="s">
        <v>4080</v>
      </c>
      <c r="E3864">
        <v>2019</v>
      </c>
      <c r="F3864" s="9"/>
      <c r="H3864" s="20" t="str">
        <f t="shared" si="60"/>
        <v>(nextval('obj_part_id_seq'), (select id from obj_building_v where zip||'|'||street||'|'||name||'|'||volume = '4303|Rheinuferweg|Pumpihaus Clubhaus Rheingenossen|638.00'), 'P61', 0, null, 2019,null),</v>
      </c>
    </row>
    <row r="3865" spans="1:8" x14ac:dyDescent="0.25">
      <c r="A3865" s="9" t="s">
        <v>3458</v>
      </c>
      <c r="B3865" s="9" t="s">
        <v>1144</v>
      </c>
      <c r="C3865">
        <v>0</v>
      </c>
      <c r="D3865" t="s">
        <v>4080</v>
      </c>
      <c r="E3865">
        <v>2019</v>
      </c>
      <c r="F3865" s="9"/>
      <c r="H3865" s="20" t="str">
        <f t="shared" si="60"/>
        <v>(nextval('obj_part_id_seq'), (select id from obj_building_v where zip||'|'||street||'|'||name||'|'||volume = '4303|Rheinuferweg|Pumpihaus Clubhaus Rheingenossen|638.00'), 'P62', 0, null, 2019,null),</v>
      </c>
    </row>
    <row r="3866" spans="1:8" x14ac:dyDescent="0.25">
      <c r="A3866" s="9" t="s">
        <v>3469</v>
      </c>
      <c r="B3866" s="9" t="s">
        <v>1127</v>
      </c>
      <c r="C3866">
        <v>32</v>
      </c>
      <c r="D3866">
        <v>85</v>
      </c>
      <c r="E3866">
        <v>2019</v>
      </c>
      <c r="F3866" s="9" t="s">
        <v>3470</v>
      </c>
      <c r="H3866" s="20" t="str">
        <f t="shared" si="60"/>
        <v>(nextval('obj_part_id_seq'), (select id from obj_building_v where zip||'|'||street||'|'||name||'|'||volume = '4303|Rheinuferweg Ergolzbucht|Bootshaus Lochmatt|897.00'), 'P48', 32, 85, 2019,'Fundationen, Holz'),</v>
      </c>
    </row>
    <row r="3867" spans="1:8" x14ac:dyDescent="0.25">
      <c r="A3867" s="9" t="s">
        <v>3469</v>
      </c>
      <c r="B3867" s="9" t="s">
        <v>1129</v>
      </c>
      <c r="C3867">
        <v>0</v>
      </c>
      <c r="D3867" t="s">
        <v>4080</v>
      </c>
      <c r="E3867">
        <v>2019</v>
      </c>
      <c r="F3867" s="9"/>
      <c r="H3867" s="20" t="str">
        <f t="shared" si="60"/>
        <v>(nextval('obj_part_id_seq'), (select id from obj_building_v where zip||'|'||street||'|'||name||'|'||volume = '4303|Rheinuferweg Ergolzbucht|Bootshaus Lochmatt|897.00'), 'P49', 0, null, 2019,null),</v>
      </c>
    </row>
    <row r="3868" spans="1:8" x14ac:dyDescent="0.25">
      <c r="A3868" s="9" t="s">
        <v>3469</v>
      </c>
      <c r="B3868" s="9" t="s">
        <v>1097</v>
      </c>
      <c r="C3868">
        <v>24</v>
      </c>
      <c r="D3868">
        <v>85</v>
      </c>
      <c r="E3868">
        <v>2019</v>
      </c>
      <c r="F3868" s="9" t="s">
        <v>1467</v>
      </c>
      <c r="H3868" s="20" t="str">
        <f t="shared" si="60"/>
        <v>(nextval('obj_part_id_seq'), (select id from obj_building_v where zip||'|'||street||'|'||name||'|'||volume = '4303|Rheinuferweg Ergolzbucht|Bootshaus Lochmatt|897.00'), 'P2', 24, 85, 2019,'Eternitschindeldach'),</v>
      </c>
    </row>
    <row r="3869" spans="1:8" x14ac:dyDescent="0.25">
      <c r="A3869" s="9" t="s">
        <v>3469</v>
      </c>
      <c r="B3869" s="9" t="s">
        <v>1099</v>
      </c>
      <c r="C3869">
        <v>0</v>
      </c>
      <c r="D3869" t="s">
        <v>4080</v>
      </c>
      <c r="E3869">
        <v>2019</v>
      </c>
      <c r="F3869" s="9"/>
      <c r="H3869" s="20" t="str">
        <f t="shared" si="60"/>
        <v>(nextval('obj_part_id_seq'), (select id from obj_building_v where zip||'|'||street||'|'||name||'|'||volume = '4303|Rheinuferweg Ergolzbucht|Bootshaus Lochmatt|897.00'), 'P3', 0, null, 2019,null),</v>
      </c>
    </row>
    <row r="3870" spans="1:8" x14ac:dyDescent="0.25">
      <c r="A3870" s="9" t="s">
        <v>3469</v>
      </c>
      <c r="B3870" s="9" t="s">
        <v>1100</v>
      </c>
      <c r="C3870">
        <v>30</v>
      </c>
      <c r="D3870">
        <v>80</v>
      </c>
      <c r="E3870">
        <v>2019</v>
      </c>
      <c r="F3870" s="9" t="s">
        <v>3471</v>
      </c>
      <c r="H3870" s="20" t="str">
        <f t="shared" si="60"/>
        <v>(nextval('obj_part_id_seq'), (select id from obj_building_v where zip||'|'||street||'|'||name||'|'||volume = '4303|Rheinuferweg Ergolzbucht|Bootshaus Lochmatt|897.00'), 'P4', 30, 80, 2019,'Holzlatten, vertikal mit Zwischenräumen'),</v>
      </c>
    </row>
    <row r="3871" spans="1:8" x14ac:dyDescent="0.25">
      <c r="A3871" s="9" t="s">
        <v>3469</v>
      </c>
      <c r="B3871" s="9" t="s">
        <v>1102</v>
      </c>
      <c r="C3871">
        <v>0</v>
      </c>
      <c r="D3871" t="s">
        <v>4080</v>
      </c>
      <c r="E3871">
        <v>2019</v>
      </c>
      <c r="F3871" s="9"/>
      <c r="H3871" s="20" t="str">
        <f t="shared" si="60"/>
        <v>(nextval('obj_part_id_seq'), (select id from obj_building_v where zip||'|'||street||'|'||name||'|'||volume = '4303|Rheinuferweg Ergolzbucht|Bootshaus Lochmatt|897.00'), 'P5', 0, null, 2019,null),</v>
      </c>
    </row>
    <row r="3872" spans="1:8" x14ac:dyDescent="0.25">
      <c r="A3872" s="9" t="s">
        <v>3469</v>
      </c>
      <c r="B3872" s="9" t="s">
        <v>1110</v>
      </c>
      <c r="C3872">
        <v>9</v>
      </c>
      <c r="D3872">
        <v>80</v>
      </c>
      <c r="E3872">
        <v>2019</v>
      </c>
      <c r="F3872" s="9" t="s">
        <v>3472</v>
      </c>
      <c r="H3872" s="20" t="str">
        <f t="shared" si="60"/>
        <v>(nextval('obj_part_id_seq'), (select id from obj_building_v where zip||'|'||street||'|'||name||'|'||volume = '4303|Rheinuferweg Ergolzbucht|Bootshaus Lochmatt|897.00'), 'P9', 9, 80, 2019,'Beleuchtung, alte Keramiksicherungen, Anschlüsse, FI-Schutzschalter'),</v>
      </c>
    </row>
    <row r="3873" spans="1:8" x14ac:dyDescent="0.25">
      <c r="A3873" s="9" t="s">
        <v>3469</v>
      </c>
      <c r="B3873" s="9" t="s">
        <v>1104</v>
      </c>
      <c r="C3873">
        <v>0</v>
      </c>
      <c r="D3873" t="s">
        <v>4080</v>
      </c>
      <c r="E3873">
        <v>2019</v>
      </c>
      <c r="F3873" s="9"/>
      <c r="H3873" s="20" t="str">
        <f t="shared" si="60"/>
        <v>(nextval('obj_part_id_seq'), (select id from obj_building_v where zip||'|'||street||'|'||name||'|'||volume = '4303|Rheinuferweg Ergolzbucht|Bootshaus Lochmatt|897.00'), 'P6', 0, null, 2019,null),</v>
      </c>
    </row>
    <row r="3874" spans="1:8" x14ac:dyDescent="0.25">
      <c r="A3874" s="9" t="s">
        <v>3469</v>
      </c>
      <c r="B3874" s="9" t="s">
        <v>1106</v>
      </c>
      <c r="C3874">
        <v>0</v>
      </c>
      <c r="D3874" t="s">
        <v>4080</v>
      </c>
      <c r="E3874">
        <v>2019</v>
      </c>
      <c r="F3874" s="9"/>
      <c r="H3874" s="20" t="str">
        <f t="shared" si="60"/>
        <v>(nextval('obj_part_id_seq'), (select id from obj_building_v where zip||'|'||street||'|'||name||'|'||volume = '4303|Rheinuferweg Ergolzbucht|Bootshaus Lochmatt|897.00'), 'P7', 0, null, 2019,null),</v>
      </c>
    </row>
    <row r="3875" spans="1:8" x14ac:dyDescent="0.25">
      <c r="A3875" s="9" t="s">
        <v>3469</v>
      </c>
      <c r="B3875" s="9" t="s">
        <v>1403</v>
      </c>
      <c r="C3875">
        <v>0</v>
      </c>
      <c r="D3875" t="s">
        <v>4080</v>
      </c>
      <c r="E3875">
        <v>2019</v>
      </c>
      <c r="F3875" s="9"/>
      <c r="H3875" s="20" t="str">
        <f t="shared" si="60"/>
        <v>(nextval('obj_part_id_seq'), (select id from obj_building_v where zip||'|'||street||'|'||name||'|'||volume = '4303|Rheinuferweg Ergolzbucht|Bootshaus Lochmatt|897.00'), 'P52', 0, null, 2019,null),</v>
      </c>
    </row>
    <row r="3876" spans="1:8" x14ac:dyDescent="0.25">
      <c r="A3876" s="9" t="s">
        <v>3469</v>
      </c>
      <c r="B3876" s="9" t="s">
        <v>1404</v>
      </c>
      <c r="C3876">
        <v>0</v>
      </c>
      <c r="D3876" t="s">
        <v>4080</v>
      </c>
      <c r="E3876">
        <v>2019</v>
      </c>
      <c r="F3876" s="9"/>
      <c r="H3876" s="20" t="str">
        <f t="shared" si="60"/>
        <v>(nextval('obj_part_id_seq'), (select id from obj_building_v where zip||'|'||street||'|'||name||'|'||volume = '4303|Rheinuferweg Ergolzbucht|Bootshaus Lochmatt|897.00'), 'P53', 0, null, 2019,null),</v>
      </c>
    </row>
    <row r="3877" spans="1:8" x14ac:dyDescent="0.25">
      <c r="A3877" s="9" t="s">
        <v>3469</v>
      </c>
      <c r="B3877" s="9" t="s">
        <v>1108</v>
      </c>
      <c r="C3877">
        <v>0</v>
      </c>
      <c r="D3877" t="s">
        <v>4080</v>
      </c>
      <c r="E3877">
        <v>2019</v>
      </c>
      <c r="F3877" s="9"/>
      <c r="H3877" s="20" t="str">
        <f t="shared" si="60"/>
        <v>(nextval('obj_part_id_seq'), (select id from obj_building_v where zip||'|'||street||'|'||name||'|'||volume = '4303|Rheinuferweg Ergolzbucht|Bootshaus Lochmatt|897.00'), 'P8', 0, null, 2019,null),</v>
      </c>
    </row>
    <row r="3878" spans="1:8" x14ac:dyDescent="0.25">
      <c r="A3878" s="9" t="s">
        <v>3469</v>
      </c>
      <c r="B3878" s="9" t="s">
        <v>1155</v>
      </c>
      <c r="C3878">
        <v>0</v>
      </c>
      <c r="D3878" t="s">
        <v>4080</v>
      </c>
      <c r="E3878">
        <v>2019</v>
      </c>
      <c r="F3878" s="9"/>
      <c r="H3878" s="20" t="str">
        <f t="shared" si="60"/>
        <v>(nextval('obj_part_id_seq'), (select id from obj_building_v where zip||'|'||street||'|'||name||'|'||volume = '4303|Rheinuferweg Ergolzbucht|Bootshaus Lochmatt|897.00'), 'P56', 0, null, 2019,null),</v>
      </c>
    </row>
    <row r="3879" spans="1:8" x14ac:dyDescent="0.25">
      <c r="A3879" s="9" t="s">
        <v>3469</v>
      </c>
      <c r="B3879" s="9" t="s">
        <v>1138</v>
      </c>
      <c r="C3879">
        <v>0</v>
      </c>
      <c r="D3879" t="s">
        <v>4080</v>
      </c>
      <c r="E3879">
        <v>2019</v>
      </c>
      <c r="F3879" s="9"/>
      <c r="H3879" s="20" t="str">
        <f t="shared" si="60"/>
        <v>(nextval('obj_part_id_seq'), (select id from obj_building_v where zip||'|'||street||'|'||name||'|'||volume = '4303|Rheinuferweg Ergolzbucht|Bootshaus Lochmatt|897.00'), 'P57', 0, null, 2019,null),</v>
      </c>
    </row>
    <row r="3880" spans="1:8" x14ac:dyDescent="0.25">
      <c r="A3880" s="9" t="s">
        <v>3469</v>
      </c>
      <c r="B3880" s="9" t="s">
        <v>1140</v>
      </c>
      <c r="C3880">
        <v>5</v>
      </c>
      <c r="D3880">
        <v>90</v>
      </c>
      <c r="E3880">
        <v>2019</v>
      </c>
      <c r="F3880" s="9" t="s">
        <v>3473</v>
      </c>
      <c r="H3880" s="20" t="str">
        <f t="shared" si="60"/>
        <v>(nextval('obj_part_id_seq'), (select id from obj_building_v where zip||'|'||street||'|'||name||'|'||volume = '4303|Rheinuferweg Ergolzbucht|Bootshaus Lochmatt|897.00'), 'P58', 5, 90, 2019,'Boden: Gitterroste'),</v>
      </c>
    </row>
    <row r="3881" spans="1:8" x14ac:dyDescent="0.25">
      <c r="A3881" s="9" t="s">
        <v>3469</v>
      </c>
      <c r="B3881" s="9" t="s">
        <v>1142</v>
      </c>
      <c r="C3881">
        <v>0</v>
      </c>
      <c r="D3881" t="s">
        <v>4080</v>
      </c>
      <c r="E3881">
        <v>2019</v>
      </c>
      <c r="F3881" s="9"/>
      <c r="H3881" s="20" t="str">
        <f t="shared" si="60"/>
        <v>(nextval('obj_part_id_seq'), (select id from obj_building_v where zip||'|'||street||'|'||name||'|'||volume = '4303|Rheinuferweg Ergolzbucht|Bootshaus Lochmatt|897.00'), 'P60', 0, null, 2019,null),</v>
      </c>
    </row>
    <row r="3882" spans="1:8" x14ac:dyDescent="0.25">
      <c r="A3882" s="9" t="s">
        <v>3469</v>
      </c>
      <c r="B3882" s="9" t="s">
        <v>1143</v>
      </c>
      <c r="C3882">
        <v>0</v>
      </c>
      <c r="D3882" t="s">
        <v>4080</v>
      </c>
      <c r="E3882">
        <v>2019</v>
      </c>
      <c r="F3882" s="9"/>
      <c r="H3882" s="20" t="str">
        <f t="shared" si="60"/>
        <v>(nextval('obj_part_id_seq'), (select id from obj_building_v where zip||'|'||street||'|'||name||'|'||volume = '4303|Rheinuferweg Ergolzbucht|Bootshaus Lochmatt|897.00'), 'P61', 0, null, 2019,null),</v>
      </c>
    </row>
    <row r="3883" spans="1:8" x14ac:dyDescent="0.25">
      <c r="A3883" s="9" t="s">
        <v>3469</v>
      </c>
      <c r="B3883" s="9" t="s">
        <v>1144</v>
      </c>
      <c r="C3883">
        <v>0</v>
      </c>
      <c r="D3883" t="s">
        <v>4080</v>
      </c>
      <c r="E3883">
        <v>2019</v>
      </c>
      <c r="F3883" s="9"/>
      <c r="H3883" s="20" t="str">
        <f t="shared" si="60"/>
        <v>(nextval('obj_part_id_seq'), (select id from obj_building_v where zip||'|'||street||'|'||name||'|'||volume = '4303|Rheinuferweg Ergolzbucht|Bootshaus Lochmatt|897.00'), 'P62', 0, null, 2019,null),</v>
      </c>
    </row>
    <row r="3884" spans="1:8" x14ac:dyDescent="0.25">
      <c r="A3884" s="9" t="s">
        <v>3474</v>
      </c>
      <c r="B3884" s="9" t="s">
        <v>1127</v>
      </c>
      <c r="C3884">
        <v>26</v>
      </c>
      <c r="D3884">
        <v>90</v>
      </c>
      <c r="E3884">
        <v>2019</v>
      </c>
      <c r="F3884" s="9" t="s">
        <v>3475</v>
      </c>
      <c r="H3884" s="20" t="str">
        <f t="shared" si="60"/>
        <v>(nextval('obj_part_id_seq'), (select id from obj_building_v where zip||'|'||street||'|'||name||'|'||volume = '4303|Dorfstrasse 35|Landgasthof Adler + Autounterstand|3043.00'), 'P48', 26, 90, 2019,'Mauerwerk, im UG Bollensteine und KS, Holzdecken, im Keller: Hourdisdecke, im Weinkeller: Gewölbe aus Natursteinen'),</v>
      </c>
    </row>
    <row r="3885" spans="1:8" x14ac:dyDescent="0.25">
      <c r="A3885" s="9" t="s">
        <v>3474</v>
      </c>
      <c r="B3885" s="9" t="s">
        <v>1129</v>
      </c>
      <c r="C3885">
        <v>0</v>
      </c>
      <c r="D3885" t="s">
        <v>4080</v>
      </c>
      <c r="E3885">
        <v>2019</v>
      </c>
      <c r="F3885" s="9"/>
      <c r="H3885" s="20" t="str">
        <f t="shared" si="60"/>
        <v>(nextval('obj_part_id_seq'), (select id from obj_building_v where zip||'|'||street||'|'||name||'|'||volume = '4303|Dorfstrasse 35|Landgasthof Adler + Autounterstand|3043.00'), 'P49', 0, null, 2019,null),</v>
      </c>
    </row>
    <row r="3886" spans="1:8" x14ac:dyDescent="0.25">
      <c r="A3886" s="9" t="s">
        <v>3474</v>
      </c>
      <c r="B3886" s="9" t="s">
        <v>1097</v>
      </c>
      <c r="C3886">
        <v>8</v>
      </c>
      <c r="D3886">
        <v>90</v>
      </c>
      <c r="E3886">
        <v>2019</v>
      </c>
      <c r="F3886" s="9" t="s">
        <v>3476</v>
      </c>
      <c r="H3886" s="20" t="str">
        <f t="shared" si="60"/>
        <v>(nextval('obj_part_id_seq'), (select id from obj_building_v where zip||'|'||street||'|'||name||'|'||volume = '4303|Dorfstrasse 35|Landgasthof Adler + Autounterstand|3043.00'), 'P2', 8, 90, 2019,'Bieberschwanzziegeldach mit Gaupen'),</v>
      </c>
    </row>
    <row r="3887" spans="1:8" x14ac:dyDescent="0.25">
      <c r="A3887" s="9" t="s">
        <v>3474</v>
      </c>
      <c r="B3887" s="9" t="s">
        <v>1099</v>
      </c>
      <c r="C3887">
        <v>0</v>
      </c>
      <c r="D3887" t="s">
        <v>4080</v>
      </c>
      <c r="E3887">
        <v>2019</v>
      </c>
      <c r="F3887" s="9"/>
      <c r="H3887" s="20" t="str">
        <f t="shared" si="60"/>
        <v>(nextval('obj_part_id_seq'), (select id from obj_building_v where zip||'|'||street||'|'||name||'|'||volume = '4303|Dorfstrasse 35|Landgasthof Adler + Autounterstand|3043.00'), 'P3', 0, null, 2019,null),</v>
      </c>
    </row>
    <row r="3888" spans="1:8" x14ac:dyDescent="0.25">
      <c r="A3888" s="9" t="s">
        <v>3474</v>
      </c>
      <c r="B3888" s="9" t="s">
        <v>1100</v>
      </c>
      <c r="C3888">
        <v>8</v>
      </c>
      <c r="D3888">
        <v>90</v>
      </c>
      <c r="E3888">
        <v>2019</v>
      </c>
      <c r="F3888" s="9" t="s">
        <v>3477</v>
      </c>
      <c r="H3888" s="20" t="str">
        <f t="shared" si="60"/>
        <v>(nextval('obj_part_id_seq'), (select id from obj_building_v where zip||'|'||street||'|'||name||'|'||volume = '4303|Dorfstrasse 35|Landgasthof Adler + Autounterstand|3043.00'), 'P4', 8, 90, 2019,'Mauerwerk verputzt, Natursteingewände'),</v>
      </c>
    </row>
    <row r="3889" spans="1:8" x14ac:dyDescent="0.25">
      <c r="A3889" s="9" t="s">
        <v>3474</v>
      </c>
      <c r="B3889" s="9" t="s">
        <v>1102</v>
      </c>
      <c r="C3889">
        <v>7</v>
      </c>
      <c r="D3889">
        <v>90</v>
      </c>
      <c r="E3889">
        <v>2019</v>
      </c>
      <c r="F3889" s="9" t="s">
        <v>3478</v>
      </c>
      <c r="H3889" s="20" t="str">
        <f t="shared" si="60"/>
        <v>(nextval('obj_part_id_seq'), (select id from obj_building_v where zip||'|'||street||'|'||name||'|'||volume = '4303|Dorfstrasse 35|Landgasthof Adler + Autounterstand|3043.00'), 'P5', 7, 90, 2019,'Holz, 3-fach-Verglasung, Holzläden (nur Dekor), Aussentüren aus Holz'),</v>
      </c>
    </row>
    <row r="3890" spans="1:8" x14ac:dyDescent="0.25">
      <c r="A3890" s="9" t="s">
        <v>3474</v>
      </c>
      <c r="B3890" s="9" t="s">
        <v>1110</v>
      </c>
      <c r="C3890">
        <v>9</v>
      </c>
      <c r="D3890">
        <v>90</v>
      </c>
      <c r="E3890">
        <v>2019</v>
      </c>
      <c r="F3890" s="9" t="s">
        <v>3479</v>
      </c>
      <c r="H3890" s="20" t="str">
        <f t="shared" si="60"/>
        <v>(nextval('obj_part_id_seq'), (select id from obj_building_v where zip||'|'||street||'|'||name||'|'||volume = '4303|Dorfstrasse 35|Landgasthof Adler + Autounterstand|3043.00'), 'P9', 9, 90, 2019,'Neuwertig, Brandmeldeanlage, EDV, WLAN'),</v>
      </c>
    </row>
    <row r="3891" spans="1:8" x14ac:dyDescent="0.25">
      <c r="A3891" s="9" t="s">
        <v>3474</v>
      </c>
      <c r="B3891" s="9" t="s">
        <v>1104</v>
      </c>
      <c r="C3891">
        <v>2</v>
      </c>
      <c r="D3891">
        <v>90</v>
      </c>
      <c r="E3891">
        <v>2019</v>
      </c>
      <c r="F3891" s="9" t="s">
        <v>3480</v>
      </c>
      <c r="H3891" s="20" t="str">
        <f t="shared" si="60"/>
        <v>(nextval('obj_part_id_seq'), (select id from obj_building_v where zip||'|'||street||'|'||name||'|'||volume = '4303|Dorfstrasse 35|Landgasthof Adler + Autounterstand|3043.00'), 'P6', 2, 90, 2019,'Gastherme'),</v>
      </c>
    </row>
    <row r="3892" spans="1:8" x14ac:dyDescent="0.25">
      <c r="A3892" s="9" t="s">
        <v>3474</v>
      </c>
      <c r="B3892" s="9" t="s">
        <v>1106</v>
      </c>
      <c r="C3892">
        <v>3</v>
      </c>
      <c r="D3892">
        <v>90</v>
      </c>
      <c r="E3892">
        <v>2019</v>
      </c>
      <c r="F3892" s="9" t="s">
        <v>1107</v>
      </c>
      <c r="H3892" s="20" t="str">
        <f t="shared" si="60"/>
        <v>(nextval('obj_part_id_seq'), (select id from obj_building_v where zip||'|'||street||'|'||name||'|'||volume = '4303|Dorfstrasse 35|Landgasthof Adler + Autounterstand|3043.00'), 'P7', 3, 90, 2019,'Radiatoren mit Thermostaten'),</v>
      </c>
    </row>
    <row r="3893" spans="1:8" x14ac:dyDescent="0.25">
      <c r="A3893" s="9" t="s">
        <v>3474</v>
      </c>
      <c r="B3893" s="9" t="s">
        <v>1403</v>
      </c>
      <c r="C3893">
        <v>4</v>
      </c>
      <c r="D3893">
        <v>90</v>
      </c>
      <c r="E3893">
        <v>2019</v>
      </c>
      <c r="F3893" s="9" t="s">
        <v>3481</v>
      </c>
      <c r="H3893" s="20" t="str">
        <f t="shared" si="60"/>
        <v>(nextval('obj_part_id_seq'), (select id from obj_building_v where zip||'|'||street||'|'||name||'|'||volume = '4303|Dorfstrasse 35|Landgasthof Adler + Autounterstand|3043.00'), 'P52', 4, 90, 2019,'Bad-Lüftung, Klimageräte, Küchenabluft, Rest. mit WRG, Kühlanlage für Buffet und Küche'),</v>
      </c>
    </row>
    <row r="3894" spans="1:8" x14ac:dyDescent="0.25">
      <c r="A3894" s="9" t="s">
        <v>3474</v>
      </c>
      <c r="B3894" s="9" t="s">
        <v>1404</v>
      </c>
      <c r="C3894">
        <v>6</v>
      </c>
      <c r="D3894">
        <v>90</v>
      </c>
      <c r="E3894">
        <v>2019</v>
      </c>
      <c r="F3894" s="9" t="s">
        <v>3482</v>
      </c>
      <c r="H3894" s="20" t="str">
        <f t="shared" si="60"/>
        <v>(nextval('obj_part_id_seq'), (select id from obj_building_v where zip||'|'||street||'|'||name||'|'||volume = '4303|Dorfstrasse 35|Landgasthof Adler + Autounterstand|3043.00'), 'P53', 6, 90, 2019,'Küchenabluft, Rest. mit WRG, im Keller: Klimaanlage'),</v>
      </c>
    </row>
    <row r="3895" spans="1:8" x14ac:dyDescent="0.25">
      <c r="A3895" s="9" t="s">
        <v>3474</v>
      </c>
      <c r="B3895" s="9" t="s">
        <v>1135</v>
      </c>
      <c r="C3895">
        <v>2</v>
      </c>
      <c r="D3895">
        <v>90</v>
      </c>
      <c r="E3895">
        <v>2019</v>
      </c>
      <c r="F3895" s="9" t="s">
        <v>3483</v>
      </c>
      <c r="H3895" s="20" t="str">
        <f t="shared" si="60"/>
        <v>(nextval('obj_part_id_seq'), (select id from obj_building_v where zip||'|'||street||'|'||name||'|'||volume = '4303|Dorfstrasse 35|Landgasthof Adler + Autounterstand|3043.00'), 'P54', 2, 90, 2019,'Leitungen, Apparate und Armaturen neuwertig, Entkaltkungsanlage'),</v>
      </c>
    </row>
    <row r="3896" spans="1:8" x14ac:dyDescent="0.25">
      <c r="A3896" s="9" t="s">
        <v>3474</v>
      </c>
      <c r="B3896" s="9" t="s">
        <v>1137</v>
      </c>
      <c r="C3896">
        <v>4</v>
      </c>
      <c r="D3896">
        <v>90</v>
      </c>
      <c r="E3896">
        <v>2019</v>
      </c>
      <c r="F3896" s="9" t="s">
        <v>3484</v>
      </c>
      <c r="H3896" s="20" t="str">
        <f t="shared" si="60"/>
        <v>(nextval('obj_part_id_seq'), (select id from obj_building_v where zip||'|'||street||'|'||name||'|'||volume = '4303|Dorfstrasse 35|Landgasthof Adler + Autounterstand|3043.00'), 'P55', 4, 90, 2019,'neue Leitungen'),</v>
      </c>
    </row>
    <row r="3897" spans="1:8" x14ac:dyDescent="0.25">
      <c r="A3897" s="9" t="s">
        <v>3474</v>
      </c>
      <c r="B3897" s="9" t="s">
        <v>1155</v>
      </c>
      <c r="C3897">
        <v>3</v>
      </c>
      <c r="D3897">
        <v>90</v>
      </c>
      <c r="E3897">
        <v>2019</v>
      </c>
      <c r="F3897" s="9" t="s">
        <v>3485</v>
      </c>
      <c r="H3897" s="20" t="str">
        <f t="shared" si="60"/>
        <v>(nextval('obj_part_id_seq'), (select id from obj_building_v where zip||'|'||street||'|'||name||'|'||volume = '4303|Dorfstrasse 35|Landgasthof Adler + Autounterstand|3043.00'), 'P56', 3, 90, 2019,'Warenlift (Zugang von aussen)'),</v>
      </c>
    </row>
    <row r="3898" spans="1:8" x14ac:dyDescent="0.25">
      <c r="A3898" s="9" t="s">
        <v>3474</v>
      </c>
      <c r="B3898" s="9" t="s">
        <v>1114</v>
      </c>
      <c r="C3898">
        <v>12</v>
      </c>
      <c r="D3898">
        <v>90</v>
      </c>
      <c r="E3898">
        <v>2019</v>
      </c>
      <c r="F3898" s="9" t="s">
        <v>3486</v>
      </c>
      <c r="H3898" s="20" t="str">
        <f t="shared" si="60"/>
        <v>(nextval('obj_part_id_seq'), (select id from obj_building_v where zip||'|'||street||'|'||name||'|'||volume = '4303|Dorfstrasse 35|Landgasthof Adler + Autounterstand|3043.00'), 'P11', 12, 90, 2019,'Boden: Fliesskunststoff, Langriemenparket im Rest., Vynil in den Zimmern, Keramik in Nassräumen. Wand: verputzt, Tapeten in Zimmern, Keramik in Nassräumen. Decke: verputzt, gestrichen, Akustikdecken im Rest. In den Gängen: Gipsdecken, Brandschutzdecken'),</v>
      </c>
    </row>
    <row r="3899" spans="1:8" x14ac:dyDescent="0.25">
      <c r="A3899" s="9" t="s">
        <v>3474</v>
      </c>
      <c r="B3899" s="9" t="s">
        <v>1157</v>
      </c>
      <c r="C3899">
        <v>6</v>
      </c>
      <c r="D3899">
        <v>90</v>
      </c>
      <c r="E3899">
        <v>2019</v>
      </c>
      <c r="F3899" s="9" t="s">
        <v>3487</v>
      </c>
      <c r="H3899" s="20" t="str">
        <f t="shared" si="60"/>
        <v>(nextval('obj_part_id_seq'), (select id from obj_building_v where zip||'|'||street||'|'||name||'|'||volume = '4303|Dorfstrasse 35|Landgasthof Adler + Autounterstand|3043.00'), 'P59', 6, 90, 2019,'Gewerbliche Küche mit Glaskeramikkochfeldern, div. Geräte, Apparate und Kühlmöbel'),</v>
      </c>
    </row>
    <row r="3900" spans="1:8" x14ac:dyDescent="0.25">
      <c r="A3900" s="9" t="s">
        <v>3474</v>
      </c>
      <c r="B3900" s="9" t="s">
        <v>1142</v>
      </c>
      <c r="C3900">
        <v>0</v>
      </c>
      <c r="D3900" t="s">
        <v>4080</v>
      </c>
      <c r="E3900">
        <v>2019</v>
      </c>
      <c r="F3900" s="9"/>
      <c r="H3900" s="20" t="str">
        <f t="shared" si="60"/>
        <v>(nextval('obj_part_id_seq'), (select id from obj_building_v where zip||'|'||street||'|'||name||'|'||volume = '4303|Dorfstrasse 35|Landgasthof Adler + Autounterstand|3043.00'), 'P60', 0, null, 2019,null),</v>
      </c>
    </row>
    <row r="3901" spans="1:8" x14ac:dyDescent="0.25">
      <c r="A3901" s="9" t="s">
        <v>3474</v>
      </c>
      <c r="B3901" s="9" t="s">
        <v>1143</v>
      </c>
      <c r="C3901">
        <v>0</v>
      </c>
      <c r="D3901" t="s">
        <v>4080</v>
      </c>
      <c r="E3901">
        <v>2019</v>
      </c>
      <c r="F3901" s="9"/>
      <c r="H3901" s="20" t="str">
        <f t="shared" si="60"/>
        <v>(nextval('obj_part_id_seq'), (select id from obj_building_v where zip||'|'||street||'|'||name||'|'||volume = '4303|Dorfstrasse 35|Landgasthof Adler + Autounterstand|3043.00'), 'P61', 0, null, 2019,null),</v>
      </c>
    </row>
    <row r="3902" spans="1:8" x14ac:dyDescent="0.25">
      <c r="A3902" s="9" t="s">
        <v>3474</v>
      </c>
      <c r="B3902" s="9" t="s">
        <v>1144</v>
      </c>
      <c r="C3902">
        <v>0</v>
      </c>
      <c r="D3902" t="s">
        <v>4080</v>
      </c>
      <c r="E3902">
        <v>2019</v>
      </c>
      <c r="F3902" s="9"/>
      <c r="H3902" s="20" t="str">
        <f t="shared" si="60"/>
        <v>(nextval('obj_part_id_seq'), (select id from obj_building_v where zip||'|'||street||'|'||name||'|'||volume = '4303|Dorfstrasse 35|Landgasthof Adler + Autounterstand|3043.00'), 'P62', 0, null, 2019,null),</v>
      </c>
    </row>
    <row r="3903" spans="1:8" x14ac:dyDescent="0.25">
      <c r="A3903" s="9" t="s">
        <v>3488</v>
      </c>
      <c r="B3903" s="9" t="s">
        <v>1127</v>
      </c>
      <c r="C3903">
        <v>23</v>
      </c>
      <c r="D3903">
        <v>90</v>
      </c>
      <c r="E3903">
        <v>2019</v>
      </c>
      <c r="F3903" s="9" t="s">
        <v>3489</v>
      </c>
      <c r="H3903" s="20" t="str">
        <f t="shared" si="60"/>
        <v>(nextval('obj_part_id_seq'), (select id from obj_building_v where zip||'|'||street||'|'||name||'|'||volume = '4303|Violahof|Kinderkrippe|2867.00'), 'P48', 23, 90, 2019,'Holzsystembau von Erne, Stahlbau (Anbau)'),</v>
      </c>
    </row>
    <row r="3904" spans="1:8" x14ac:dyDescent="0.25">
      <c r="A3904" s="9" t="s">
        <v>3488</v>
      </c>
      <c r="B3904" s="9" t="s">
        <v>1129</v>
      </c>
      <c r="C3904">
        <v>0</v>
      </c>
      <c r="D3904" t="s">
        <v>4080</v>
      </c>
      <c r="E3904">
        <v>2019</v>
      </c>
      <c r="F3904" s="9"/>
      <c r="H3904" s="20" t="str">
        <f t="shared" si="60"/>
        <v>(nextval('obj_part_id_seq'), (select id from obj_building_v where zip||'|'||street||'|'||name||'|'||volume = '4303|Violahof|Kinderkrippe|2867.00'), 'P49', 0, null, 2019,null),</v>
      </c>
    </row>
    <row r="3905" spans="1:8" x14ac:dyDescent="0.25">
      <c r="A3905" s="9" t="s">
        <v>3488</v>
      </c>
      <c r="B3905" s="9" t="s">
        <v>1097</v>
      </c>
      <c r="C3905">
        <v>0</v>
      </c>
      <c r="D3905" t="s">
        <v>4080</v>
      </c>
      <c r="E3905">
        <v>2019</v>
      </c>
      <c r="F3905" s="9"/>
      <c r="H3905" s="20" t="str">
        <f t="shared" si="60"/>
        <v>(nextval('obj_part_id_seq'), (select id from obj_building_v where zip||'|'||street||'|'||name||'|'||volume = '4303|Violahof|Kinderkrippe|2867.00'), 'P2', 0, null, 2019,null),</v>
      </c>
    </row>
    <row r="3906" spans="1:8" x14ac:dyDescent="0.25">
      <c r="A3906" s="9" t="s">
        <v>3488</v>
      </c>
      <c r="B3906" s="9" t="s">
        <v>1099</v>
      </c>
      <c r="C3906">
        <v>10</v>
      </c>
      <c r="D3906">
        <v>90</v>
      </c>
      <c r="E3906">
        <v>2019</v>
      </c>
      <c r="F3906" s="9" t="s">
        <v>3490</v>
      </c>
      <c r="H3906" s="20" t="str">
        <f t="shared" si="60"/>
        <v>(nextval('obj_part_id_seq'), (select id from obj_building_v where zip||'|'||street||'|'||name||'|'||volume = '4303|Violahof|Kinderkrippe|2867.00'), 'P3', 10, 90, 2019,'Kies, Terrassen: Zementplatten'),</v>
      </c>
    </row>
    <row r="3907" spans="1:8" x14ac:dyDescent="0.25">
      <c r="A3907" s="9" t="s">
        <v>3488</v>
      </c>
      <c r="B3907" s="9" t="s">
        <v>1100</v>
      </c>
      <c r="C3907">
        <v>11</v>
      </c>
      <c r="D3907">
        <v>90</v>
      </c>
      <c r="E3907">
        <v>2019</v>
      </c>
      <c r="F3907" s="9" t="s">
        <v>3491</v>
      </c>
      <c r="H3907" s="20" t="str">
        <f t="shared" si="60"/>
        <v>(nextval('obj_part_id_seq'), (select id from obj_building_v where zip||'|'||street||'|'||name||'|'||volume = '4303|Violahof|Kinderkrippe|2867.00'), 'P4', 11, 90, 2019,'Grossfl. Eternitplatten, Holz'),</v>
      </c>
    </row>
    <row r="3908" spans="1:8" x14ac:dyDescent="0.25">
      <c r="A3908" s="9" t="s">
        <v>3488</v>
      </c>
      <c r="B3908" s="9" t="s">
        <v>1102</v>
      </c>
      <c r="C3908">
        <v>14</v>
      </c>
      <c r="D3908">
        <v>90</v>
      </c>
      <c r="E3908">
        <v>2019</v>
      </c>
      <c r="F3908" s="9" t="s">
        <v>3492</v>
      </c>
      <c r="H3908" s="20" t="str">
        <f t="shared" si="60"/>
        <v>(nextval('obj_part_id_seq'), (select id from obj_building_v where zip||'|'||street||'|'||name||'|'||volume = '4303|Violahof|Kinderkrippe|2867.00'), 'P5', 14, 90, 2019,'Kunststoff, Metall (Aussentüre), Rafflamellenstoren'),</v>
      </c>
    </row>
    <row r="3909" spans="1:8" x14ac:dyDescent="0.25">
      <c r="A3909" s="9" t="s">
        <v>3488</v>
      </c>
      <c r="B3909" s="9" t="s">
        <v>1110</v>
      </c>
      <c r="C3909">
        <v>8</v>
      </c>
      <c r="D3909">
        <v>90</v>
      </c>
      <c r="E3909">
        <v>2019</v>
      </c>
      <c r="F3909" s="9" t="s">
        <v>3493</v>
      </c>
      <c r="H3909" s="20" t="str">
        <f t="shared" ref="H3909:H3972" si="61">"(nextval('obj_part_id_seq'), (select id from obj_building_v where zip||'|'||street||'|'||name||'|'||volume = '"&amp;A3909&amp;"'), '"&amp;B3909&amp;"', "&amp;C3909&amp;", "&amp;D3909&amp;", "&amp;IF(ISBLANK(E3909),"null",E3909)&amp;","&amp;IF(ISBLANK(F3909),"null","'"&amp;F3909&amp;"'")&amp;"),"</f>
        <v>(nextval('obj_part_id_seq'), (select id from obj_building_v where zip||'|'||street||'|'||name||'|'||volume = '4303|Violahof|Kinderkrippe|2867.00'), 'P9', 8, 90, 2019,'PV-Anlage. BMA, FI-Schalter, Beleuchtung'),</v>
      </c>
    </row>
    <row r="3910" spans="1:8" x14ac:dyDescent="0.25">
      <c r="A3910" s="9" t="s">
        <v>3488</v>
      </c>
      <c r="B3910" s="9" t="s">
        <v>1104</v>
      </c>
      <c r="C3910">
        <v>4</v>
      </c>
      <c r="D3910">
        <v>90</v>
      </c>
      <c r="E3910">
        <v>2019</v>
      </c>
      <c r="F3910" s="9" t="s">
        <v>3494</v>
      </c>
      <c r="H3910" s="20" t="str">
        <f t="shared" si="61"/>
        <v>(nextval('obj_part_id_seq'), (select id from obj_building_v where zip||'|'||street||'|'||name||'|'||volume = '4303|Violahof|Kinderkrippe|2867.00'), 'P6', 4, 90, 2019,'Gas, therm. Solaranlage'),</v>
      </c>
    </row>
    <row r="3911" spans="1:8" x14ac:dyDescent="0.25">
      <c r="A3911" s="9" t="s">
        <v>3488</v>
      </c>
      <c r="B3911" s="9" t="s">
        <v>1106</v>
      </c>
      <c r="C3911">
        <v>3</v>
      </c>
      <c r="D3911">
        <v>90</v>
      </c>
      <c r="E3911">
        <v>2019</v>
      </c>
      <c r="F3911" s="9" t="s">
        <v>1669</v>
      </c>
      <c r="H3911" s="20" t="str">
        <f t="shared" si="61"/>
        <v>(nextval('obj_part_id_seq'), (select id from obj_building_v where zip||'|'||street||'|'||name||'|'||volume = '4303|Violahof|Kinderkrippe|2867.00'), 'P7', 3, 90, 2019,'Radiatoren mit Thermostat'),</v>
      </c>
    </row>
    <row r="3912" spans="1:8" x14ac:dyDescent="0.25">
      <c r="A3912" s="9" t="s">
        <v>3488</v>
      </c>
      <c r="B3912" s="9" t="s">
        <v>1135</v>
      </c>
      <c r="C3912">
        <v>1</v>
      </c>
      <c r="D3912">
        <v>85</v>
      </c>
      <c r="E3912">
        <v>2019</v>
      </c>
      <c r="F3912" s="9" t="s">
        <v>3495</v>
      </c>
      <c r="H3912" s="20" t="str">
        <f t="shared" si="61"/>
        <v>(nextval('obj_part_id_seq'), (select id from obj_building_v where zip||'|'||street||'|'||name||'|'||volume = '4303|Violahof|Kinderkrippe|2867.00'), 'P54', 1, 85, 2019,'Waschmaschinen, Wäschetrockner, Wasserenthärtungsanlage'),</v>
      </c>
    </row>
    <row r="3913" spans="1:8" x14ac:dyDescent="0.25">
      <c r="A3913" s="9" t="s">
        <v>3488</v>
      </c>
      <c r="B3913" s="9" t="s">
        <v>1137</v>
      </c>
      <c r="C3913">
        <v>3</v>
      </c>
      <c r="D3913">
        <v>90</v>
      </c>
      <c r="E3913">
        <v>2019</v>
      </c>
      <c r="F3913" s="9" t="s">
        <v>1218</v>
      </c>
      <c r="H3913" s="20" t="str">
        <f t="shared" si="61"/>
        <v>(nextval('obj_part_id_seq'), (select id from obj_building_v where zip||'|'||street||'|'||name||'|'||volume = '4303|Violahof|Kinderkrippe|2867.00'), 'P55', 3, 90, 2019,'Keine Mängel bekannt'),</v>
      </c>
    </row>
    <row r="3914" spans="1:8" x14ac:dyDescent="0.25">
      <c r="A3914" s="9" t="s">
        <v>3488</v>
      </c>
      <c r="B3914" s="9" t="s">
        <v>1138</v>
      </c>
      <c r="C3914">
        <v>17</v>
      </c>
      <c r="D3914">
        <v>90</v>
      </c>
      <c r="E3914">
        <v>2019</v>
      </c>
      <c r="F3914" s="9" t="s">
        <v>3496</v>
      </c>
      <c r="H3914" s="20" t="str">
        <f t="shared" si="61"/>
        <v>(nextval('obj_part_id_seq'), (select id from obj_building_v where zip||'|'||street||'|'||name||'|'||volume = '4303|Violahof|Kinderkrippe|2867.00'), 'P57', 17, 90, 2019,'Innentüren/-wände, Glastüren, Einbauschränke, Geländer, Gastroküche'),</v>
      </c>
    </row>
    <row r="3915" spans="1:8" x14ac:dyDescent="0.25">
      <c r="A3915" s="9" t="s">
        <v>3488</v>
      </c>
      <c r="B3915" s="9" t="s">
        <v>1140</v>
      </c>
      <c r="C3915">
        <v>6</v>
      </c>
      <c r="D3915">
        <v>85</v>
      </c>
      <c r="E3915">
        <v>2019</v>
      </c>
      <c r="F3915" s="9" t="s">
        <v>3497</v>
      </c>
      <c r="H3915" s="20" t="str">
        <f t="shared" si="61"/>
        <v>(nextval('obj_part_id_seq'), (select id from obj_building_v where zip||'|'||street||'|'||name||'|'||volume = '4303|Violahof|Kinderkrippe|2867.00'), 'P58', 6, 85, 2019,'Boden: Linol, Kugelgarn, Kork\nDach: Gipskartonplatten, gestrichen\nWand: Gipskartonplatten, gestrichen, Nassräume: PVC'),</v>
      </c>
    </row>
    <row r="3916" spans="1:8" x14ac:dyDescent="0.25">
      <c r="A3916" s="9" t="s">
        <v>3488</v>
      </c>
      <c r="B3916" s="9" t="s">
        <v>1142</v>
      </c>
      <c r="C3916">
        <v>0</v>
      </c>
      <c r="D3916" t="s">
        <v>4080</v>
      </c>
      <c r="E3916">
        <v>2019</v>
      </c>
      <c r="F3916" s="9"/>
      <c r="H3916" s="20" t="str">
        <f t="shared" si="61"/>
        <v>(nextval('obj_part_id_seq'), (select id from obj_building_v where zip||'|'||street||'|'||name||'|'||volume = '4303|Violahof|Kinderkrippe|2867.00'), 'P60', 0, null, 2019,null),</v>
      </c>
    </row>
    <row r="3917" spans="1:8" x14ac:dyDescent="0.25">
      <c r="A3917" s="9" t="s">
        <v>3488</v>
      </c>
      <c r="B3917" s="9" t="s">
        <v>1143</v>
      </c>
      <c r="C3917">
        <v>0</v>
      </c>
      <c r="D3917" t="s">
        <v>4080</v>
      </c>
      <c r="E3917">
        <v>2019</v>
      </c>
      <c r="F3917" s="9"/>
      <c r="H3917" s="20" t="str">
        <f t="shared" si="61"/>
        <v>(nextval('obj_part_id_seq'), (select id from obj_building_v where zip||'|'||street||'|'||name||'|'||volume = '4303|Violahof|Kinderkrippe|2867.00'), 'P61', 0, null, 2019,null),</v>
      </c>
    </row>
    <row r="3918" spans="1:8" x14ac:dyDescent="0.25">
      <c r="A3918" s="9" t="s">
        <v>3488</v>
      </c>
      <c r="B3918" s="9" t="s">
        <v>1144</v>
      </c>
      <c r="C3918">
        <v>0</v>
      </c>
      <c r="D3918" t="s">
        <v>4080</v>
      </c>
      <c r="E3918">
        <v>2019</v>
      </c>
      <c r="F3918" s="9"/>
      <c r="H3918" s="20" t="str">
        <f t="shared" si="61"/>
        <v>(nextval('obj_part_id_seq'), (select id from obj_building_v where zip||'|'||street||'|'||name||'|'||volume = '4303|Violahof|Kinderkrippe|2867.00'), 'P62', 0, null, 2019,null),</v>
      </c>
    </row>
    <row r="3919" spans="1:8" x14ac:dyDescent="0.25">
      <c r="A3919" s="9" t="s">
        <v>3498</v>
      </c>
      <c r="B3919" s="9" t="s">
        <v>1127</v>
      </c>
      <c r="C3919">
        <v>28</v>
      </c>
      <c r="D3919">
        <v>90</v>
      </c>
      <c r="E3919">
        <v>2019</v>
      </c>
      <c r="F3919" s="9" t="s">
        <v>1369</v>
      </c>
      <c r="H3919" s="20" t="str">
        <f t="shared" si="61"/>
        <v>(nextval('obj_part_id_seq'), (select id from obj_building_v where zip||'|'||street||'|'||name||'|'||volume = '4303|Violahof|Jugendhaus inkl. ehemaliger Polizeiposten|2542.00'), 'P48', 28, 90, 2019,'Stahlbeton, Mauerwerk'),</v>
      </c>
    </row>
    <row r="3920" spans="1:8" x14ac:dyDescent="0.25">
      <c r="A3920" s="9" t="s">
        <v>3498</v>
      </c>
      <c r="B3920" s="9" t="s">
        <v>1129</v>
      </c>
      <c r="C3920">
        <v>0</v>
      </c>
      <c r="D3920" t="s">
        <v>4080</v>
      </c>
      <c r="E3920">
        <v>2019</v>
      </c>
      <c r="F3920" s="9"/>
      <c r="H3920" s="20" t="str">
        <f t="shared" si="61"/>
        <v>(nextval('obj_part_id_seq'), (select id from obj_building_v where zip||'|'||street||'|'||name||'|'||volume = '4303|Violahof|Jugendhaus inkl. ehemaliger Polizeiposten|2542.00'), 'P49', 0, null, 2019,null),</v>
      </c>
    </row>
    <row r="3921" spans="1:8" x14ac:dyDescent="0.25">
      <c r="A3921" s="9" t="s">
        <v>3498</v>
      </c>
      <c r="B3921" s="9" t="s">
        <v>1097</v>
      </c>
      <c r="C3921">
        <v>0</v>
      </c>
      <c r="D3921" t="s">
        <v>4080</v>
      </c>
      <c r="E3921">
        <v>2019</v>
      </c>
      <c r="F3921" s="9"/>
      <c r="H3921" s="20" t="str">
        <f t="shared" si="61"/>
        <v>(nextval('obj_part_id_seq'), (select id from obj_building_v where zip||'|'||street||'|'||name||'|'||volume = '4303|Violahof|Jugendhaus inkl. ehemaliger Polizeiposten|2542.00'), 'P2', 0, null, 2019,null),</v>
      </c>
    </row>
    <row r="3922" spans="1:8" x14ac:dyDescent="0.25">
      <c r="A3922" s="9" t="s">
        <v>3498</v>
      </c>
      <c r="B3922" s="9" t="s">
        <v>1099</v>
      </c>
      <c r="C3922">
        <v>9</v>
      </c>
      <c r="D3922">
        <v>90</v>
      </c>
      <c r="E3922">
        <v>2019</v>
      </c>
      <c r="F3922" s="9" t="s">
        <v>3499</v>
      </c>
      <c r="H3922" s="20" t="str">
        <f t="shared" si="61"/>
        <v>(nextval('obj_part_id_seq'), (select id from obj_building_v where zip||'|'||street||'|'||name||'|'||volume = '4303|Violahof|Jugendhaus inkl. ehemaliger Polizeiposten|2542.00'), 'P3', 9, 90, 2019,'Kies, extensiv begrünt. Oblicht, keine Mängel bekannt'),</v>
      </c>
    </row>
    <row r="3923" spans="1:8" x14ac:dyDescent="0.25">
      <c r="A3923" s="9" t="s">
        <v>3498</v>
      </c>
      <c r="B3923" s="9" t="s">
        <v>1099</v>
      </c>
      <c r="C3923">
        <v>0</v>
      </c>
      <c r="D3923" t="s">
        <v>4080</v>
      </c>
      <c r="E3923">
        <v>2019</v>
      </c>
      <c r="F3923" s="9"/>
      <c r="H3923" s="20" t="str">
        <f t="shared" si="61"/>
        <v>(nextval('obj_part_id_seq'), (select id from obj_building_v where zip||'|'||street||'|'||name||'|'||volume = '4303|Violahof|Jugendhaus inkl. ehemaliger Polizeiposten|2542.00'), 'P3', 0, null, 2019,null),</v>
      </c>
    </row>
    <row r="3924" spans="1:8" x14ac:dyDescent="0.25">
      <c r="A3924" s="9" t="s">
        <v>3498</v>
      </c>
      <c r="B3924" s="9" t="s">
        <v>1100</v>
      </c>
      <c r="C3924">
        <v>11</v>
      </c>
      <c r="D3924">
        <v>90</v>
      </c>
      <c r="E3924">
        <v>2019</v>
      </c>
      <c r="F3924" s="9" t="s">
        <v>3500</v>
      </c>
      <c r="H3924" s="20" t="str">
        <f t="shared" si="61"/>
        <v>(nextval('obj_part_id_seq'), (select id from obj_building_v where zip||'|'||street||'|'||name||'|'||volume = '4303|Violahof|Jugendhaus inkl. ehemaliger Polizeiposten|2542.00'), 'P4', 11, 90, 2019,'Holz (hinterlüftet), Stahlbeton, Metallfensterbänke, Sockel: Aussenwärmedämung'),</v>
      </c>
    </row>
    <row r="3925" spans="1:8" x14ac:dyDescent="0.25">
      <c r="A3925" s="9" t="s">
        <v>3498</v>
      </c>
      <c r="B3925" s="9" t="s">
        <v>1100</v>
      </c>
      <c r="C3925">
        <v>0</v>
      </c>
      <c r="D3925" t="s">
        <v>4080</v>
      </c>
      <c r="E3925">
        <v>2019</v>
      </c>
      <c r="F3925" s="9"/>
      <c r="H3925" s="20" t="str">
        <f t="shared" si="61"/>
        <v>(nextval('obj_part_id_seq'), (select id from obj_building_v where zip||'|'||street||'|'||name||'|'||volume = '4303|Violahof|Jugendhaus inkl. ehemaliger Polizeiposten|2542.00'), 'P4', 0, null, 2019,null),</v>
      </c>
    </row>
    <row r="3926" spans="1:8" x14ac:dyDescent="0.25">
      <c r="A3926" s="9" t="s">
        <v>3498</v>
      </c>
      <c r="B3926" s="9" t="s">
        <v>1102</v>
      </c>
      <c r="C3926">
        <v>10</v>
      </c>
      <c r="D3926">
        <v>90</v>
      </c>
      <c r="E3926">
        <v>2019</v>
      </c>
      <c r="F3926" s="9" t="s">
        <v>3501</v>
      </c>
      <c r="H3926" s="20" t="str">
        <f t="shared" si="61"/>
        <v>(nextval('obj_part_id_seq'), (select id from obj_building_v where zip||'|'||street||'|'||name||'|'||volume = '4303|Violahof|Jugendhaus inkl. ehemaliger Polizeiposten|2542.00'), 'P5', 10, 90, 2019,'Kunststofffenster mit Rafflamellenstoren, Aussentüre aus Metall'),</v>
      </c>
    </row>
    <row r="3927" spans="1:8" x14ac:dyDescent="0.25">
      <c r="A3927" s="9" t="s">
        <v>3498</v>
      </c>
      <c r="B3927" s="9" t="s">
        <v>1102</v>
      </c>
      <c r="C3927">
        <v>0</v>
      </c>
      <c r="D3927" t="s">
        <v>4080</v>
      </c>
      <c r="E3927">
        <v>2019</v>
      </c>
      <c r="F3927" s="9"/>
      <c r="H3927" s="20" t="str">
        <f t="shared" si="61"/>
        <v>(nextval('obj_part_id_seq'), (select id from obj_building_v where zip||'|'||street||'|'||name||'|'||volume = '4303|Violahof|Jugendhaus inkl. ehemaliger Polizeiposten|2542.00'), 'P5', 0, null, 2019,null),</v>
      </c>
    </row>
    <row r="3928" spans="1:8" x14ac:dyDescent="0.25">
      <c r="A3928" s="9" t="s">
        <v>3498</v>
      </c>
      <c r="B3928" s="9" t="s">
        <v>1164</v>
      </c>
      <c r="C3928">
        <v>10</v>
      </c>
      <c r="D3928">
        <v>90</v>
      </c>
      <c r="E3928">
        <v>2019</v>
      </c>
      <c r="F3928" s="9" t="s">
        <v>3502</v>
      </c>
      <c r="H3928" s="20" t="str">
        <f t="shared" si="61"/>
        <v>(nextval('obj_part_id_seq'), (select id from obj_building_v where zip||'|'||street||'|'||name||'|'||volume = '4303|Violahof|Jugendhaus inkl. ehemaliger Polizeiposten|2542.00'), 'P50', 10, 90, 2019,'Belechtung, genügende Absicherung vorhanden'),</v>
      </c>
    </row>
    <row r="3929" spans="1:8" x14ac:dyDescent="0.25">
      <c r="A3929" s="9" t="s">
        <v>3498</v>
      </c>
      <c r="B3929" s="9" t="s">
        <v>1166</v>
      </c>
      <c r="C3929">
        <v>2</v>
      </c>
      <c r="D3929">
        <v>90</v>
      </c>
      <c r="E3929">
        <v>2019</v>
      </c>
      <c r="F3929" s="9" t="s">
        <v>3503</v>
      </c>
      <c r="H3929" s="20" t="str">
        <f t="shared" si="61"/>
        <v>(nextval('obj_part_id_seq'), (select id from obj_building_v where zip||'|'||street||'|'||name||'|'||volume = '4303|Violahof|Jugendhaus inkl. ehemaliger Polizeiposten|2542.00'), 'P51', 2, 90, 2019,'Brandmeldeanlage (exkl. Polizeiposten) Steuerung bei Jugendzentrum, EDV'),</v>
      </c>
    </row>
    <row r="3930" spans="1:8" x14ac:dyDescent="0.25">
      <c r="A3930" s="9" t="s">
        <v>3498</v>
      </c>
      <c r="B3930" s="9" t="s">
        <v>1104</v>
      </c>
      <c r="C3930">
        <v>1</v>
      </c>
      <c r="D3930">
        <v>90</v>
      </c>
      <c r="E3930">
        <v>2019</v>
      </c>
      <c r="F3930" s="9" t="s">
        <v>3504</v>
      </c>
      <c r="H3930" s="20" t="str">
        <f t="shared" si="61"/>
        <v>(nextval('obj_part_id_seq'), (select id from obj_building_v where zip||'|'||street||'|'||name||'|'||volume = '4303|Violahof|Jugendhaus inkl. ehemaliger Polizeiposten|2542.00'), 'P6', 1, 90, 2019,'Elektroboiler, Fernwärme (ohne Plattentauscher)'),</v>
      </c>
    </row>
    <row r="3931" spans="1:8" x14ac:dyDescent="0.25">
      <c r="A3931" s="9" t="s">
        <v>3498</v>
      </c>
      <c r="B3931" s="9" t="s">
        <v>1106</v>
      </c>
      <c r="C3931">
        <v>4</v>
      </c>
      <c r="D3931">
        <v>90</v>
      </c>
      <c r="E3931">
        <v>2019</v>
      </c>
      <c r="F3931" s="9" t="s">
        <v>3505</v>
      </c>
      <c r="H3931" s="20" t="str">
        <f t="shared" si="61"/>
        <v>(nextval('obj_part_id_seq'), (select id from obj_building_v where zip||'|'||street||'|'||name||'|'||volume = '4303|Violahof|Jugendhaus inkl. ehemaliger Polizeiposten|2542.00'), 'P7', 4, 90, 2019,'Bodenheizung, Radiatoren bei Polizeiposten'),</v>
      </c>
    </row>
    <row r="3932" spans="1:8" x14ac:dyDescent="0.25">
      <c r="A3932" s="9" t="s">
        <v>3498</v>
      </c>
      <c r="B3932" s="9" t="s">
        <v>1403</v>
      </c>
      <c r="C3932">
        <v>1</v>
      </c>
      <c r="D3932">
        <v>90</v>
      </c>
      <c r="E3932">
        <v>2019</v>
      </c>
      <c r="F3932" s="9" t="s">
        <v>3506</v>
      </c>
      <c r="H3932" s="20" t="str">
        <f t="shared" si="61"/>
        <v>(nextval('obj_part_id_seq'), (select id from obj_building_v where zip||'|'||street||'|'||name||'|'||volume = '4303|Violahof|Jugendhaus inkl. ehemaliger Polizeiposten|2542.00'), 'P52', 1, 90, 2019,'zentrale Küchenabluft'),</v>
      </c>
    </row>
    <row r="3933" spans="1:8" x14ac:dyDescent="0.25">
      <c r="A3933" s="9" t="s">
        <v>3498</v>
      </c>
      <c r="B3933" s="9" t="s">
        <v>1404</v>
      </c>
      <c r="C3933">
        <v>0</v>
      </c>
      <c r="D3933" t="s">
        <v>4080</v>
      </c>
      <c r="E3933">
        <v>2019</v>
      </c>
      <c r="F3933" s="9"/>
      <c r="H3933" s="20" t="str">
        <f t="shared" si="61"/>
        <v>(nextval('obj_part_id_seq'), (select id from obj_building_v where zip||'|'||street||'|'||name||'|'||volume = '4303|Violahof|Jugendhaus inkl. ehemaliger Polizeiposten|2542.00'), 'P53', 0, null, 2019,null),</v>
      </c>
    </row>
    <row r="3934" spans="1:8" x14ac:dyDescent="0.25">
      <c r="A3934" s="9" t="s">
        <v>3498</v>
      </c>
      <c r="B3934" s="9" t="s">
        <v>1135</v>
      </c>
      <c r="C3934">
        <v>3</v>
      </c>
      <c r="D3934">
        <v>85</v>
      </c>
      <c r="E3934">
        <v>2019</v>
      </c>
      <c r="F3934" s="9" t="s">
        <v>3507</v>
      </c>
      <c r="H3934" s="20" t="str">
        <f t="shared" si="61"/>
        <v>(nextval('obj_part_id_seq'), (select id from obj_building_v where zip||'|'||street||'|'||name||'|'||volume = '4303|Violahof|Jugendhaus inkl. ehemaliger Polizeiposten|2542.00'), 'P54', 3, 85, 2019,'Zeitgemässe Apparate und Armaturen vorhanden, keine Mängel bekannt'),</v>
      </c>
    </row>
    <row r="3935" spans="1:8" x14ac:dyDescent="0.25">
      <c r="A3935" s="9" t="s">
        <v>3498</v>
      </c>
      <c r="B3935" s="9" t="s">
        <v>1137</v>
      </c>
      <c r="C3935">
        <v>1</v>
      </c>
      <c r="D3935">
        <v>90</v>
      </c>
      <c r="E3935">
        <v>2019</v>
      </c>
      <c r="F3935" s="9" t="s">
        <v>3508</v>
      </c>
      <c r="H3935" s="20" t="str">
        <f t="shared" si="61"/>
        <v>(nextval('obj_part_id_seq'), (select id from obj_building_v where zip||'|'||street||'|'||name||'|'||volume = '4303|Violahof|Jugendhaus inkl. ehemaliger Polizeiposten|2542.00'), 'P55', 1, 90, 2019,'Genügend Druck vorhanden, Ablauf gewährleistet'),</v>
      </c>
    </row>
    <row r="3936" spans="1:8" x14ac:dyDescent="0.25">
      <c r="A3936" s="9" t="s">
        <v>3498</v>
      </c>
      <c r="B3936" s="9" t="s">
        <v>1155</v>
      </c>
      <c r="C3936">
        <v>1</v>
      </c>
      <c r="D3936">
        <v>90</v>
      </c>
      <c r="E3936">
        <v>2019</v>
      </c>
      <c r="F3936" s="9" t="s">
        <v>1621</v>
      </c>
      <c r="H3936" s="20" t="str">
        <f t="shared" si="61"/>
        <v>(nextval('obj_part_id_seq'), (select id from obj_building_v where zip||'|'||street||'|'||name||'|'||volume = '4303|Violahof|Jugendhaus inkl. ehemaliger Polizeiposten|2542.00'), 'P56', 1, 90, 2019,'Treppenlift'),</v>
      </c>
    </row>
    <row r="3937" spans="1:8" x14ac:dyDescent="0.25">
      <c r="A3937" s="9" t="s">
        <v>3498</v>
      </c>
      <c r="B3937" s="9" t="s">
        <v>1114</v>
      </c>
      <c r="C3937">
        <v>11</v>
      </c>
      <c r="D3937">
        <v>90</v>
      </c>
      <c r="E3937">
        <v>2019</v>
      </c>
      <c r="F3937" s="9" t="s">
        <v>3509</v>
      </c>
      <c r="H3937" s="20" t="str">
        <f t="shared" si="61"/>
        <v>(nextval('obj_part_id_seq'), (select id from obj_building_v where zip||'|'||street||'|'||name||'|'||volume = '4303|Violahof|Jugendhaus inkl. ehemaliger Polizeiposten|2542.00'), 'P11', 11, 90, 2019,'Schiebetüren/Wände, Schalter im UG, Brandschutztür, nicht gewerbliche Küche mit gewerblichem Geschirrspüler'),</v>
      </c>
    </row>
    <row r="3938" spans="1:8" x14ac:dyDescent="0.25">
      <c r="A3938" s="9" t="s">
        <v>3498</v>
      </c>
      <c r="B3938" s="9" t="s">
        <v>1114</v>
      </c>
      <c r="C3938">
        <v>8</v>
      </c>
      <c r="D3938">
        <v>85</v>
      </c>
      <c r="E3938">
        <v>2019</v>
      </c>
      <c r="F3938" s="9" t="s">
        <v>3510</v>
      </c>
      <c r="H3938" s="20" t="str">
        <f t="shared" si="61"/>
        <v>(nextval('obj_part_id_seq'), (select id from obj_building_v where zip||'|'||street||'|'||name||'|'||volume = '4303|Violahof|Jugendhaus inkl. ehemaliger Polizeiposten|2542.00'), 'P11', 8, 85, 2019,'Boden: Keramik, Parkett, Limnat , Linol\nWand: Stahlbeton, Keramikplatten in der Küche'),</v>
      </c>
    </row>
    <row r="3939" spans="1:8" x14ac:dyDescent="0.25">
      <c r="A3939" s="9" t="s">
        <v>3511</v>
      </c>
      <c r="B3939" s="9" t="s">
        <v>1095</v>
      </c>
      <c r="C3939">
        <v>35</v>
      </c>
      <c r="D3939">
        <v>90</v>
      </c>
      <c r="E3939">
        <v>2019</v>
      </c>
      <c r="F3939" s="9" t="s">
        <v>3512</v>
      </c>
      <c r="H3939" s="20" t="str">
        <f t="shared" si="61"/>
        <v>(nextval('obj_part_id_seq'), (select id from obj_building_v where zip||'|'||street||'|'||name||'|'||volume = '4303|Violahof|Pfadihaus|1239.00'), 'P1', 35, 90, 2019,'Einsteinmauerwerk, wahrscheinlich unisoliert, Hourdisdecke über UG, sonst Holzbalkendecken'),</v>
      </c>
    </row>
    <row r="3940" spans="1:8" x14ac:dyDescent="0.25">
      <c r="A3940" s="9" t="s">
        <v>3511</v>
      </c>
      <c r="B3940" s="9" t="s">
        <v>1097</v>
      </c>
      <c r="C3940">
        <v>7</v>
      </c>
      <c r="D3940">
        <v>90</v>
      </c>
      <c r="E3940">
        <v>2019</v>
      </c>
      <c r="F3940" s="9" t="s">
        <v>3513</v>
      </c>
      <c r="H3940" s="20" t="str">
        <f t="shared" si="61"/>
        <v>(nextval('obj_part_id_seq'), (select id from obj_building_v where zip||'|'||street||'|'||name||'|'||volume = '4303|Violahof|Pfadihaus|1239.00'), 'P2', 7, 90, 2019,'Falzziegel, keine Mängel bekannt, Dachraum trocken'),</v>
      </c>
    </row>
    <row r="3941" spans="1:8" x14ac:dyDescent="0.25">
      <c r="A3941" s="9" t="s">
        <v>3511</v>
      </c>
      <c r="B3941" s="9" t="s">
        <v>1099</v>
      </c>
      <c r="C3941">
        <v>1</v>
      </c>
      <c r="D3941">
        <v>90</v>
      </c>
      <c r="E3941">
        <v>2019</v>
      </c>
      <c r="F3941" s="9" t="s">
        <v>3514</v>
      </c>
      <c r="H3941" s="20" t="str">
        <f t="shared" si="61"/>
        <v>(nextval('obj_part_id_seq'), (select id from obj_building_v where zip||'|'||street||'|'||name||'|'||volume = '4303|Violahof|Pfadihaus|1239.00'), 'P3', 1, 90, 2019,'Terrasse über behiztem Raum'),</v>
      </c>
    </row>
    <row r="3942" spans="1:8" x14ac:dyDescent="0.25">
      <c r="A3942" s="9" t="s">
        <v>3511</v>
      </c>
      <c r="B3942" s="9" t="s">
        <v>1100</v>
      </c>
      <c r="C3942">
        <v>8</v>
      </c>
      <c r="D3942">
        <v>90</v>
      </c>
      <c r="E3942">
        <v>2019</v>
      </c>
      <c r="F3942" s="9" t="s">
        <v>3515</v>
      </c>
      <c r="H3942" s="20" t="str">
        <f t="shared" si="61"/>
        <v>(nextval('obj_part_id_seq'), (select id from obj_building_v where zip||'|'||street||'|'||name||'|'||volume = '4303|Violahof|Pfadihaus|1239.00'), 'P4', 8, 90, 2019,'Mauerwerk verputzt, Gewände aus Natur- oder Kunststein, gestrichen, Balkon'),</v>
      </c>
    </row>
    <row r="3943" spans="1:8" x14ac:dyDescent="0.25">
      <c r="A3943" s="9" t="s">
        <v>3511</v>
      </c>
      <c r="B3943" s="9" t="s">
        <v>1102</v>
      </c>
      <c r="C3943">
        <v>8</v>
      </c>
      <c r="D3943">
        <v>90</v>
      </c>
      <c r="E3943">
        <v>2019</v>
      </c>
      <c r="F3943" s="9" t="s">
        <v>3516</v>
      </c>
      <c r="H3943" s="20" t="str">
        <f t="shared" si="61"/>
        <v>(nextval('obj_part_id_seq'), (select id from obj_building_v where zip||'|'||street||'|'||name||'|'||volume = '4303|Violahof|Pfadihaus|1239.00'), 'P5', 8, 90, 2019,'Markise elektrisch, Kunststofftüre Keller, Aussentür aus Holz'),</v>
      </c>
    </row>
    <row r="3944" spans="1:8" x14ac:dyDescent="0.25">
      <c r="A3944" s="9" t="s">
        <v>3511</v>
      </c>
      <c r="B3944" s="9" t="s">
        <v>1104</v>
      </c>
      <c r="C3944">
        <v>1</v>
      </c>
      <c r="D3944">
        <v>90</v>
      </c>
      <c r="E3944">
        <v>2019</v>
      </c>
      <c r="F3944" s="9" t="s">
        <v>3517</v>
      </c>
      <c r="H3944" s="20" t="str">
        <f t="shared" si="61"/>
        <v>(nextval('obj_part_id_seq'), (select id from obj_building_v where zip||'|'||street||'|'||name||'|'||volume = '4303|Violahof|Pfadihaus|1239.00'), 'P6', 1, 90, 2019,'Fernwärme, Elektroboiler für WW'),</v>
      </c>
    </row>
    <row r="3945" spans="1:8" x14ac:dyDescent="0.25">
      <c r="A3945" s="9" t="s">
        <v>3511</v>
      </c>
      <c r="B3945" s="9" t="s">
        <v>1106</v>
      </c>
      <c r="C3945">
        <v>2</v>
      </c>
      <c r="D3945">
        <v>90</v>
      </c>
      <c r="E3945">
        <v>2019</v>
      </c>
      <c r="F3945" s="9" t="s">
        <v>3518</v>
      </c>
      <c r="H3945" s="20" t="str">
        <f t="shared" si="61"/>
        <v>(nextval('obj_part_id_seq'), (select id from obj_building_v where zip||'|'||street||'|'||name||'|'||volume = '4303|Violahof|Pfadihaus|1239.00'), 'P7', 2, 90, 2019,'Bodenheizung und Radiatoren mit Themostaten'),</v>
      </c>
    </row>
    <row r="3946" spans="1:8" x14ac:dyDescent="0.25">
      <c r="A3946" s="9" t="s">
        <v>3511</v>
      </c>
      <c r="B3946" s="9" t="s">
        <v>1108</v>
      </c>
      <c r="C3946">
        <v>6</v>
      </c>
      <c r="D3946">
        <v>90</v>
      </c>
      <c r="E3946">
        <v>2019</v>
      </c>
      <c r="F3946" s="9" t="s">
        <v>2202</v>
      </c>
      <c r="H3946" s="20" t="str">
        <f t="shared" si="61"/>
        <v>(nextval('obj_part_id_seq'), (select id from obj_building_v where zip||'|'||street||'|'||name||'|'||volume = '4303|Violahof|Pfadihaus|1239.00'), 'P8', 6, 90, 2019,'Genügender Druck vorhanden'),</v>
      </c>
    </row>
    <row r="3947" spans="1:8" x14ac:dyDescent="0.25">
      <c r="A3947" s="9" t="s">
        <v>3511</v>
      </c>
      <c r="B3947" s="9" t="s">
        <v>1110</v>
      </c>
      <c r="C3947">
        <v>6</v>
      </c>
      <c r="D3947">
        <v>90</v>
      </c>
      <c r="E3947">
        <v>2019</v>
      </c>
      <c r="F3947" s="9" t="s">
        <v>3519</v>
      </c>
      <c r="H3947" s="20" t="str">
        <f t="shared" si="61"/>
        <v>(nextval('obj_part_id_seq'), (select id from obj_building_v where zip||'|'||street||'|'||name||'|'||volume = '4303|Violahof|Pfadihaus|1239.00'), 'P9', 6, 90, 2019,'Brandmeldeanlage, Beleuchtung'),</v>
      </c>
    </row>
    <row r="3948" spans="1:8" x14ac:dyDescent="0.25">
      <c r="A3948" s="9" t="s">
        <v>3511</v>
      </c>
      <c r="B3948" s="9" t="s">
        <v>1112</v>
      </c>
      <c r="C3948">
        <v>0</v>
      </c>
      <c r="D3948" t="s">
        <v>4080</v>
      </c>
      <c r="E3948">
        <v>2019</v>
      </c>
      <c r="F3948" s="9"/>
      <c r="H3948" s="20" t="str">
        <f t="shared" si="61"/>
        <v>(nextval('obj_part_id_seq'), (select id from obj_building_v where zip||'|'||street||'|'||name||'|'||volume = '4303|Violahof|Pfadihaus|1239.00'), 'P10', 0, null, 2019,null),</v>
      </c>
    </row>
    <row r="3949" spans="1:8" x14ac:dyDescent="0.25">
      <c r="A3949" s="9" t="s">
        <v>3511</v>
      </c>
      <c r="B3949" s="9" t="s">
        <v>1114</v>
      </c>
      <c r="C3949">
        <v>12</v>
      </c>
      <c r="D3949">
        <v>90</v>
      </c>
      <c r="E3949">
        <v>2019</v>
      </c>
      <c r="F3949" s="9" t="s">
        <v>3520</v>
      </c>
      <c r="H3949" s="20" t="str">
        <f t="shared" si="61"/>
        <v>(nextval('obj_part_id_seq'), (select id from obj_building_v where zip||'|'||street||'|'||name||'|'||volume = '4303|Violahof|Pfadihaus|1239.00'), 'P11', 12, 90, 2019,'Küche mit je zwei Backöfen, Glaskeramikkochfeldern und Abzügen, Natursteinabdeckung'),</v>
      </c>
    </row>
    <row r="3950" spans="1:8" x14ac:dyDescent="0.25">
      <c r="A3950" s="9" t="s">
        <v>3511</v>
      </c>
      <c r="B3950" s="9" t="s">
        <v>1114</v>
      </c>
      <c r="C3950">
        <v>14</v>
      </c>
      <c r="D3950">
        <v>85</v>
      </c>
      <c r="E3950">
        <v>2019</v>
      </c>
      <c r="F3950" s="9" t="s">
        <v>3521</v>
      </c>
      <c r="H3950" s="20" t="str">
        <f t="shared" si="61"/>
        <v>(nextval('obj_part_id_seq'), (select id from obj_building_v where zip||'|'||street||'|'||name||'|'||volume = '4303|Violahof|Pfadihaus|1239.00'), 'P11', 14, 85, 2019,'Boden: Kork, Tosteinplatten, Porphyrplatten Küche, Vynil im UG\nWand: Putz gestrichen, Glasfasertapeten'),</v>
      </c>
    </row>
    <row r="3951" spans="1:8" x14ac:dyDescent="0.25">
      <c r="A3951" s="9" t="s">
        <v>3511</v>
      </c>
      <c r="B3951" s="9" t="s">
        <v>1116</v>
      </c>
      <c r="C3951">
        <v>0</v>
      </c>
      <c r="D3951" t="s">
        <v>4080</v>
      </c>
      <c r="E3951">
        <v>2019</v>
      </c>
      <c r="F3951" s="9"/>
      <c r="H3951" s="20" t="str">
        <f t="shared" si="61"/>
        <v>(nextval('obj_part_id_seq'), (select id from obj_building_v where zip||'|'||street||'|'||name||'|'||volume = '4303|Violahof|Pfadihaus|1239.00'), 'P12', 0, null, 2019,null),</v>
      </c>
    </row>
    <row r="3952" spans="1:8" x14ac:dyDescent="0.25">
      <c r="A3952" s="9" t="s">
        <v>3522</v>
      </c>
      <c r="B3952" s="9" t="s">
        <v>1127</v>
      </c>
      <c r="C3952">
        <v>32</v>
      </c>
      <c r="D3952">
        <v>90</v>
      </c>
      <c r="E3952">
        <v>2019</v>
      </c>
      <c r="F3952" s="9" t="s">
        <v>2274</v>
      </c>
      <c r="H3952" s="20" t="str">
        <f t="shared" si="61"/>
        <v>(nextval('obj_part_id_seq'), (select id from obj_building_v where zip||'|'||street||'|'||name||'|'||volume = '4303|Violahof|Feuerwehrmagazin|1879.00'), 'P48', 32, 90, 2019,'Stahlbeton, KS-Wände'),</v>
      </c>
    </row>
    <row r="3953" spans="1:8" x14ac:dyDescent="0.25">
      <c r="A3953" s="9" t="s">
        <v>3522</v>
      </c>
      <c r="B3953" s="9" t="s">
        <v>1129</v>
      </c>
      <c r="C3953">
        <v>0</v>
      </c>
      <c r="D3953" t="s">
        <v>4080</v>
      </c>
      <c r="E3953">
        <v>2019</v>
      </c>
      <c r="F3953" s="9"/>
      <c r="H3953" s="20" t="str">
        <f t="shared" si="61"/>
        <v>(nextval('obj_part_id_seq'), (select id from obj_building_v where zip||'|'||street||'|'||name||'|'||volume = '4303|Violahof|Feuerwehrmagazin|1879.00'), 'P49', 0, null, 2019,null),</v>
      </c>
    </row>
    <row r="3954" spans="1:8" x14ac:dyDescent="0.25">
      <c r="A3954" s="9" t="s">
        <v>3522</v>
      </c>
      <c r="B3954" s="9" t="s">
        <v>1097</v>
      </c>
      <c r="C3954">
        <v>0</v>
      </c>
      <c r="D3954" t="s">
        <v>4080</v>
      </c>
      <c r="E3954">
        <v>2019</v>
      </c>
      <c r="F3954" s="9"/>
      <c r="H3954" s="20" t="str">
        <f t="shared" si="61"/>
        <v>(nextval('obj_part_id_seq'), (select id from obj_building_v where zip||'|'||street||'|'||name||'|'||volume = '4303|Violahof|Feuerwehrmagazin|1879.00'), 'P2', 0, null, 2019,null),</v>
      </c>
    </row>
    <row r="3955" spans="1:8" x14ac:dyDescent="0.25">
      <c r="A3955" s="9" t="s">
        <v>3522</v>
      </c>
      <c r="B3955" s="9" t="s">
        <v>1099</v>
      </c>
      <c r="C3955">
        <v>7</v>
      </c>
      <c r="D3955">
        <v>85</v>
      </c>
      <c r="E3955">
        <v>2019</v>
      </c>
      <c r="F3955" s="9" t="s">
        <v>3523</v>
      </c>
      <c r="H3955" s="20" t="str">
        <f t="shared" si="61"/>
        <v>(nextval('obj_part_id_seq'), (select id from obj_building_v where zip||'|'||street||'|'||name||'|'||volume = '4303|Violahof|Feuerwehrmagazin|1879.00'), 'P3', 7, 85, 2019,'Flachdach begrünt, Glasvordach'),</v>
      </c>
    </row>
    <row r="3956" spans="1:8" x14ac:dyDescent="0.25">
      <c r="A3956" s="9" t="s">
        <v>3522</v>
      </c>
      <c r="B3956" s="9" t="s">
        <v>1100</v>
      </c>
      <c r="C3956">
        <v>6</v>
      </c>
      <c r="D3956">
        <v>90</v>
      </c>
      <c r="E3956">
        <v>2019</v>
      </c>
      <c r="F3956" s="9" t="s">
        <v>1698</v>
      </c>
      <c r="H3956" s="20" t="str">
        <f t="shared" si="61"/>
        <v>(nextval('obj_part_id_seq'), (select id from obj_building_v where zip||'|'||street||'|'||name||'|'||volume = '4303|Violahof|Feuerwehrmagazin|1879.00'), 'P4', 6, 90, 2019,'Sichtbeton'),</v>
      </c>
    </row>
    <row r="3957" spans="1:8" x14ac:dyDescent="0.25">
      <c r="A3957" s="9" t="s">
        <v>3522</v>
      </c>
      <c r="B3957" s="9" t="s">
        <v>1102</v>
      </c>
      <c r="C3957">
        <v>15</v>
      </c>
      <c r="D3957">
        <v>90</v>
      </c>
      <c r="E3957">
        <v>2019</v>
      </c>
      <c r="F3957" s="9" t="s">
        <v>3524</v>
      </c>
      <c r="H3957" s="20" t="str">
        <f t="shared" si="61"/>
        <v>(nextval('obj_part_id_seq'), (select id from obj_building_v where zip||'|'||street||'|'||name||'|'||volume = '4303|Violahof|Feuerwehrmagazin|1879.00'), 'P5', 15, 90, 2019,'Falttore, Eingangstür: 3-fach verglast, Notausgangstür: Kunststoff mit Alu, Aussentüre: Metall, Fenster: Kunststoff\nAlter Bauteil: Holzfenster, 2-fach-Verglasung'),</v>
      </c>
    </row>
    <row r="3958" spans="1:8" x14ac:dyDescent="0.25">
      <c r="A3958" s="9" t="s">
        <v>3522</v>
      </c>
      <c r="B3958" s="9" t="s">
        <v>1110</v>
      </c>
      <c r="C3958">
        <v>9</v>
      </c>
      <c r="D3958">
        <v>90</v>
      </c>
      <c r="E3958">
        <v>2019</v>
      </c>
      <c r="F3958" s="9" t="s">
        <v>3525</v>
      </c>
      <c r="H3958" s="20" t="str">
        <f t="shared" si="61"/>
        <v>(nextval('obj_part_id_seq'), (select id from obj_building_v where zip||'|'||street||'|'||name||'|'||volume = '4303|Violahof|Feuerwehrmagazin|1879.00'), 'P9', 9, 90, 2019,'Genügende Absicherungen mit FI-Schutzschaltern, Beleuchtung, EDV'),</v>
      </c>
    </row>
    <row r="3959" spans="1:8" x14ac:dyDescent="0.25">
      <c r="A3959" s="9" t="s">
        <v>3522</v>
      </c>
      <c r="B3959" s="9" t="s">
        <v>1104</v>
      </c>
      <c r="C3959">
        <v>1</v>
      </c>
      <c r="D3959">
        <v>90</v>
      </c>
      <c r="E3959">
        <v>2019</v>
      </c>
      <c r="F3959" s="9" t="s">
        <v>1235</v>
      </c>
      <c r="H3959" s="20" t="str">
        <f t="shared" si="61"/>
        <v>(nextval('obj_part_id_seq'), (select id from obj_building_v where zip||'|'||street||'|'||name||'|'||volume = '4303|Violahof|Feuerwehrmagazin|1879.00'), 'P6', 1, 90, 2019,'Fernwärme'),</v>
      </c>
    </row>
    <row r="3960" spans="1:8" x14ac:dyDescent="0.25">
      <c r="A3960" s="9" t="s">
        <v>3522</v>
      </c>
      <c r="B3960" s="9" t="s">
        <v>1106</v>
      </c>
      <c r="C3960">
        <v>4</v>
      </c>
      <c r="D3960">
        <v>90</v>
      </c>
      <c r="E3960">
        <v>2019</v>
      </c>
      <c r="F3960" s="9" t="s">
        <v>3526</v>
      </c>
      <c r="H3960" s="20" t="str">
        <f t="shared" si="61"/>
        <v>(nextval('obj_part_id_seq'), (select id from obj_building_v where zip||'|'||street||'|'||name||'|'||volume = '4303|Violahof|Feuerwehrmagazin|1879.00'), 'P7', 4, 90, 2019,'Radiatoren mit Thermostaten, Bodenheizung'),</v>
      </c>
    </row>
    <row r="3961" spans="1:8" x14ac:dyDescent="0.25">
      <c r="A3961" s="9" t="s">
        <v>3522</v>
      </c>
      <c r="B3961" s="9" t="s">
        <v>1403</v>
      </c>
      <c r="C3961">
        <v>3</v>
      </c>
      <c r="D3961">
        <v>90</v>
      </c>
      <c r="E3961">
        <v>2019</v>
      </c>
      <c r="F3961" s="9" t="s">
        <v>3527</v>
      </c>
      <c r="H3961" s="20" t="str">
        <f t="shared" si="61"/>
        <v>(nextval('obj_part_id_seq'), (select id from obj_building_v where zip||'|'||street||'|'||name||'|'||volume = '4303|Violahof|Feuerwehrmagazin|1879.00'), 'P52', 3, 90, 2019,'Entlüftung Vorratsraum, Abluft WC/Dusche'),</v>
      </c>
    </row>
    <row r="3962" spans="1:8" x14ac:dyDescent="0.25">
      <c r="A3962" s="9" t="s">
        <v>3522</v>
      </c>
      <c r="B3962" s="9" t="s">
        <v>1404</v>
      </c>
      <c r="C3962">
        <v>4</v>
      </c>
      <c r="D3962">
        <v>90</v>
      </c>
      <c r="E3962">
        <v>2019</v>
      </c>
      <c r="F3962" s="9" t="s">
        <v>3528</v>
      </c>
      <c r="H3962" s="20" t="str">
        <f t="shared" si="61"/>
        <v>(nextval('obj_part_id_seq'), (select id from obj_building_v where zip||'|'||street||'|'||name||'|'||volume = '4303|Violahof|Feuerwehrmagazin|1879.00'), 'P53', 4, 90, 2019,'Heizlüftungen, Kompressor'),</v>
      </c>
    </row>
    <row r="3963" spans="1:8" x14ac:dyDescent="0.25">
      <c r="A3963" s="9" t="s">
        <v>3522</v>
      </c>
      <c r="B3963" s="9" t="s">
        <v>1108</v>
      </c>
      <c r="C3963">
        <v>5</v>
      </c>
      <c r="D3963">
        <v>90</v>
      </c>
      <c r="E3963">
        <v>2019</v>
      </c>
      <c r="F3963" s="9" t="s">
        <v>3529</v>
      </c>
      <c r="H3963" s="20" t="str">
        <f t="shared" si="61"/>
        <v>(nextval('obj_part_id_seq'), (select id from obj_building_v where zip||'|'||street||'|'||name||'|'||volume = '4303|Violahof|Feuerwehrmagazin|1879.00'), 'P8', 5, 90, 2019,'Entfeuchter, Entkalkungsanlage, Leitungsdruck genügend, Armaturen zeitgemäss mit Mischventlien, tw. autom.'),</v>
      </c>
    </row>
    <row r="3964" spans="1:8" x14ac:dyDescent="0.25">
      <c r="A3964" s="9" t="s">
        <v>3522</v>
      </c>
      <c r="B3964" s="9" t="s">
        <v>1155</v>
      </c>
      <c r="C3964">
        <v>0</v>
      </c>
      <c r="D3964" t="s">
        <v>4080</v>
      </c>
      <c r="E3964">
        <v>2019</v>
      </c>
      <c r="F3964" s="9"/>
      <c r="H3964" s="20" t="str">
        <f t="shared" si="61"/>
        <v>(nextval('obj_part_id_seq'), (select id from obj_building_v where zip||'|'||street||'|'||name||'|'||volume = '4303|Violahof|Feuerwehrmagazin|1879.00'), 'P56', 0, null, 2019,null),</v>
      </c>
    </row>
    <row r="3965" spans="1:8" x14ac:dyDescent="0.25">
      <c r="A3965" s="9" t="s">
        <v>3522</v>
      </c>
      <c r="B3965" s="9" t="s">
        <v>1138</v>
      </c>
      <c r="C3965">
        <v>9</v>
      </c>
      <c r="D3965">
        <v>90</v>
      </c>
      <c r="E3965">
        <v>2019</v>
      </c>
      <c r="F3965" s="9" t="s">
        <v>3530</v>
      </c>
      <c r="H3965" s="20" t="str">
        <f t="shared" si="61"/>
        <v>(nextval('obj_part_id_seq'), (select id from obj_building_v where zip||'|'||street||'|'||name||'|'||volume = '4303|Violahof|Feuerwehrmagazin|1879.00'), 'P57', 9, 90, 2019,'Küche: Schiebetür/wand, innere Verglasungen, Einbaukästen, Küche mit gewerblichem Geschirrspüler'),</v>
      </c>
    </row>
    <row r="3966" spans="1:8" x14ac:dyDescent="0.25">
      <c r="A3966" s="9" t="s">
        <v>3522</v>
      </c>
      <c r="B3966" s="9" t="s">
        <v>1140</v>
      </c>
      <c r="C3966">
        <v>5</v>
      </c>
      <c r="D3966">
        <v>90</v>
      </c>
      <c r="E3966">
        <v>2019</v>
      </c>
      <c r="F3966" s="9" t="s">
        <v>3531</v>
      </c>
      <c r="H3966" s="20" t="str">
        <f t="shared" si="61"/>
        <v>(nextval('obj_part_id_seq'), (select id from obj_building_v where zip||'|'||street||'|'||name||'|'||volume = '4303|Violahof|Feuerwehrmagazin|1879.00'), 'P58', 5, 90, 2019,'Boden:Keramik, textiler Bodenbelag, Hartbeton gestrichen, alter Bauteil: PVC-Boden\nWand: Abrieb, gestrichen\nDecke: Beton, gestrichen, Akustikdecke'),</v>
      </c>
    </row>
    <row r="3967" spans="1:8" x14ac:dyDescent="0.25">
      <c r="A3967" s="9" t="s">
        <v>3522</v>
      </c>
      <c r="B3967" s="9" t="s">
        <v>1142</v>
      </c>
      <c r="C3967">
        <v>0</v>
      </c>
      <c r="D3967" t="s">
        <v>4080</v>
      </c>
      <c r="E3967">
        <v>2019</v>
      </c>
      <c r="F3967" s="9"/>
      <c r="H3967" s="20" t="str">
        <f t="shared" si="61"/>
        <v>(nextval('obj_part_id_seq'), (select id from obj_building_v where zip||'|'||street||'|'||name||'|'||volume = '4303|Violahof|Feuerwehrmagazin|1879.00'), 'P60', 0, null, 2019,null),</v>
      </c>
    </row>
    <row r="3968" spans="1:8" x14ac:dyDescent="0.25">
      <c r="A3968" s="9" t="s">
        <v>3522</v>
      </c>
      <c r="B3968" s="9" t="s">
        <v>1143</v>
      </c>
      <c r="C3968">
        <v>0</v>
      </c>
      <c r="D3968" t="s">
        <v>4080</v>
      </c>
      <c r="E3968">
        <v>2019</v>
      </c>
      <c r="F3968" s="9"/>
      <c r="H3968" s="20" t="str">
        <f t="shared" si="61"/>
        <v>(nextval('obj_part_id_seq'), (select id from obj_building_v where zip||'|'||street||'|'||name||'|'||volume = '4303|Violahof|Feuerwehrmagazin|1879.00'), 'P61', 0, null, 2019,null),</v>
      </c>
    </row>
    <row r="3969" spans="1:8" x14ac:dyDescent="0.25">
      <c r="A3969" s="9" t="s">
        <v>3522</v>
      </c>
      <c r="B3969" s="9" t="s">
        <v>1144</v>
      </c>
      <c r="C3969">
        <v>0</v>
      </c>
      <c r="D3969" t="s">
        <v>4080</v>
      </c>
      <c r="E3969">
        <v>2019</v>
      </c>
      <c r="F3969" s="9"/>
      <c r="H3969" s="20" t="str">
        <f t="shared" si="61"/>
        <v>(nextval('obj_part_id_seq'), (select id from obj_building_v where zip||'|'||street||'|'||name||'|'||volume = '4303|Violahof|Feuerwehrmagazin|1879.00'), 'P62', 0, null, 2019,null),</v>
      </c>
    </row>
    <row r="3970" spans="1:8" x14ac:dyDescent="0.25">
      <c r="A3970" s="9" t="s">
        <v>3532</v>
      </c>
      <c r="B3970" s="9" t="s">
        <v>1127</v>
      </c>
      <c r="C3970">
        <v>26</v>
      </c>
      <c r="D3970">
        <v>90</v>
      </c>
      <c r="E3970">
        <v>2019</v>
      </c>
      <c r="F3970" s="9" t="s">
        <v>1192</v>
      </c>
      <c r="H3970" s="20" t="str">
        <f t="shared" si="61"/>
        <v>(nextval('obj_part_id_seq'), (select id from obj_building_v where zip||'|'||street||'|'||name||'|'||volume = '4303|Rosenweg 18|KIGA Rosenweg|8501.00'), 'P48', 26, 90, 2019,'Stahlbeton'),</v>
      </c>
    </row>
    <row r="3971" spans="1:8" x14ac:dyDescent="0.25">
      <c r="A3971" s="9" t="s">
        <v>3532</v>
      </c>
      <c r="B3971" s="9" t="s">
        <v>1129</v>
      </c>
      <c r="C3971">
        <v>0</v>
      </c>
      <c r="D3971" t="s">
        <v>4080</v>
      </c>
      <c r="E3971">
        <v>2019</v>
      </c>
      <c r="F3971" s="9"/>
      <c r="H3971" s="20" t="str">
        <f t="shared" si="61"/>
        <v>(nextval('obj_part_id_seq'), (select id from obj_building_v where zip||'|'||street||'|'||name||'|'||volume = '4303|Rosenweg 18|KIGA Rosenweg|8501.00'), 'P49', 0, null, 2019,null),</v>
      </c>
    </row>
    <row r="3972" spans="1:8" x14ac:dyDescent="0.25">
      <c r="A3972" s="9" t="s">
        <v>3532</v>
      </c>
      <c r="B3972" s="9" t="s">
        <v>1097</v>
      </c>
      <c r="C3972">
        <v>0</v>
      </c>
      <c r="D3972" t="s">
        <v>4080</v>
      </c>
      <c r="E3972">
        <v>2019</v>
      </c>
      <c r="F3972" s="9"/>
      <c r="H3972" s="20" t="str">
        <f t="shared" si="61"/>
        <v>(nextval('obj_part_id_seq'), (select id from obj_building_v where zip||'|'||street||'|'||name||'|'||volume = '4303|Rosenweg 18|KIGA Rosenweg|8501.00'), 'P2', 0, null, 2019,null),</v>
      </c>
    </row>
    <row r="3973" spans="1:8" x14ac:dyDescent="0.25">
      <c r="A3973" s="9" t="s">
        <v>3532</v>
      </c>
      <c r="B3973" s="9" t="s">
        <v>1099</v>
      </c>
      <c r="C3973">
        <v>20</v>
      </c>
      <c r="D3973">
        <v>90</v>
      </c>
      <c r="E3973">
        <v>2019</v>
      </c>
      <c r="F3973" s="9" t="s">
        <v>3533</v>
      </c>
      <c r="H3973" s="20" t="str">
        <f t="shared" ref="H3973:H4036" si="62">"(nextval('obj_part_id_seq'), (select id from obj_building_v where zip||'|'||street||'|'||name||'|'||volume = '"&amp;A3973&amp;"'), '"&amp;B3973&amp;"', "&amp;C3973&amp;", "&amp;D3973&amp;", "&amp;IF(ISBLANK(E3973),"null",E3973)&amp;","&amp;IF(ISBLANK(F3973),"null","'"&amp;F3973&amp;"'")&amp;"),"</f>
        <v>(nextval('obj_part_id_seq'), (select id from obj_building_v where zip||'|'||street||'|'||name||'|'||volume = '4303|Rosenweg 18|KIGA Rosenweg|8501.00'), 'P3', 20, 90, 2019,'Metallvordach beim Entrée'),</v>
      </c>
    </row>
    <row r="3974" spans="1:8" x14ac:dyDescent="0.25">
      <c r="A3974" s="9" t="s">
        <v>3532</v>
      </c>
      <c r="B3974" s="9" t="s">
        <v>1100</v>
      </c>
      <c r="C3974">
        <v>8</v>
      </c>
      <c r="D3974">
        <v>80</v>
      </c>
      <c r="E3974">
        <v>2019</v>
      </c>
      <c r="F3974" s="9" t="s">
        <v>1698</v>
      </c>
      <c r="H3974" s="20" t="str">
        <f t="shared" si="62"/>
        <v>(nextval('obj_part_id_seq'), (select id from obj_building_v where zip||'|'||street||'|'||name||'|'||volume = '4303|Rosenweg 18|KIGA Rosenweg|8501.00'), 'P4', 8, 80, 2019,'Sichtbeton'),</v>
      </c>
    </row>
    <row r="3975" spans="1:8" x14ac:dyDescent="0.25">
      <c r="A3975" s="9" t="s">
        <v>3532</v>
      </c>
      <c r="B3975" s="9" t="s">
        <v>1102</v>
      </c>
      <c r="C3975">
        <v>14</v>
      </c>
      <c r="D3975">
        <v>85</v>
      </c>
      <c r="E3975">
        <v>2019</v>
      </c>
      <c r="F3975" s="9" t="s">
        <v>3534</v>
      </c>
      <c r="H3975" s="20" t="str">
        <f t="shared" si="62"/>
        <v>(nextval('obj_part_id_seq'), (select id from obj_building_v where zip||'|'||street||'|'||name||'|'||volume = '4303|Rosenweg 18|KIGA Rosenweg|8501.00'), 'P5', 14, 85, 2019,'Kunststofffenster, Holz-Metalltüre (Metall löst sich ab), Rafflamellenstoren man.'),</v>
      </c>
    </row>
    <row r="3976" spans="1:8" x14ac:dyDescent="0.25">
      <c r="A3976" s="9" t="s">
        <v>3532</v>
      </c>
      <c r="B3976" s="9" t="s">
        <v>1110</v>
      </c>
      <c r="C3976">
        <v>4</v>
      </c>
      <c r="D3976">
        <v>90</v>
      </c>
      <c r="E3976">
        <v>2019</v>
      </c>
      <c r="F3976" s="9" t="s">
        <v>3535</v>
      </c>
      <c r="H3976" s="20" t="str">
        <f t="shared" si="62"/>
        <v>(nextval('obj_part_id_seq'), (select id from obj_building_v where zip||'|'||street||'|'||name||'|'||volume = '4303|Rosenweg 18|KIGA Rosenweg|8501.00'), 'P9', 4, 90, 2019,'Fl-Schalter vorhanden'),</v>
      </c>
    </row>
    <row r="3977" spans="1:8" x14ac:dyDescent="0.25">
      <c r="A3977" s="9" t="s">
        <v>3532</v>
      </c>
      <c r="B3977" s="9" t="s">
        <v>1104</v>
      </c>
      <c r="C3977">
        <v>1</v>
      </c>
      <c r="D3977">
        <v>90</v>
      </c>
      <c r="E3977">
        <v>2019</v>
      </c>
      <c r="F3977" s="9" t="s">
        <v>1235</v>
      </c>
      <c r="H3977" s="20" t="str">
        <f t="shared" si="62"/>
        <v>(nextval('obj_part_id_seq'), (select id from obj_building_v where zip||'|'||street||'|'||name||'|'||volume = '4303|Rosenweg 18|KIGA Rosenweg|8501.00'), 'P6', 1, 90, 2019,'Fernwärme'),</v>
      </c>
    </row>
    <row r="3978" spans="1:8" x14ac:dyDescent="0.25">
      <c r="A3978" s="9" t="s">
        <v>3532</v>
      </c>
      <c r="B3978" s="9" t="s">
        <v>1106</v>
      </c>
      <c r="C3978">
        <v>3</v>
      </c>
      <c r="D3978">
        <v>90</v>
      </c>
      <c r="E3978">
        <v>2019</v>
      </c>
      <c r="F3978" s="9" t="s">
        <v>1571</v>
      </c>
      <c r="H3978" s="20" t="str">
        <f t="shared" si="62"/>
        <v>(nextval('obj_part_id_seq'), (select id from obj_building_v where zip||'|'||street||'|'||name||'|'||volume = '4303|Rosenweg 18|KIGA Rosenweg|8501.00'), 'P7', 3, 90, 2019,'Bodenheizung'),</v>
      </c>
    </row>
    <row r="3979" spans="1:8" x14ac:dyDescent="0.25">
      <c r="A3979" s="9" t="s">
        <v>3532</v>
      </c>
      <c r="B3979" s="9" t="s">
        <v>1135</v>
      </c>
      <c r="C3979">
        <v>1</v>
      </c>
      <c r="D3979">
        <v>90</v>
      </c>
      <c r="E3979">
        <v>2019</v>
      </c>
      <c r="F3979" s="9" t="s">
        <v>3536</v>
      </c>
      <c r="H3979" s="20" t="str">
        <f t="shared" si="62"/>
        <v>(nextval('obj_part_id_seq'), (select id from obj_building_v where zip||'|'||street||'|'||name||'|'||volume = '4303|Rosenweg 18|KIGA Rosenweg|8501.00'), 'P54', 1, 90, 2019,'Apparate funktionstüchtig, Armaturen mit Mischventilen'),</v>
      </c>
    </row>
    <row r="3980" spans="1:8" x14ac:dyDescent="0.25">
      <c r="A3980" s="9" t="s">
        <v>3532</v>
      </c>
      <c r="B3980" s="9" t="s">
        <v>1137</v>
      </c>
      <c r="C3980">
        <v>3</v>
      </c>
      <c r="D3980">
        <v>90</v>
      </c>
      <c r="E3980">
        <v>2019</v>
      </c>
      <c r="F3980" s="9" t="s">
        <v>1218</v>
      </c>
      <c r="H3980" s="20" t="str">
        <f t="shared" si="62"/>
        <v>(nextval('obj_part_id_seq'), (select id from obj_building_v where zip||'|'||street||'|'||name||'|'||volume = '4303|Rosenweg 18|KIGA Rosenweg|8501.00'), 'P55', 3, 90, 2019,'Keine Mängel bekannt'),</v>
      </c>
    </row>
    <row r="3981" spans="1:8" x14ac:dyDescent="0.25">
      <c r="A3981" s="9" t="s">
        <v>3532</v>
      </c>
      <c r="B3981" s="9" t="s">
        <v>1138</v>
      </c>
      <c r="C3981">
        <v>17</v>
      </c>
      <c r="D3981">
        <v>90</v>
      </c>
      <c r="E3981">
        <v>2019</v>
      </c>
      <c r="F3981" s="9" t="s">
        <v>1632</v>
      </c>
      <c r="H3981" s="20" t="str">
        <f t="shared" si="62"/>
        <v>(nextval('obj_part_id_seq'), (select id from obj_building_v where zip||'|'||street||'|'||name||'|'||volume = '4303|Rosenweg 18|KIGA Rosenweg|8501.00'), 'P57', 17, 90, 2019,'Einbauschränke, Küche'),</v>
      </c>
    </row>
    <row r="3982" spans="1:8" x14ac:dyDescent="0.25">
      <c r="A3982" s="9" t="s">
        <v>3532</v>
      </c>
      <c r="B3982" s="9" t="s">
        <v>1140</v>
      </c>
      <c r="C3982">
        <v>3</v>
      </c>
      <c r="D3982">
        <v>90</v>
      </c>
      <c r="E3982">
        <v>2019</v>
      </c>
      <c r="F3982" s="9" t="s">
        <v>3537</v>
      </c>
      <c r="H3982" s="20" t="str">
        <f t="shared" si="62"/>
        <v>(nextval('obj_part_id_seq'), (select id from obj_building_v where zip||'|'||street||'|'||name||'|'||volume = '4303|Rosenweg 18|KIGA Rosenweg|8501.00'), 'P58', 3, 90, 2019,'Boden: Linol, Keramik\nWand: Anstrich, Keramik\nDecke: Anstrich, Holz (Akustikdecke)'),</v>
      </c>
    </row>
    <row r="3983" spans="1:8" x14ac:dyDescent="0.25">
      <c r="A3983" s="9" t="s">
        <v>3532</v>
      </c>
      <c r="B3983" s="9" t="s">
        <v>1142</v>
      </c>
      <c r="C3983">
        <v>0</v>
      </c>
      <c r="D3983" t="s">
        <v>4080</v>
      </c>
      <c r="E3983">
        <v>2019</v>
      </c>
      <c r="F3983" s="9"/>
      <c r="H3983" s="20" t="str">
        <f t="shared" si="62"/>
        <v>(nextval('obj_part_id_seq'), (select id from obj_building_v where zip||'|'||street||'|'||name||'|'||volume = '4303|Rosenweg 18|KIGA Rosenweg|8501.00'), 'P60', 0, null, 2019,null),</v>
      </c>
    </row>
    <row r="3984" spans="1:8" x14ac:dyDescent="0.25">
      <c r="A3984" s="9" t="s">
        <v>3532</v>
      </c>
      <c r="B3984" s="9" t="s">
        <v>1143</v>
      </c>
      <c r="C3984">
        <v>0</v>
      </c>
      <c r="D3984" t="s">
        <v>4080</v>
      </c>
      <c r="E3984">
        <v>2019</v>
      </c>
      <c r="F3984" s="9"/>
      <c r="H3984" s="20" t="str">
        <f t="shared" si="62"/>
        <v>(nextval('obj_part_id_seq'), (select id from obj_building_v where zip||'|'||street||'|'||name||'|'||volume = '4303|Rosenweg 18|KIGA Rosenweg|8501.00'), 'P61', 0, null, 2019,null),</v>
      </c>
    </row>
    <row r="3985" spans="1:8" x14ac:dyDescent="0.25">
      <c r="A3985" s="9" t="s">
        <v>3532</v>
      </c>
      <c r="B3985" s="9" t="s">
        <v>1144</v>
      </c>
      <c r="C3985">
        <v>0</v>
      </c>
      <c r="D3985" t="s">
        <v>4080</v>
      </c>
      <c r="E3985">
        <v>2019</v>
      </c>
      <c r="F3985" s="9"/>
      <c r="H3985" s="20" t="str">
        <f t="shared" si="62"/>
        <v>(nextval('obj_part_id_seq'), (select id from obj_building_v where zip||'|'||street||'|'||name||'|'||volume = '4303|Rosenweg 18|KIGA Rosenweg|8501.00'), 'P62', 0, null, 2019,null),</v>
      </c>
    </row>
    <row r="3986" spans="1:8" x14ac:dyDescent="0.25">
      <c r="A3986" s="9" t="s">
        <v>3538</v>
      </c>
      <c r="B3986" s="9" t="s">
        <v>1127</v>
      </c>
      <c r="C3986">
        <v>37</v>
      </c>
      <c r="D3986">
        <v>85</v>
      </c>
      <c r="E3986">
        <v>2019</v>
      </c>
      <c r="F3986" s="9" t="s">
        <v>3539</v>
      </c>
      <c r="H3986" s="20" t="str">
        <f t="shared" si="62"/>
        <v>(nextval('obj_part_id_seq'), (select id from obj_building_v where zip||'|'||street||'|'||name||'|'||volume = '8556|Käsereistrasse 10|Mehrzweckhalle|2842.00'), 'P48', 37, 85, 2019,'Mauerwerk, Holzträger'),</v>
      </c>
    </row>
    <row r="3987" spans="1:8" x14ac:dyDescent="0.25">
      <c r="A3987" s="9" t="s">
        <v>3538</v>
      </c>
      <c r="B3987" s="9" t="s">
        <v>1129</v>
      </c>
      <c r="C3987">
        <v>0</v>
      </c>
      <c r="D3987" t="s">
        <v>4080</v>
      </c>
      <c r="E3987">
        <v>2019</v>
      </c>
      <c r="F3987" s="9"/>
      <c r="H3987" s="20" t="str">
        <f t="shared" si="62"/>
        <v>(nextval('obj_part_id_seq'), (select id from obj_building_v where zip||'|'||street||'|'||name||'|'||volume = '8556|Käsereistrasse 10|Mehrzweckhalle|2842.00'), 'P49', 0, null, 2019,null),</v>
      </c>
    </row>
    <row r="3988" spans="1:8" x14ac:dyDescent="0.25">
      <c r="A3988" s="9" t="s">
        <v>3538</v>
      </c>
      <c r="B3988" s="9" t="s">
        <v>1097</v>
      </c>
      <c r="C3988">
        <v>13</v>
      </c>
      <c r="D3988">
        <v>85</v>
      </c>
      <c r="E3988">
        <v>2019</v>
      </c>
      <c r="F3988" s="9" t="s">
        <v>3540</v>
      </c>
      <c r="H3988" s="20" t="str">
        <f t="shared" si="62"/>
        <v>(nextval('obj_part_id_seq'), (select id from obj_building_v where zip||'|'||street||'|'||name||'|'||volume = '8556|Käsereistrasse 10|Mehrzweckhalle|2842.00'), 'P2', 13, 85, 2019,'Gedämmt, Dachraum trocken und mängelfrei'),</v>
      </c>
    </row>
    <row r="3989" spans="1:8" x14ac:dyDescent="0.25">
      <c r="A3989" s="9" t="s">
        <v>3538</v>
      </c>
      <c r="B3989" s="9" t="s">
        <v>1099</v>
      </c>
      <c r="C3989">
        <v>0</v>
      </c>
      <c r="D3989" t="s">
        <v>4080</v>
      </c>
      <c r="E3989">
        <v>2019</v>
      </c>
      <c r="F3989" s="9"/>
      <c r="H3989" s="20" t="str">
        <f t="shared" si="62"/>
        <v>(nextval('obj_part_id_seq'), (select id from obj_building_v where zip||'|'||street||'|'||name||'|'||volume = '8556|Käsereistrasse 10|Mehrzweckhalle|2842.00'), 'P3', 0, null, 2019,null),</v>
      </c>
    </row>
    <row r="3990" spans="1:8" x14ac:dyDescent="0.25">
      <c r="A3990" s="9" t="s">
        <v>3538</v>
      </c>
      <c r="B3990" s="9" t="s">
        <v>1100</v>
      </c>
      <c r="C3990">
        <v>6</v>
      </c>
      <c r="D3990">
        <v>90</v>
      </c>
      <c r="E3990">
        <v>2019</v>
      </c>
      <c r="F3990" s="9" t="s">
        <v>3541</v>
      </c>
      <c r="H3990" s="20" t="str">
        <f t="shared" si="62"/>
        <v>(nextval('obj_part_id_seq'), (select id from obj_building_v where zip||'|'||street||'|'||name||'|'||volume = '8556|Käsereistrasse 10|Mehrzweckhalle|2842.00'), 'P4', 6, 90, 2019,'Mauerwerk, verputzte Aussenwärmedämmung'),</v>
      </c>
    </row>
    <row r="3991" spans="1:8" x14ac:dyDescent="0.25">
      <c r="A3991" s="9" t="s">
        <v>3538</v>
      </c>
      <c r="B3991" s="9" t="s">
        <v>1102</v>
      </c>
      <c r="C3991">
        <v>8</v>
      </c>
      <c r="D3991">
        <v>85</v>
      </c>
      <c r="E3991">
        <v>2019</v>
      </c>
      <c r="F3991" s="9" t="s">
        <v>3542</v>
      </c>
      <c r="H3991" s="20" t="str">
        <f t="shared" si="62"/>
        <v>(nextval('obj_part_id_seq'), (select id from obj_building_v where zip||'|'||street||'|'||name||'|'||volume = '8556|Käsereistrasse 10|Mehrzweckhalle|2842.00'), 'P5', 8, 85, 2019,'Fenster Westfassade: Holz-Metal'),</v>
      </c>
    </row>
    <row r="3992" spans="1:8" x14ac:dyDescent="0.25">
      <c r="A3992" s="9" t="s">
        <v>3538</v>
      </c>
      <c r="B3992" s="9" t="s">
        <v>1110</v>
      </c>
      <c r="C3992">
        <v>5</v>
      </c>
      <c r="D3992">
        <v>80</v>
      </c>
      <c r="E3992">
        <v>2019</v>
      </c>
      <c r="F3992" s="9" t="s">
        <v>3543</v>
      </c>
      <c r="H3992" s="20" t="str">
        <f t="shared" si="62"/>
        <v>(nextval('obj_part_id_seq'), (select id from obj_building_v where zip||'|'||street||'|'||name||'|'||volume = '8556|Käsereistrasse 10|Mehrzweckhalle|2842.00'), 'P9', 5, 80, 2019,'Beleuchtung, Turnhallenbeleuchtung, Bühnentechnik'),</v>
      </c>
    </row>
    <row r="3993" spans="1:8" x14ac:dyDescent="0.25">
      <c r="A3993" s="9" t="s">
        <v>3538</v>
      </c>
      <c r="B3993" s="9" t="s">
        <v>1104</v>
      </c>
      <c r="C3993">
        <v>1</v>
      </c>
      <c r="D3993">
        <v>90</v>
      </c>
      <c r="E3993">
        <v>2019</v>
      </c>
      <c r="F3993" s="9" t="s">
        <v>1235</v>
      </c>
      <c r="H3993" s="20" t="str">
        <f t="shared" si="62"/>
        <v>(nextval('obj_part_id_seq'), (select id from obj_building_v where zip||'|'||street||'|'||name||'|'||volume = '8556|Käsereistrasse 10|Mehrzweckhalle|2842.00'), 'P6', 1, 90, 2019,'Fernwärme'),</v>
      </c>
    </row>
    <row r="3994" spans="1:8" x14ac:dyDescent="0.25">
      <c r="A3994" s="9" t="s">
        <v>3538</v>
      </c>
      <c r="B3994" s="9" t="s">
        <v>1106</v>
      </c>
      <c r="C3994">
        <v>3</v>
      </c>
      <c r="D3994">
        <v>85</v>
      </c>
      <c r="E3994">
        <v>2019</v>
      </c>
      <c r="F3994" s="9" t="s">
        <v>2438</v>
      </c>
      <c r="H3994" s="20" t="str">
        <f t="shared" si="62"/>
        <v>(nextval('obj_part_id_seq'), (select id from obj_building_v where zip||'|'||street||'|'||name||'|'||volume = '8556|Käsereistrasse 10|Mehrzweckhalle|2842.00'), 'P7', 3, 85, 2019,'Heizkörper mit Thermostaten'),</v>
      </c>
    </row>
    <row r="3995" spans="1:8" x14ac:dyDescent="0.25">
      <c r="A3995" s="9" t="s">
        <v>3538</v>
      </c>
      <c r="B3995" s="9" t="s">
        <v>1403</v>
      </c>
      <c r="C3995">
        <v>2</v>
      </c>
      <c r="D3995">
        <v>80</v>
      </c>
      <c r="E3995">
        <v>2019</v>
      </c>
      <c r="F3995" s="9" t="s">
        <v>2001</v>
      </c>
      <c r="H3995" s="20" t="str">
        <f t="shared" si="62"/>
        <v>(nextval('obj_part_id_seq'), (select id from obj_building_v where zip||'|'||street||'|'||name||'|'||volume = '8556|Käsereistrasse 10|Mehrzweckhalle|2842.00'), 'P52', 2, 80, 2019,'Küchenabluft'),</v>
      </c>
    </row>
    <row r="3996" spans="1:8" x14ac:dyDescent="0.25">
      <c r="A3996" s="9" t="s">
        <v>3538</v>
      </c>
      <c r="B3996" s="9" t="s">
        <v>1404</v>
      </c>
      <c r="C3996">
        <v>0</v>
      </c>
      <c r="D3996" t="s">
        <v>4080</v>
      </c>
      <c r="E3996">
        <v>2019</v>
      </c>
      <c r="F3996" s="9"/>
      <c r="H3996" s="20" t="str">
        <f t="shared" si="62"/>
        <v>(nextval('obj_part_id_seq'), (select id from obj_building_v where zip||'|'||street||'|'||name||'|'||volume = '8556|Käsereistrasse 10|Mehrzweckhalle|2842.00'), 'P53', 0, null, 2019,null),</v>
      </c>
    </row>
    <row r="3997" spans="1:8" x14ac:dyDescent="0.25">
      <c r="A3997" s="9" t="s">
        <v>3538</v>
      </c>
      <c r="B3997" s="9" t="s">
        <v>1135</v>
      </c>
      <c r="C3997">
        <v>1</v>
      </c>
      <c r="D3997">
        <v>80</v>
      </c>
      <c r="E3997">
        <v>2019</v>
      </c>
      <c r="F3997" s="9" t="s">
        <v>3544</v>
      </c>
      <c r="H3997" s="20" t="str">
        <f t="shared" si="62"/>
        <v>(nextval('obj_part_id_seq'), (select id from obj_building_v where zip||'|'||street||'|'||name||'|'||volume = '8556|Käsereistrasse 10|Mehrzweckhalle|2842.00'), 'P54', 1, 80, 2019,'Armaturen ohne Mischventile, jedoch funktionstüchtig'),</v>
      </c>
    </row>
    <row r="3998" spans="1:8" x14ac:dyDescent="0.25">
      <c r="A3998" s="9" t="s">
        <v>3538</v>
      </c>
      <c r="B3998" s="9" t="s">
        <v>1137</v>
      </c>
      <c r="C3998">
        <v>3</v>
      </c>
      <c r="D3998">
        <v>80</v>
      </c>
      <c r="E3998">
        <v>2019</v>
      </c>
      <c r="F3998" s="9" t="s">
        <v>1218</v>
      </c>
      <c r="H3998" s="20" t="str">
        <f t="shared" si="62"/>
        <v>(nextval('obj_part_id_seq'), (select id from obj_building_v where zip||'|'||street||'|'||name||'|'||volume = '8556|Käsereistrasse 10|Mehrzweckhalle|2842.00'), 'P55', 3, 80, 2019,'Keine Mängel bekannt'),</v>
      </c>
    </row>
    <row r="3999" spans="1:8" x14ac:dyDescent="0.25">
      <c r="A3999" s="9" t="s">
        <v>3538</v>
      </c>
      <c r="B3999" s="9" t="s">
        <v>1138</v>
      </c>
      <c r="C3999">
        <v>10</v>
      </c>
      <c r="D3999">
        <v>80</v>
      </c>
      <c r="E3999">
        <v>2019</v>
      </c>
      <c r="F3999" s="9" t="s">
        <v>3545</v>
      </c>
      <c r="H3999" s="20" t="str">
        <f t="shared" si="62"/>
        <v>(nextval('obj_part_id_seq'), (select id from obj_building_v where zip||'|'||street||'|'||name||'|'||volume = '8556|Käsereistrasse 10|Mehrzweckhalle|2842.00'), 'P57', 10, 80, 2019,'Küche ''10, Garderobe'),</v>
      </c>
    </row>
    <row r="4000" spans="1:8" x14ac:dyDescent="0.25">
      <c r="A4000" s="9" t="s">
        <v>3538</v>
      </c>
      <c r="B4000" s="9" t="s">
        <v>1140</v>
      </c>
      <c r="C4000">
        <v>11</v>
      </c>
      <c r="D4000">
        <v>80</v>
      </c>
      <c r="E4000">
        <v>2019</v>
      </c>
      <c r="F4000" s="9" t="s">
        <v>3546</v>
      </c>
      <c r="H4000" s="20" t="str">
        <f t="shared" si="62"/>
        <v>(nextval('obj_part_id_seq'), (select id from obj_building_v where zip||'|'||street||'|'||name||'|'||volume = '8556|Käsereistrasse 10|Mehrzweckhalle|2842.00'), 'P58', 11, 80, 2019,'Turnhallenboden (Bretterboden, alt), Wand: Glasfasertapeten'),</v>
      </c>
    </row>
    <row r="4001" spans="1:8" x14ac:dyDescent="0.25">
      <c r="A4001" s="9" t="s">
        <v>3538</v>
      </c>
      <c r="B4001" s="9" t="s">
        <v>1142</v>
      </c>
      <c r="C4001">
        <v>0</v>
      </c>
      <c r="D4001" t="s">
        <v>4080</v>
      </c>
      <c r="E4001">
        <v>2019</v>
      </c>
      <c r="F4001" s="9"/>
      <c r="H4001" s="20" t="str">
        <f t="shared" si="62"/>
        <v>(nextval('obj_part_id_seq'), (select id from obj_building_v where zip||'|'||street||'|'||name||'|'||volume = '8556|Käsereistrasse 10|Mehrzweckhalle|2842.00'), 'P60', 0, null, 2019,null),</v>
      </c>
    </row>
    <row r="4002" spans="1:8" x14ac:dyDescent="0.25">
      <c r="A4002" s="9" t="s">
        <v>3538</v>
      </c>
      <c r="B4002" s="9" t="s">
        <v>1143</v>
      </c>
      <c r="C4002">
        <v>0</v>
      </c>
      <c r="D4002" t="s">
        <v>4080</v>
      </c>
      <c r="E4002">
        <v>2019</v>
      </c>
      <c r="F4002" s="9"/>
      <c r="H4002" s="20" t="str">
        <f t="shared" si="62"/>
        <v>(nextval('obj_part_id_seq'), (select id from obj_building_v where zip||'|'||street||'|'||name||'|'||volume = '8556|Käsereistrasse 10|Mehrzweckhalle|2842.00'), 'P61', 0, null, 2019,null),</v>
      </c>
    </row>
    <row r="4003" spans="1:8" x14ac:dyDescent="0.25">
      <c r="A4003" s="9" t="s">
        <v>3538</v>
      </c>
      <c r="B4003" s="9" t="s">
        <v>1144</v>
      </c>
      <c r="C4003">
        <v>0</v>
      </c>
      <c r="D4003" t="s">
        <v>4080</v>
      </c>
      <c r="E4003">
        <v>2019</v>
      </c>
      <c r="F4003" s="9"/>
      <c r="H4003" s="20" t="str">
        <f t="shared" si="62"/>
        <v>(nextval('obj_part_id_seq'), (select id from obj_building_v where zip||'|'||street||'|'||name||'|'||volume = '8556|Käsereistrasse 10|Mehrzweckhalle|2842.00'), 'P62', 0, null, 2019,null),</v>
      </c>
    </row>
    <row r="4004" spans="1:8" x14ac:dyDescent="0.25">
      <c r="A4004" s="9" t="s">
        <v>3547</v>
      </c>
      <c r="B4004" s="9" t="s">
        <v>1127</v>
      </c>
      <c r="C4004">
        <v>41</v>
      </c>
      <c r="D4004">
        <v>90</v>
      </c>
      <c r="E4004">
        <v>2019</v>
      </c>
      <c r="F4004" s="9" t="s">
        <v>2069</v>
      </c>
      <c r="H4004" s="20" t="str">
        <f t="shared" si="62"/>
        <v>(nextval('obj_part_id_seq'), (select id from obj_building_v where zip||'|'||street||'|'||name||'|'||volume = '8556|Käsereistrasse 10|Primarschule Wigoltingen|4409.00'), 'P48', 41, 90, 2019,'Mauerwerk, Stahlbeton'),</v>
      </c>
    </row>
    <row r="4005" spans="1:8" x14ac:dyDescent="0.25">
      <c r="A4005" s="9" t="s">
        <v>3547</v>
      </c>
      <c r="B4005" s="9" t="s">
        <v>1129</v>
      </c>
      <c r="C4005">
        <v>0</v>
      </c>
      <c r="D4005" t="s">
        <v>4080</v>
      </c>
      <c r="E4005">
        <v>2019</v>
      </c>
      <c r="F4005" s="9"/>
      <c r="H4005" s="20" t="str">
        <f t="shared" si="62"/>
        <v>(nextval('obj_part_id_seq'), (select id from obj_building_v where zip||'|'||street||'|'||name||'|'||volume = '8556|Käsereistrasse 10|Primarschule Wigoltingen|4409.00'), 'P49', 0, null, 2019,null),</v>
      </c>
    </row>
    <row r="4006" spans="1:8" x14ac:dyDescent="0.25">
      <c r="A4006" s="9" t="s">
        <v>3547</v>
      </c>
      <c r="B4006" s="9" t="s">
        <v>1097</v>
      </c>
      <c r="C4006">
        <v>8</v>
      </c>
      <c r="D4006">
        <v>85</v>
      </c>
      <c r="E4006">
        <v>2019</v>
      </c>
      <c r="F4006" s="9" t="s">
        <v>3548</v>
      </c>
      <c r="H4006" s="20" t="str">
        <f t="shared" si="62"/>
        <v>(nextval('obj_part_id_seq'), (select id from obj_building_v where zip||'|'||street||'|'||name||'|'||volume = '8556|Käsereistrasse 10|Primarschule Wigoltingen|4409.00'), 'P2', 8, 85, 2019,'Der Dachraum ist trocken und unbeschädigt, Spuren von Wassereintritt sichtbar (Mangel wurde behoben).'),</v>
      </c>
    </row>
    <row r="4007" spans="1:8" x14ac:dyDescent="0.25">
      <c r="A4007" s="9" t="s">
        <v>3547</v>
      </c>
      <c r="B4007" s="9" t="s">
        <v>1099</v>
      </c>
      <c r="C4007">
        <v>0</v>
      </c>
      <c r="D4007" t="s">
        <v>4080</v>
      </c>
      <c r="E4007">
        <v>2019</v>
      </c>
      <c r="F4007" s="9"/>
      <c r="H4007" s="20" t="str">
        <f t="shared" si="62"/>
        <v>(nextval('obj_part_id_seq'), (select id from obj_building_v where zip||'|'||street||'|'||name||'|'||volume = '8556|Käsereistrasse 10|Primarschule Wigoltingen|4409.00'), 'P3', 0, null, 2019,null),</v>
      </c>
    </row>
    <row r="4008" spans="1:8" x14ac:dyDescent="0.25">
      <c r="A4008" s="9" t="s">
        <v>3547</v>
      </c>
      <c r="B4008" s="9" t="s">
        <v>1100</v>
      </c>
      <c r="C4008">
        <v>7</v>
      </c>
      <c r="D4008">
        <v>85</v>
      </c>
      <c r="E4008">
        <v>2019</v>
      </c>
      <c r="F4008" s="9" t="s">
        <v>3549</v>
      </c>
      <c r="H4008" s="20" t="str">
        <f t="shared" si="62"/>
        <v>(nextval('obj_part_id_seq'), (select id from obj_building_v where zip||'|'||street||'|'||name||'|'||volume = '8556|Käsereistrasse 10|Primarschule Wigoltingen|4409.00'), 'P4', 7, 85, 2019,'Mauerwerk verputzt, Aussenwärmedämung'),</v>
      </c>
    </row>
    <row r="4009" spans="1:8" x14ac:dyDescent="0.25">
      <c r="A4009" s="9" t="s">
        <v>3547</v>
      </c>
      <c r="B4009" s="9" t="s">
        <v>1102</v>
      </c>
      <c r="C4009">
        <v>10</v>
      </c>
      <c r="D4009">
        <v>80</v>
      </c>
      <c r="E4009">
        <v>2019</v>
      </c>
      <c r="F4009" s="9" t="s">
        <v>3550</v>
      </c>
      <c r="H4009" s="20" t="str">
        <f t="shared" si="62"/>
        <v>(nextval('obj_part_id_seq'), (select id from obj_building_v where zip||'|'||street||'|'||name||'|'||volume = '8556|Käsereistrasse 10|Primarschule Wigoltingen|4409.00'), 'P5', 10, 80, 2019,'Kunststofffenster, Windfang: Metalltüren mit Glasfüllungne, Rafflamellenstoren an der Nord-, West- und Südfassade'),</v>
      </c>
    </row>
    <row r="4010" spans="1:8" x14ac:dyDescent="0.25">
      <c r="A4010" s="9" t="s">
        <v>3547</v>
      </c>
      <c r="B4010" s="9" t="s">
        <v>1164</v>
      </c>
      <c r="C4010">
        <v>6</v>
      </c>
      <c r="D4010">
        <v>80</v>
      </c>
      <c r="E4010">
        <v>2019</v>
      </c>
      <c r="F4010" s="9" t="s">
        <v>1295</v>
      </c>
      <c r="H4010" s="20" t="str">
        <f t="shared" si="62"/>
        <v>(nextval('obj_part_id_seq'), (select id from obj_building_v where zip||'|'||street||'|'||name||'|'||volume = '8556|Käsereistrasse 10|Primarschule Wigoltingen|4409.00'), 'P50', 6, 80, 2019,'Beleuchtung'),</v>
      </c>
    </row>
    <row r="4011" spans="1:8" x14ac:dyDescent="0.25">
      <c r="A4011" s="9" t="s">
        <v>3547</v>
      </c>
      <c r="B4011" s="9" t="s">
        <v>1166</v>
      </c>
      <c r="C4011">
        <v>1</v>
      </c>
      <c r="D4011">
        <v>90</v>
      </c>
      <c r="E4011">
        <v>2019</v>
      </c>
      <c r="F4011" s="9" t="s">
        <v>3551</v>
      </c>
      <c r="H4011" s="20" t="str">
        <f t="shared" si="62"/>
        <v>(nextval('obj_part_id_seq'), (select id from obj_building_v where zip||'|'||street||'|'||name||'|'||volume = '8556|Käsereistrasse 10|Primarschule Wigoltingen|4409.00'), 'P51', 1, 90, 2019,'Pausenglocke, EDV-Anlage'),</v>
      </c>
    </row>
    <row r="4012" spans="1:8" x14ac:dyDescent="0.25">
      <c r="A4012" s="9" t="s">
        <v>3547</v>
      </c>
      <c r="B4012" s="9" t="s">
        <v>1104</v>
      </c>
      <c r="C4012">
        <v>1</v>
      </c>
      <c r="D4012">
        <v>90</v>
      </c>
      <c r="E4012">
        <v>2019</v>
      </c>
      <c r="F4012" s="9" t="s">
        <v>1235</v>
      </c>
      <c r="H4012" s="20" t="str">
        <f t="shared" si="62"/>
        <v>(nextval('obj_part_id_seq'), (select id from obj_building_v where zip||'|'||street||'|'||name||'|'||volume = '8556|Käsereistrasse 10|Primarschule Wigoltingen|4409.00'), 'P6', 1, 90, 2019,'Fernwärme'),</v>
      </c>
    </row>
    <row r="4013" spans="1:8" x14ac:dyDescent="0.25">
      <c r="A4013" s="9" t="s">
        <v>3547</v>
      </c>
      <c r="B4013" s="9" t="s">
        <v>1106</v>
      </c>
      <c r="C4013">
        <v>3</v>
      </c>
      <c r="D4013">
        <v>85</v>
      </c>
      <c r="E4013">
        <v>2019</v>
      </c>
      <c r="F4013" s="9" t="s">
        <v>1107</v>
      </c>
      <c r="H4013" s="20" t="str">
        <f t="shared" si="62"/>
        <v>(nextval('obj_part_id_seq'), (select id from obj_building_v where zip||'|'||street||'|'||name||'|'||volume = '8556|Käsereistrasse 10|Primarschule Wigoltingen|4409.00'), 'P7', 3, 85, 2019,'Radiatoren mit Thermostaten'),</v>
      </c>
    </row>
    <row r="4014" spans="1:8" x14ac:dyDescent="0.25">
      <c r="A4014" s="9" t="s">
        <v>3547</v>
      </c>
      <c r="B4014" s="9" t="s">
        <v>1108</v>
      </c>
      <c r="C4014">
        <v>4</v>
      </c>
      <c r="D4014">
        <v>80</v>
      </c>
      <c r="E4014">
        <v>2019</v>
      </c>
      <c r="F4014" s="9" t="s">
        <v>3552</v>
      </c>
      <c r="H4014" s="20" t="str">
        <f t="shared" si="62"/>
        <v>(nextval('obj_part_id_seq'), (select id from obj_building_v where zip||'|'||street||'|'||name||'|'||volume = '8556|Käsereistrasse 10|Primarschule Wigoltingen|4409.00'), 'P8', 4, 80, 2019,'WC neu ''09. Leitungen tw. rostig, Druck ist in Ordnung'),</v>
      </c>
    </row>
    <row r="4015" spans="1:8" x14ac:dyDescent="0.25">
      <c r="A4015" s="9" t="s">
        <v>3547</v>
      </c>
      <c r="B4015" s="9" t="s">
        <v>1138</v>
      </c>
      <c r="C4015">
        <v>11</v>
      </c>
      <c r="D4015">
        <v>80</v>
      </c>
      <c r="E4015">
        <v>2019</v>
      </c>
      <c r="F4015" s="9" t="s">
        <v>3553</v>
      </c>
      <c r="H4015" s="20" t="str">
        <f t="shared" si="62"/>
        <v>(nextval('obj_part_id_seq'), (select id from obj_building_v where zip||'|'||street||'|'||name||'|'||volume = '8556|Käsereistrasse 10|Primarschule Wigoltingen|4409.00'), 'P57', 11, 80, 2019,'Garderoben, Einbauschränke, kleine Küche im KG-Raum\nGeländer (Höhe und Abstände nicht gesetzeskonform)'),</v>
      </c>
    </row>
    <row r="4016" spans="1:8" x14ac:dyDescent="0.25">
      <c r="A4016" s="9" t="s">
        <v>3547</v>
      </c>
      <c r="B4016" s="9" t="s">
        <v>1140</v>
      </c>
      <c r="C4016">
        <v>8</v>
      </c>
      <c r="D4016">
        <v>80</v>
      </c>
      <c r="E4016">
        <v>2019</v>
      </c>
      <c r="F4016" s="9" t="s">
        <v>3554</v>
      </c>
      <c r="H4016" s="20" t="str">
        <f t="shared" si="62"/>
        <v>(nextval('obj_part_id_seq'), (select id from obj_building_v where zip||'|'||street||'|'||name||'|'||volume = '8556|Käsereistrasse 10|Primarschule Wigoltingen|4409.00'), 'P58', 8, 80, 2019,'Boden: Kunststein, Linol, PVC. Garagenboden: Beton, gestrichen\nWand: verputzt, Glasfasertapete\nDecke: Holztäferdecke, Akustik-, Gipsdecke'),</v>
      </c>
    </row>
    <row r="4017" spans="1:8" x14ac:dyDescent="0.25">
      <c r="A4017" s="9" t="s">
        <v>3547</v>
      </c>
      <c r="B4017" s="9" t="s">
        <v>1142</v>
      </c>
      <c r="C4017">
        <v>0</v>
      </c>
      <c r="D4017" t="s">
        <v>4080</v>
      </c>
      <c r="E4017">
        <v>2019</v>
      </c>
      <c r="F4017" s="9"/>
      <c r="H4017" s="20" t="str">
        <f t="shared" si="62"/>
        <v>(nextval('obj_part_id_seq'), (select id from obj_building_v where zip||'|'||street||'|'||name||'|'||volume = '8556|Käsereistrasse 10|Primarschule Wigoltingen|4409.00'), 'P60', 0, null, 2019,null),</v>
      </c>
    </row>
    <row r="4018" spans="1:8" x14ac:dyDescent="0.25">
      <c r="A4018" s="9" t="s">
        <v>3547</v>
      </c>
      <c r="B4018" s="9" t="s">
        <v>1143</v>
      </c>
      <c r="C4018">
        <v>0</v>
      </c>
      <c r="D4018" t="s">
        <v>4080</v>
      </c>
      <c r="E4018">
        <v>2019</v>
      </c>
      <c r="F4018" s="9"/>
      <c r="H4018" s="20" t="str">
        <f t="shared" si="62"/>
        <v>(nextval('obj_part_id_seq'), (select id from obj_building_v where zip||'|'||street||'|'||name||'|'||volume = '8556|Käsereistrasse 10|Primarschule Wigoltingen|4409.00'), 'P61', 0, null, 2019,null),</v>
      </c>
    </row>
    <row r="4019" spans="1:8" x14ac:dyDescent="0.25">
      <c r="A4019" s="9" t="s">
        <v>3547</v>
      </c>
      <c r="B4019" s="9" t="s">
        <v>1144</v>
      </c>
      <c r="C4019">
        <v>0</v>
      </c>
      <c r="D4019" t="s">
        <v>4080</v>
      </c>
      <c r="E4019">
        <v>2019</v>
      </c>
      <c r="F4019" s="9"/>
      <c r="H4019" s="20" t="str">
        <f t="shared" si="62"/>
        <v>(nextval('obj_part_id_seq'), (select id from obj_building_v where zip||'|'||street||'|'||name||'|'||volume = '8556|Käsereistrasse 10|Primarschule Wigoltingen|4409.00'), 'P62', 0, null, 2019,null),</v>
      </c>
    </row>
    <row r="4020" spans="1:8" x14ac:dyDescent="0.25">
      <c r="A4020" s="9" t="s">
        <v>3555</v>
      </c>
      <c r="B4020" s="9" t="s">
        <v>1127</v>
      </c>
      <c r="C4020">
        <v>35</v>
      </c>
      <c r="D4020">
        <v>85</v>
      </c>
      <c r="E4020">
        <v>2019</v>
      </c>
      <c r="F4020" s="9" t="s">
        <v>3556</v>
      </c>
      <c r="H4020" s="20" t="str">
        <f t="shared" si="62"/>
        <v>(nextval('obj_part_id_seq'), (select id from obj_building_v where zip||'|'||street||'|'||name||'|'||volume = '8335|Oberdorfstrsse 91|Altersheim und Gartenhaus|1804.00'), 'P48', 35, 85, 2019,'Mauerwerk mit Holzdecken, über UG Hourdisdecken, Keller: Natur- und Kalksandstein-MW, tw. zu hoher Feutigkeitgehalt'),</v>
      </c>
    </row>
    <row r="4021" spans="1:8" x14ac:dyDescent="0.25">
      <c r="A4021" s="9" t="s">
        <v>3555</v>
      </c>
      <c r="B4021" s="9" t="s">
        <v>1129</v>
      </c>
      <c r="C4021">
        <v>0</v>
      </c>
      <c r="D4021" t="s">
        <v>4080</v>
      </c>
      <c r="E4021">
        <v>2019</v>
      </c>
      <c r="F4021" s="9"/>
      <c r="H4021" s="20" t="str">
        <f t="shared" si="62"/>
        <v>(nextval('obj_part_id_seq'), (select id from obj_building_v where zip||'|'||street||'|'||name||'|'||volume = '8335|Oberdorfstrsse 91|Altersheim und Gartenhaus|1804.00'), 'P49', 0, null, 2019,null),</v>
      </c>
    </row>
    <row r="4022" spans="1:8" x14ac:dyDescent="0.25">
      <c r="A4022" s="9" t="s">
        <v>3555</v>
      </c>
      <c r="B4022" s="9" t="s">
        <v>1097</v>
      </c>
      <c r="C4022">
        <v>8</v>
      </c>
      <c r="D4022">
        <v>80</v>
      </c>
      <c r="E4022">
        <v>2019</v>
      </c>
      <c r="F4022" s="9" t="s">
        <v>3557</v>
      </c>
      <c r="H4022" s="20" t="str">
        <f t="shared" si="62"/>
        <v>(nextval('obj_part_id_seq'), (select id from obj_building_v where zip||'|'||street||'|'||name||'|'||volume = '8335|Oberdorfstrsse 91|Altersheim und Gartenhaus|1804.00'), 'P2', 8, 80, 2019,'Ziegeldach mit Holzschindelunterdach, tw. Pavatexplatten, Ziegel defekt, Spuren von Wassereintritt erkennbar, Dachflächenfenster, Rauchabzug über Dachflächenfenster'),</v>
      </c>
    </row>
    <row r="4023" spans="1:8" x14ac:dyDescent="0.25">
      <c r="A4023" s="9" t="s">
        <v>3555</v>
      </c>
      <c r="B4023" s="9" t="s">
        <v>1099</v>
      </c>
      <c r="C4023">
        <v>0</v>
      </c>
      <c r="D4023" t="s">
        <v>4080</v>
      </c>
      <c r="E4023">
        <v>2019</v>
      </c>
      <c r="F4023" s="9"/>
      <c r="H4023" s="20" t="str">
        <f t="shared" si="62"/>
        <v>(nextval('obj_part_id_seq'), (select id from obj_building_v where zip||'|'||street||'|'||name||'|'||volume = '8335|Oberdorfstrsse 91|Altersheim und Gartenhaus|1804.00'), 'P3', 0, null, 2019,null),</v>
      </c>
    </row>
    <row r="4024" spans="1:8" x14ac:dyDescent="0.25">
      <c r="A4024" s="9" t="s">
        <v>3555</v>
      </c>
      <c r="B4024" s="9" t="s">
        <v>1100</v>
      </c>
      <c r="C4024">
        <v>7</v>
      </c>
      <c r="D4024">
        <v>80</v>
      </c>
      <c r="E4024">
        <v>2019</v>
      </c>
      <c r="F4024" s="9" t="s">
        <v>3558</v>
      </c>
      <c r="H4024" s="20" t="str">
        <f t="shared" si="62"/>
        <v>(nextval('obj_part_id_seq'), (select id from obj_building_v where zip||'|'||street||'|'||name||'|'||volume = '8335|Oberdorfstrsse 91|Altersheim und Gartenhaus|1804.00'), 'P4', 7, 80, 2019,'Gartenhäuschen: Mauerwerk, mit Kletterpflanzen verwachsen.\nAltersheim: Mauerwerk, verputzt, Gewände und Friese aus Naturstein, Balkone: Balkongeländer mangelhaft und rostig'),</v>
      </c>
    </row>
    <row r="4025" spans="1:8" x14ac:dyDescent="0.25">
      <c r="A4025" s="9" t="s">
        <v>3555</v>
      </c>
      <c r="B4025" s="9" t="s">
        <v>1102</v>
      </c>
      <c r="C4025">
        <v>11</v>
      </c>
      <c r="D4025">
        <v>80</v>
      </c>
      <c r="E4025">
        <v>2019</v>
      </c>
      <c r="F4025" s="9" t="s">
        <v>3559</v>
      </c>
      <c r="H4025" s="20" t="str">
        <f t="shared" si="62"/>
        <v>(nextval('obj_part_id_seq'), (select id from obj_building_v where zip||'|'||street||'|'||name||'|'||volume = '8335|Oberdorfstrsse 91|Altersheim und Gartenhaus|1804.00'), 'P5', 11, 80, 2019,'Obergeschoss: Velux-Fenster, Holztüre, Holzrahmen verzogen, Fenster mangelhaft, Holzläden, Gartenhäuschen: undichte Fenster'),</v>
      </c>
    </row>
    <row r="4026" spans="1:8" x14ac:dyDescent="0.25">
      <c r="A4026" s="9" t="s">
        <v>3555</v>
      </c>
      <c r="B4026" s="9" t="s">
        <v>1110</v>
      </c>
      <c r="C4026">
        <v>4</v>
      </c>
      <c r="D4026">
        <v>80</v>
      </c>
      <c r="E4026">
        <v>2019</v>
      </c>
      <c r="F4026" s="9" t="s">
        <v>3560</v>
      </c>
      <c r="H4026" s="20" t="str">
        <f t="shared" si="62"/>
        <v>(nextval('obj_part_id_seq'), (select id from obj_building_v where zip||'|'||street||'|'||name||'|'||volume = '8335|Oberdorfstrsse 91|Altersheim und Gartenhaus|1804.00'), 'P9', 4, 80, 2019,'Brandmelder nicht mehr in Berieb, Beleuchtung, Sicherung genügend, Elektrophysikalische Mauerentfeuchtung, Badentlüftung muss überprüft werden'),</v>
      </c>
    </row>
    <row r="4027" spans="1:8" x14ac:dyDescent="0.25">
      <c r="A4027" s="9" t="s">
        <v>3555</v>
      </c>
      <c r="B4027" s="9" t="s">
        <v>1104</v>
      </c>
      <c r="C4027">
        <v>2</v>
      </c>
      <c r="D4027">
        <v>80</v>
      </c>
      <c r="E4027">
        <v>2019</v>
      </c>
      <c r="F4027" s="9" t="s">
        <v>3561</v>
      </c>
      <c r="H4027" s="20" t="str">
        <f t="shared" si="62"/>
        <v>(nextval('obj_part_id_seq'), (select id from obj_building_v where zip||'|'||street||'|'||name||'|'||volume = '8335|Oberdorfstrsse 91|Altersheim und Gartenhaus|1804.00'), 'P6', 2, 80, 2019,'Ölheizung 53kW, 2005, Boiler'),</v>
      </c>
    </row>
    <row r="4028" spans="1:8" x14ac:dyDescent="0.25">
      <c r="A4028" s="9" t="s">
        <v>3555</v>
      </c>
      <c r="B4028" s="9" t="s">
        <v>1106</v>
      </c>
      <c r="C4028">
        <v>4</v>
      </c>
      <c r="D4028">
        <v>85</v>
      </c>
      <c r="E4028">
        <v>2019</v>
      </c>
      <c r="F4028" s="9" t="s">
        <v>3562</v>
      </c>
      <c r="H4028" s="20" t="str">
        <f t="shared" si="62"/>
        <v>(nextval('obj_part_id_seq'), (select id from obj_building_v where zip||'|'||street||'|'||name||'|'||volume = '8335|Oberdorfstrsse 91|Altersheim und Gartenhaus|1804.00'), 'P7', 4, 85, 2019,'Heizung mit Thermostaten, alte Heizleitungen im Keller, eine der zwei Pumpen ist neu.'),</v>
      </c>
    </row>
    <row r="4029" spans="1:8" x14ac:dyDescent="0.25">
      <c r="A4029" s="9" t="s">
        <v>3555</v>
      </c>
      <c r="B4029" s="9" t="s">
        <v>1135</v>
      </c>
      <c r="C4029">
        <v>2</v>
      </c>
      <c r="D4029">
        <v>85</v>
      </c>
      <c r="E4029">
        <v>2019</v>
      </c>
      <c r="F4029" s="9" t="s">
        <v>3563</v>
      </c>
      <c r="H4029" s="20" t="str">
        <f t="shared" si="62"/>
        <v>(nextval('obj_part_id_seq'), (select id from obj_building_v where zip||'|'||street||'|'||name||'|'||volume = '8335|Oberdorfstrsse 91|Altersheim und Gartenhaus|1804.00'), 'P54', 2, 85, 2019,'WC und Duschen, Waschmaschine, Waschtrockner, Druckwasseranlage'),</v>
      </c>
    </row>
    <row r="4030" spans="1:8" x14ac:dyDescent="0.25">
      <c r="A4030" s="9" t="s">
        <v>3555</v>
      </c>
      <c r="B4030" s="9" t="s">
        <v>1137</v>
      </c>
      <c r="C4030">
        <v>6</v>
      </c>
      <c r="D4030">
        <v>80</v>
      </c>
      <c r="E4030">
        <v>2019</v>
      </c>
      <c r="F4030" s="9" t="s">
        <v>3564</v>
      </c>
      <c r="H4030" s="20" t="str">
        <f t="shared" si="62"/>
        <v>(nextval('obj_part_id_seq'), (select id from obj_building_v where zip||'|'||street||'|'||name||'|'||volume = '8335|Oberdorfstrsse 91|Altersheim und Gartenhaus|1804.00'), 'P55', 6, 80, 2019,'Vermutlich rostige Leitungen oder zumindest verkalkt, Druck genügend, Gartenhäuschen: Aussenanschluss für Wasser'),</v>
      </c>
    </row>
    <row r="4031" spans="1:8" x14ac:dyDescent="0.25">
      <c r="A4031" s="9" t="s">
        <v>3555</v>
      </c>
      <c r="B4031" s="9" t="s">
        <v>1138</v>
      </c>
      <c r="C4031">
        <v>9</v>
      </c>
      <c r="D4031">
        <v>85</v>
      </c>
      <c r="E4031">
        <v>2019</v>
      </c>
      <c r="F4031" s="9" t="s">
        <v>3565</v>
      </c>
      <c r="H4031" s="20" t="str">
        <f t="shared" si="62"/>
        <v>(nextval('obj_part_id_seq'), (select id from obj_building_v where zip||'|'||street||'|'||name||'|'||volume = '8335|Oberdorfstrsse 91|Altersheim und Gartenhaus|1804.00'), 'P57', 9, 85, 2019,'Metallgeländer, Einbauschränke von ca. 1920, innere Verglasungen, Glastür, Gewände aus Holz, Holzausbauten'),</v>
      </c>
    </row>
    <row r="4032" spans="1:8" x14ac:dyDescent="0.25">
      <c r="A4032" s="9" t="s">
        <v>3555</v>
      </c>
      <c r="B4032" s="9" t="s">
        <v>1140</v>
      </c>
      <c r="C4032">
        <v>9</v>
      </c>
      <c r="D4032">
        <v>85</v>
      </c>
      <c r="E4032">
        <v>2019</v>
      </c>
      <c r="F4032" s="9" t="s">
        <v>3566</v>
      </c>
      <c r="H4032" s="20" t="str">
        <f t="shared" si="62"/>
        <v>(nextval('obj_part_id_seq'), (select id from obj_building_v where zip||'|'||street||'|'||name||'|'||volume = '8335|Oberdorfstrsse 91|Altersheim und Gartenhaus|1804.00'), 'P58', 9, 85, 2019,'Boden: Gumminoppenbelag, Parkett, Korkplatten, Decken: Holz, Gips, Wände: verputzt, tw. Holzverkleidung, \nWand im Keller: Kalksandstein, feucht'),</v>
      </c>
    </row>
    <row r="4033" spans="1:8" x14ac:dyDescent="0.25">
      <c r="A4033" s="9" t="s">
        <v>3555</v>
      </c>
      <c r="B4033" s="9" t="s">
        <v>1157</v>
      </c>
      <c r="C4033">
        <v>3</v>
      </c>
      <c r="D4033">
        <v>90</v>
      </c>
      <c r="E4033">
        <v>2019</v>
      </c>
      <c r="F4033" s="9" t="s">
        <v>3567</v>
      </c>
      <c r="H4033" s="20" t="str">
        <f t="shared" si="62"/>
        <v>(nextval('obj_part_id_seq'), (select id from obj_building_v where zip||'|'||street||'|'||name||'|'||volume = '8335|Oberdorfstrsse 91|Altersheim und Gartenhaus|1804.00'), 'P59', 3, 90, 2019,'Neue Küche mit Geschirrspüler, Natursteinabdeckung und -schild, Einbauschränke'),</v>
      </c>
    </row>
    <row r="4034" spans="1:8" x14ac:dyDescent="0.25">
      <c r="A4034" s="9" t="s">
        <v>3555</v>
      </c>
      <c r="B4034" s="9" t="s">
        <v>1142</v>
      </c>
      <c r="C4034">
        <v>0</v>
      </c>
      <c r="D4034" t="s">
        <v>4080</v>
      </c>
      <c r="E4034">
        <v>2019</v>
      </c>
      <c r="F4034" s="9"/>
      <c r="H4034" s="20" t="str">
        <f t="shared" si="62"/>
        <v>(nextval('obj_part_id_seq'), (select id from obj_building_v where zip||'|'||street||'|'||name||'|'||volume = '8335|Oberdorfstrsse 91|Altersheim und Gartenhaus|1804.00'), 'P60', 0, null, 2019,null),</v>
      </c>
    </row>
    <row r="4035" spans="1:8" x14ac:dyDescent="0.25">
      <c r="A4035" s="9" t="s">
        <v>3555</v>
      </c>
      <c r="B4035" s="9" t="s">
        <v>1143</v>
      </c>
      <c r="C4035">
        <v>0</v>
      </c>
      <c r="D4035" t="s">
        <v>4080</v>
      </c>
      <c r="E4035">
        <v>2019</v>
      </c>
      <c r="F4035" s="9"/>
      <c r="H4035" s="20" t="str">
        <f t="shared" si="62"/>
        <v>(nextval('obj_part_id_seq'), (select id from obj_building_v where zip||'|'||street||'|'||name||'|'||volume = '8335|Oberdorfstrsse 91|Altersheim und Gartenhaus|1804.00'), 'P61', 0, null, 2019,null),</v>
      </c>
    </row>
    <row r="4036" spans="1:8" x14ac:dyDescent="0.25">
      <c r="A4036" s="9" t="s">
        <v>3555</v>
      </c>
      <c r="B4036" s="9" t="s">
        <v>1144</v>
      </c>
      <c r="C4036">
        <v>0</v>
      </c>
      <c r="D4036" t="s">
        <v>4080</v>
      </c>
      <c r="E4036">
        <v>2019</v>
      </c>
      <c r="F4036" s="9"/>
      <c r="H4036" s="20" t="str">
        <f t="shared" si="62"/>
        <v>(nextval('obj_part_id_seq'), (select id from obj_building_v where zip||'|'||street||'|'||name||'|'||volume = '8335|Oberdorfstrsse 91|Altersheim und Gartenhaus|1804.00'), 'P62', 0, null, 2019,null),</v>
      </c>
    </row>
    <row r="4037" spans="1:8" x14ac:dyDescent="0.25">
      <c r="A4037" s="9" t="s">
        <v>3568</v>
      </c>
      <c r="B4037" s="9" t="s">
        <v>1127</v>
      </c>
      <c r="C4037">
        <v>50</v>
      </c>
      <c r="D4037">
        <v>90</v>
      </c>
      <c r="E4037">
        <v>2019</v>
      </c>
      <c r="F4037" s="9"/>
      <c r="H4037" s="20" t="str">
        <f t="shared" ref="H4037:H4100" si="63">"(nextval('obj_part_id_seq'), (select id from obj_building_v where zip||'|'||street||'|'||name||'|'||volume = '"&amp;A4037&amp;"'), '"&amp;B4037&amp;"', "&amp;C4037&amp;", "&amp;D4037&amp;", "&amp;IF(ISBLANK(E4037),"null",E4037)&amp;","&amp;IF(ISBLANK(F4037),"null","'"&amp;F4037&amp;"'")&amp;"),"</f>
        <v>(nextval('obj_part_id_seq'), (select id from obj_building_v where zip||'|'||street||'|'||name||'|'||volume = '8335|Schulhausstrasse 2 bei 2|Schutzraum|478.00'), 'P48', 50, 90, 2019,null),</v>
      </c>
    </row>
    <row r="4038" spans="1:8" x14ac:dyDescent="0.25">
      <c r="A4038" s="9" t="s">
        <v>3568</v>
      </c>
      <c r="B4038" s="9" t="s">
        <v>1099</v>
      </c>
      <c r="C4038">
        <v>20</v>
      </c>
      <c r="D4038">
        <v>90</v>
      </c>
      <c r="E4038">
        <v>2019</v>
      </c>
      <c r="F4038" s="9" t="s">
        <v>3569</v>
      </c>
      <c r="H4038" s="20" t="str">
        <f t="shared" si="63"/>
        <v>(nextval('obj_part_id_seq'), (select id from obj_building_v where zip||'|'||street||'|'||name||'|'||volume = '8335|Schulhausstrasse 2 bei 2|Schutzraum|478.00'), 'P3', 20, 90, 2019,'überdeckt'),</v>
      </c>
    </row>
    <row r="4039" spans="1:8" x14ac:dyDescent="0.25">
      <c r="A4039" s="9" t="s">
        <v>3568</v>
      </c>
      <c r="B4039" s="9" t="s">
        <v>1102</v>
      </c>
      <c r="C4039">
        <v>2</v>
      </c>
      <c r="D4039">
        <v>80</v>
      </c>
      <c r="E4039">
        <v>2019</v>
      </c>
      <c r="F4039" s="9" t="s">
        <v>3570</v>
      </c>
      <c r="H4039" s="20" t="str">
        <f t="shared" si="63"/>
        <v>(nextval('obj_part_id_seq'), (select id from obj_building_v where zip||'|'||street||'|'||name||'|'||volume = '8335|Schulhausstrasse 2 bei 2|Schutzraum|478.00'), 'P5', 2, 80, 2019,'Dichtung der Panzertür fehlt, Panzertüren bei Fluchtschächten'),</v>
      </c>
    </row>
    <row r="4040" spans="1:8" x14ac:dyDescent="0.25">
      <c r="A4040" s="9" t="s">
        <v>3568</v>
      </c>
      <c r="B4040" s="9" t="s">
        <v>1110</v>
      </c>
      <c r="C4040">
        <v>6</v>
      </c>
      <c r="D4040">
        <v>85</v>
      </c>
      <c r="E4040">
        <v>2019</v>
      </c>
      <c r="F4040" s="9" t="s">
        <v>1295</v>
      </c>
      <c r="H4040" s="20" t="str">
        <f t="shared" si="63"/>
        <v>(nextval('obj_part_id_seq'), (select id from obj_building_v where zip||'|'||street||'|'||name||'|'||volume = '8335|Schulhausstrasse 2 bei 2|Schutzraum|478.00'), 'P9', 6, 85, 2019,'Beleuchtung'),</v>
      </c>
    </row>
    <row r="4041" spans="1:8" x14ac:dyDescent="0.25">
      <c r="A4041" s="9" t="s">
        <v>3568</v>
      </c>
      <c r="B4041" s="9" t="s">
        <v>1104</v>
      </c>
      <c r="C4041">
        <v>0</v>
      </c>
      <c r="D4041" t="s">
        <v>4080</v>
      </c>
      <c r="E4041">
        <v>2019</v>
      </c>
      <c r="F4041" s="9"/>
      <c r="H4041" s="20" t="str">
        <f t="shared" si="63"/>
        <v>(nextval('obj_part_id_seq'), (select id from obj_building_v where zip||'|'||street||'|'||name||'|'||volume = '8335|Schulhausstrasse 2 bei 2|Schutzraum|478.00'), 'P6', 0, null, 2019,null),</v>
      </c>
    </row>
    <row r="4042" spans="1:8" x14ac:dyDescent="0.25">
      <c r="A4042" s="9" t="s">
        <v>3568</v>
      </c>
      <c r="B4042" s="9" t="s">
        <v>1106</v>
      </c>
      <c r="C4042">
        <v>0</v>
      </c>
      <c r="D4042" t="s">
        <v>4080</v>
      </c>
      <c r="E4042">
        <v>2019</v>
      </c>
      <c r="F4042" s="9"/>
      <c r="H4042" s="20" t="str">
        <f t="shared" si="63"/>
        <v>(nextval('obj_part_id_seq'), (select id from obj_building_v where zip||'|'||street||'|'||name||'|'||volume = '8335|Schulhausstrasse 2 bei 2|Schutzraum|478.00'), 'P7', 0, null, 2019,null),</v>
      </c>
    </row>
    <row r="4043" spans="1:8" x14ac:dyDescent="0.25">
      <c r="A4043" s="9" t="s">
        <v>3568</v>
      </c>
      <c r="B4043" s="9" t="s">
        <v>1403</v>
      </c>
      <c r="C4043">
        <v>2</v>
      </c>
      <c r="D4043">
        <v>90</v>
      </c>
      <c r="E4043">
        <v>2019</v>
      </c>
      <c r="F4043" s="9" t="s">
        <v>3571</v>
      </c>
      <c r="H4043" s="20" t="str">
        <f t="shared" si="63"/>
        <v>(nextval('obj_part_id_seq'), (select id from obj_building_v where zip||'|'||street||'|'||name||'|'||volume = '8335|Schulhausstrasse 2 bei 2|Schutzraum|478.00'), 'P52', 2, 90, 2019,'Luftfilteranlage'),</v>
      </c>
    </row>
    <row r="4044" spans="1:8" x14ac:dyDescent="0.25">
      <c r="A4044" s="9" t="s">
        <v>3568</v>
      </c>
      <c r="B4044" s="9" t="s">
        <v>1404</v>
      </c>
      <c r="C4044">
        <v>2</v>
      </c>
      <c r="D4044">
        <v>90</v>
      </c>
      <c r="E4044">
        <v>2019</v>
      </c>
      <c r="F4044" s="9"/>
      <c r="H4044" s="20" t="str">
        <f t="shared" si="63"/>
        <v>(nextval('obj_part_id_seq'), (select id from obj_building_v where zip||'|'||street||'|'||name||'|'||volume = '8335|Schulhausstrasse 2 bei 2|Schutzraum|478.00'), 'P53', 2, 90, 2019,null),</v>
      </c>
    </row>
    <row r="4045" spans="1:8" x14ac:dyDescent="0.25">
      <c r="A4045" s="9" t="s">
        <v>3568</v>
      </c>
      <c r="B4045" s="9" t="s">
        <v>1135</v>
      </c>
      <c r="C4045">
        <v>3</v>
      </c>
      <c r="D4045">
        <v>85</v>
      </c>
      <c r="E4045">
        <v>2019</v>
      </c>
      <c r="F4045" s="9" t="s">
        <v>3572</v>
      </c>
      <c r="H4045" s="20" t="str">
        <f t="shared" si="63"/>
        <v>(nextval('obj_part_id_seq'), (select id from obj_building_v where zip||'|'||street||'|'||name||'|'||volume = '8335|Schulhausstrasse 2 bei 2|Schutzraum|478.00'), 'P54', 3, 85, 2019,'WC, Lavabos, Dusche'),</v>
      </c>
    </row>
    <row r="4046" spans="1:8" x14ac:dyDescent="0.25">
      <c r="A4046" s="9" t="s">
        <v>3568</v>
      </c>
      <c r="B4046" s="9" t="s">
        <v>1137</v>
      </c>
      <c r="C4046">
        <v>3</v>
      </c>
      <c r="D4046">
        <v>90</v>
      </c>
      <c r="E4046">
        <v>2019</v>
      </c>
      <c r="F4046" s="9" t="s">
        <v>3573</v>
      </c>
      <c r="H4046" s="20" t="str">
        <f t="shared" si="63"/>
        <v>(nextval('obj_part_id_seq'), (select id from obj_building_v where zip||'|'||street||'|'||name||'|'||volume = '8335|Schulhausstrasse 2 bei 2|Schutzraum|478.00'), 'P55', 3, 90, 2019,'Leitungen sind abgedreht'),</v>
      </c>
    </row>
    <row r="4047" spans="1:8" x14ac:dyDescent="0.25">
      <c r="A4047" s="9" t="s">
        <v>3568</v>
      </c>
      <c r="B4047" s="9" t="s">
        <v>1112</v>
      </c>
      <c r="C4047">
        <v>0</v>
      </c>
      <c r="D4047" t="s">
        <v>4080</v>
      </c>
      <c r="E4047">
        <v>2019</v>
      </c>
      <c r="F4047" s="9"/>
      <c r="H4047" s="20" t="str">
        <f t="shared" si="63"/>
        <v>(nextval('obj_part_id_seq'), (select id from obj_building_v where zip||'|'||street||'|'||name||'|'||volume = '8335|Schulhausstrasse 2 bei 2|Schutzraum|478.00'), 'P10', 0, null, 2019,null),</v>
      </c>
    </row>
    <row r="4048" spans="1:8" x14ac:dyDescent="0.25">
      <c r="A4048" s="9" t="s">
        <v>3568</v>
      </c>
      <c r="B4048" s="9" t="s">
        <v>1138</v>
      </c>
      <c r="C4048">
        <v>2</v>
      </c>
      <c r="D4048">
        <v>80</v>
      </c>
      <c r="E4048">
        <v>2019</v>
      </c>
      <c r="F4048" s="9" t="s">
        <v>3574</v>
      </c>
      <c r="H4048" s="20" t="str">
        <f t="shared" si="63"/>
        <v>(nextval('obj_part_id_seq'), (select id from obj_building_v where zip||'|'||street||'|'||name||'|'||volume = '8335|Schulhausstrasse 2 bei 2|Schutzraum|478.00'), 'P57', 2, 80, 2019,'Holzinnentüren, Leiter'),</v>
      </c>
    </row>
    <row r="4049" spans="1:8" x14ac:dyDescent="0.25">
      <c r="A4049" s="9" t="s">
        <v>3568</v>
      </c>
      <c r="B4049" s="9" t="s">
        <v>1140</v>
      </c>
      <c r="C4049">
        <v>8</v>
      </c>
      <c r="D4049">
        <v>90</v>
      </c>
      <c r="E4049">
        <v>2019</v>
      </c>
      <c r="F4049" s="9" t="s">
        <v>3575</v>
      </c>
      <c r="H4049" s="20" t="str">
        <f t="shared" si="63"/>
        <v>(nextval('obj_part_id_seq'), (select id from obj_building_v where zip||'|'||street||'|'||name||'|'||volume = '8335|Schulhausstrasse 2 bei 2|Schutzraum|478.00'), 'P58', 8, 90, 2019,'Wand: gestrichen'),</v>
      </c>
    </row>
    <row r="4050" spans="1:8" x14ac:dyDescent="0.25">
      <c r="A4050" s="9" t="s">
        <v>3568</v>
      </c>
      <c r="B4050" s="9" t="s">
        <v>1157</v>
      </c>
      <c r="C4050">
        <v>2</v>
      </c>
      <c r="D4050">
        <v>80</v>
      </c>
      <c r="E4050">
        <v>2019</v>
      </c>
      <c r="F4050" s="9" t="s">
        <v>3576</v>
      </c>
      <c r="H4050" s="20" t="str">
        <f t="shared" si="63"/>
        <v>(nextval('obj_part_id_seq'), (select id from obj_building_v where zip||'|'||street||'|'||name||'|'||volume = '8335|Schulhausstrasse 2 bei 2|Schutzraum|478.00'), 'P59', 2, 80, 2019,'In der Küche Armaturen ohne Mischventile, WC und Duschen'),</v>
      </c>
    </row>
    <row r="4051" spans="1:8" x14ac:dyDescent="0.25">
      <c r="A4051" s="9" t="s">
        <v>3568</v>
      </c>
      <c r="B4051" s="9" t="s">
        <v>1142</v>
      </c>
      <c r="C4051">
        <v>0</v>
      </c>
      <c r="D4051" t="s">
        <v>4080</v>
      </c>
      <c r="E4051">
        <v>2019</v>
      </c>
      <c r="F4051" s="9"/>
      <c r="H4051" s="20" t="str">
        <f t="shared" si="63"/>
        <v>(nextval('obj_part_id_seq'), (select id from obj_building_v where zip||'|'||street||'|'||name||'|'||volume = '8335|Schulhausstrasse 2 bei 2|Schutzraum|478.00'), 'P60', 0, null, 2019,null),</v>
      </c>
    </row>
    <row r="4052" spans="1:8" x14ac:dyDescent="0.25">
      <c r="A4052" s="9" t="s">
        <v>3568</v>
      </c>
      <c r="B4052" s="9" t="s">
        <v>1143</v>
      </c>
      <c r="C4052">
        <v>0</v>
      </c>
      <c r="D4052" t="s">
        <v>4080</v>
      </c>
      <c r="E4052">
        <v>2019</v>
      </c>
      <c r="F4052" s="9"/>
      <c r="H4052" s="20" t="str">
        <f t="shared" si="63"/>
        <v>(nextval('obj_part_id_seq'), (select id from obj_building_v where zip||'|'||street||'|'||name||'|'||volume = '8335|Schulhausstrasse 2 bei 2|Schutzraum|478.00'), 'P61', 0, null, 2019,null),</v>
      </c>
    </row>
    <row r="4053" spans="1:8" x14ac:dyDescent="0.25">
      <c r="A4053" s="9" t="s">
        <v>3568</v>
      </c>
      <c r="B4053" s="9" t="s">
        <v>1144</v>
      </c>
      <c r="C4053">
        <v>0</v>
      </c>
      <c r="D4053" t="s">
        <v>4080</v>
      </c>
      <c r="E4053">
        <v>2019</v>
      </c>
      <c r="F4053" s="9"/>
      <c r="H4053" s="20" t="str">
        <f t="shared" si="63"/>
        <v>(nextval('obj_part_id_seq'), (select id from obj_building_v where zip||'|'||street||'|'||name||'|'||volume = '8335|Schulhausstrasse 2 bei 2|Schutzraum|478.00'), 'P62', 0, null, 2019,null),</v>
      </c>
    </row>
    <row r="4054" spans="1:8" x14ac:dyDescent="0.25">
      <c r="A4054" s="9" t="s">
        <v>3577</v>
      </c>
      <c r="B4054" s="9" t="s">
        <v>1095</v>
      </c>
      <c r="C4054">
        <v>17</v>
      </c>
      <c r="D4054">
        <v>70</v>
      </c>
      <c r="E4054">
        <v>2019</v>
      </c>
      <c r="F4054" s="9" t="s">
        <v>3578</v>
      </c>
      <c r="H4054" s="20" t="str">
        <f t="shared" si="63"/>
        <v>(nextval('obj_part_id_seq'), (select id from obj_building_v where zip||'|'||street||'|'||name||'|'||volume = '4303|Kirchgasse|Kirchturm|583.00'), 'P1', 17, 70, 2019,'Mauerwerk verputzt, Holzbalkendecken, Glockenstuhl'),</v>
      </c>
    </row>
    <row r="4055" spans="1:8" x14ac:dyDescent="0.25">
      <c r="A4055" s="9" t="s">
        <v>3577</v>
      </c>
      <c r="B4055" s="9" t="s">
        <v>1097</v>
      </c>
      <c r="C4055">
        <v>4</v>
      </c>
      <c r="D4055">
        <v>80</v>
      </c>
      <c r="E4055">
        <v>2019</v>
      </c>
      <c r="F4055" s="9" t="s">
        <v>3579</v>
      </c>
      <c r="H4055" s="20" t="str">
        <f t="shared" si="63"/>
        <v>(nextval('obj_part_id_seq'), (select id from obj_building_v where zip||'|'||street||'|'||name||'|'||volume = '4303|Kirchgasse|Kirchturm|583.00'), 'P2', 4, 80, 2019,'Ziegeldach (Bieberschwanz) ohne Unterdach'),</v>
      </c>
    </row>
    <row r="4056" spans="1:8" x14ac:dyDescent="0.25">
      <c r="A4056" s="9" t="s">
        <v>3577</v>
      </c>
      <c r="B4056" s="9" t="s">
        <v>1099</v>
      </c>
      <c r="C4056">
        <v>0</v>
      </c>
      <c r="D4056" t="s">
        <v>4080</v>
      </c>
      <c r="E4056">
        <v>2019</v>
      </c>
      <c r="F4056" s="9" t="s">
        <v>1692</v>
      </c>
      <c r="H4056" s="20" t="str">
        <f t="shared" si="63"/>
        <v>(nextval('obj_part_id_seq'), (select id from obj_building_v where zip||'|'||street||'|'||name||'|'||volume = '4303|Kirchgasse|Kirchturm|583.00'), 'P3', 0, null, 2019,'-'),</v>
      </c>
    </row>
    <row r="4057" spans="1:8" x14ac:dyDescent="0.25">
      <c r="A4057" s="9" t="s">
        <v>3577</v>
      </c>
      <c r="B4057" s="9" t="s">
        <v>1100</v>
      </c>
      <c r="C4057">
        <v>24</v>
      </c>
      <c r="D4057">
        <v>70</v>
      </c>
      <c r="E4057">
        <v>2019</v>
      </c>
      <c r="F4057" s="9" t="s">
        <v>3580</v>
      </c>
      <c r="H4057" s="20" t="str">
        <f t="shared" si="63"/>
        <v>(nextval('obj_part_id_seq'), (select id from obj_building_v where zip||'|'||street||'|'||name||'|'||volume = '4303|Kirchgasse|Kirchturm|583.00'), 'P4', 24, 70, 2019,'Mauerwerk, verputzt, Natursteingewände'),</v>
      </c>
    </row>
    <row r="4058" spans="1:8" x14ac:dyDescent="0.25">
      <c r="A4058" s="9" t="s">
        <v>3577</v>
      </c>
      <c r="B4058" s="9" t="s">
        <v>1102</v>
      </c>
      <c r="C4058">
        <v>4</v>
      </c>
      <c r="D4058">
        <v>70</v>
      </c>
      <c r="E4058">
        <v>2019</v>
      </c>
      <c r="F4058" s="9" t="s">
        <v>3581</v>
      </c>
      <c r="H4058" s="20" t="str">
        <f t="shared" si="63"/>
        <v>(nextval('obj_part_id_seq'), (select id from obj_building_v where zip||'|'||street||'|'||name||'|'||volume = '4303|Kirchgasse|Kirchturm|583.00'), 'P5', 4, 70, 2019,'Holzläden'),</v>
      </c>
    </row>
    <row r="4059" spans="1:8" x14ac:dyDescent="0.25">
      <c r="A4059" s="9" t="s">
        <v>3577</v>
      </c>
      <c r="B4059" s="9" t="s">
        <v>1104</v>
      </c>
      <c r="C4059">
        <v>0</v>
      </c>
      <c r="D4059" t="s">
        <v>4080</v>
      </c>
      <c r="E4059">
        <v>2019</v>
      </c>
      <c r="F4059" s="9" t="s">
        <v>1692</v>
      </c>
      <c r="H4059" s="20" t="str">
        <f t="shared" si="63"/>
        <v>(nextval('obj_part_id_seq'), (select id from obj_building_v where zip||'|'||street||'|'||name||'|'||volume = '4303|Kirchgasse|Kirchturm|583.00'), 'P6', 0, null, 2019,'-'),</v>
      </c>
    </row>
    <row r="4060" spans="1:8" x14ac:dyDescent="0.25">
      <c r="A4060" s="9" t="s">
        <v>3577</v>
      </c>
      <c r="B4060" s="9" t="s">
        <v>1106</v>
      </c>
      <c r="C4060">
        <v>0</v>
      </c>
      <c r="D4060" t="s">
        <v>4080</v>
      </c>
      <c r="E4060">
        <v>2019</v>
      </c>
      <c r="F4060" s="9" t="s">
        <v>1692</v>
      </c>
      <c r="H4060" s="20" t="str">
        <f t="shared" si="63"/>
        <v>(nextval('obj_part_id_seq'), (select id from obj_building_v where zip||'|'||street||'|'||name||'|'||volume = '4303|Kirchgasse|Kirchturm|583.00'), 'P7', 0, null, 2019,'-'),</v>
      </c>
    </row>
    <row r="4061" spans="1:8" x14ac:dyDescent="0.25">
      <c r="A4061" s="9" t="s">
        <v>3577</v>
      </c>
      <c r="B4061" s="9" t="s">
        <v>1108</v>
      </c>
      <c r="C4061">
        <v>0</v>
      </c>
      <c r="D4061" t="s">
        <v>4080</v>
      </c>
      <c r="E4061">
        <v>2019</v>
      </c>
      <c r="F4061" s="9"/>
      <c r="H4061" s="20" t="str">
        <f t="shared" si="63"/>
        <v>(nextval('obj_part_id_seq'), (select id from obj_building_v where zip||'|'||street||'|'||name||'|'||volume = '4303|Kirchgasse|Kirchturm|583.00'), 'P8', 0, null, 2019,null),</v>
      </c>
    </row>
    <row r="4062" spans="1:8" x14ac:dyDescent="0.25">
      <c r="A4062" s="9" t="s">
        <v>3577</v>
      </c>
      <c r="B4062" s="9" t="s">
        <v>1110</v>
      </c>
      <c r="C4062">
        <v>5</v>
      </c>
      <c r="D4062">
        <v>70</v>
      </c>
      <c r="E4062">
        <v>2019</v>
      </c>
      <c r="F4062" s="9" t="s">
        <v>3582</v>
      </c>
      <c r="H4062" s="20" t="str">
        <f t="shared" si="63"/>
        <v>(nextval('obj_part_id_seq'), (select id from obj_building_v where zip||'|'||street||'|'||name||'|'||volume = '4303|Kirchgasse|Kirchturm|583.00'), 'P9', 5, 70, 2019,'Beleuchtung, Turmuhr, Sicherungskasten'),</v>
      </c>
    </row>
    <row r="4063" spans="1:8" x14ac:dyDescent="0.25">
      <c r="A4063" s="9" t="s">
        <v>3577</v>
      </c>
      <c r="B4063" s="9" t="s">
        <v>1112</v>
      </c>
      <c r="C4063">
        <v>8</v>
      </c>
      <c r="D4063">
        <v>80</v>
      </c>
      <c r="E4063">
        <v>2019</v>
      </c>
      <c r="F4063" s="9" t="s">
        <v>3583</v>
      </c>
      <c r="H4063" s="20" t="str">
        <f t="shared" si="63"/>
        <v>(nextval('obj_part_id_seq'), (select id from obj_building_v where zip||'|'||street||'|'||name||'|'||volume = '4303|Kirchgasse|Kirchturm|583.00'), 'P10', 8, 80, 2019,'Uhr- und Läutwerk'),</v>
      </c>
    </row>
    <row r="4064" spans="1:8" x14ac:dyDescent="0.25">
      <c r="A4064" s="9" t="s">
        <v>3577</v>
      </c>
      <c r="B4064" s="9" t="s">
        <v>1114</v>
      </c>
      <c r="C4064">
        <v>8</v>
      </c>
      <c r="D4064">
        <v>70</v>
      </c>
      <c r="E4064">
        <v>2019</v>
      </c>
      <c r="F4064" s="9" t="s">
        <v>3584</v>
      </c>
      <c r="H4064" s="20" t="str">
        <f t="shared" si="63"/>
        <v>(nextval('obj_part_id_seq'), (select id from obj_building_v where zip||'|'||street||'|'||name||'|'||volume = '4303|Kirchgasse|Kirchturm|583.00'), 'P11', 8, 70, 2019,'Geländer aus Holz'),</v>
      </c>
    </row>
    <row r="4065" spans="1:8" x14ac:dyDescent="0.25">
      <c r="A4065" s="9" t="s">
        <v>3577</v>
      </c>
      <c r="B4065" s="9" t="s">
        <v>1114</v>
      </c>
      <c r="C4065">
        <v>0</v>
      </c>
      <c r="D4065" t="s">
        <v>4080</v>
      </c>
      <c r="E4065">
        <v>2019</v>
      </c>
      <c r="F4065" s="9" t="s">
        <v>1692</v>
      </c>
      <c r="H4065" s="20" t="str">
        <f t="shared" si="63"/>
        <v>(nextval('obj_part_id_seq'), (select id from obj_building_v where zip||'|'||street||'|'||name||'|'||volume = '4303|Kirchgasse|Kirchturm|583.00'), 'P11', 0, null, 2019,'-'),</v>
      </c>
    </row>
    <row r="4066" spans="1:8" x14ac:dyDescent="0.25">
      <c r="A4066" s="9" t="s">
        <v>3577</v>
      </c>
      <c r="B4066" s="9" t="s">
        <v>1116</v>
      </c>
      <c r="C4066">
        <v>30</v>
      </c>
      <c r="D4066">
        <v>85</v>
      </c>
      <c r="E4066">
        <v>2019</v>
      </c>
      <c r="F4066" s="9" t="s">
        <v>3585</v>
      </c>
      <c r="H4066" s="20" t="str">
        <f t="shared" si="63"/>
        <v>(nextval('obj_part_id_seq'), (select id from obj_building_v where zip||'|'||street||'|'||name||'|'||volume = '4303|Kirchgasse|Kirchturm|583.00'), 'P12', 30, 85, 2019,'3 Glocken'),</v>
      </c>
    </row>
    <row r="4067" spans="1:8" x14ac:dyDescent="0.25">
      <c r="A4067" s="9" t="s">
        <v>3586</v>
      </c>
      <c r="B4067" s="9" t="s">
        <v>1127</v>
      </c>
      <c r="C4067">
        <v>32</v>
      </c>
      <c r="D4067">
        <v>90</v>
      </c>
      <c r="E4067">
        <v>2019</v>
      </c>
      <c r="F4067" s="9" t="s">
        <v>3587</v>
      </c>
      <c r="H4067" s="20" t="str">
        <f t="shared" si="63"/>
        <v>(nextval('obj_part_id_seq'), (select id from obj_building_v where zip||'|'||street||'|'||name||'|'||volume = '8335|Ghangetrietstrasse|Friedhofsgebäude|91.00'), 'P48', 32, 90, 2019,'Natursteinmauerwerk'),</v>
      </c>
    </row>
    <row r="4068" spans="1:8" x14ac:dyDescent="0.25">
      <c r="A4068" s="9" t="s">
        <v>3586</v>
      </c>
      <c r="B4068" s="9" t="s">
        <v>1129</v>
      </c>
      <c r="C4068">
        <v>0</v>
      </c>
      <c r="D4068" t="s">
        <v>4080</v>
      </c>
      <c r="E4068">
        <v>2019</v>
      </c>
      <c r="F4068" s="9"/>
      <c r="H4068" s="20" t="str">
        <f t="shared" si="63"/>
        <v>(nextval('obj_part_id_seq'), (select id from obj_building_v where zip||'|'||street||'|'||name||'|'||volume = '8335|Ghangetrietstrasse|Friedhofsgebäude|91.00'), 'P49', 0, null, 2019,null),</v>
      </c>
    </row>
    <row r="4069" spans="1:8" x14ac:dyDescent="0.25">
      <c r="A4069" s="9" t="s">
        <v>3586</v>
      </c>
      <c r="B4069" s="9" t="s">
        <v>1097</v>
      </c>
      <c r="C4069">
        <v>23</v>
      </c>
      <c r="D4069">
        <v>90</v>
      </c>
      <c r="E4069">
        <v>2019</v>
      </c>
      <c r="F4069" s="9" t="s">
        <v>3588</v>
      </c>
      <c r="H4069" s="20" t="str">
        <f t="shared" si="63"/>
        <v>(nextval('obj_part_id_seq'), (select id from obj_building_v where zip||'|'||street||'|'||name||'|'||volume = '8335|Ghangetrietstrasse|Friedhofsgebäude|91.00'), 'P2', 23, 90, 2019,'Holzdach, wenig Moos'),</v>
      </c>
    </row>
    <row r="4070" spans="1:8" x14ac:dyDescent="0.25">
      <c r="A4070" s="9" t="s">
        <v>3586</v>
      </c>
      <c r="B4070" s="9" t="s">
        <v>1099</v>
      </c>
      <c r="C4070">
        <v>0</v>
      </c>
      <c r="D4070" t="s">
        <v>4080</v>
      </c>
      <c r="E4070">
        <v>2019</v>
      </c>
      <c r="F4070" s="9"/>
      <c r="H4070" s="20" t="str">
        <f t="shared" si="63"/>
        <v>(nextval('obj_part_id_seq'), (select id from obj_building_v where zip||'|'||street||'|'||name||'|'||volume = '8335|Ghangetrietstrasse|Friedhofsgebäude|91.00'), 'P3', 0, null, 2019,null),</v>
      </c>
    </row>
    <row r="4071" spans="1:8" x14ac:dyDescent="0.25">
      <c r="A4071" s="9" t="s">
        <v>3586</v>
      </c>
      <c r="B4071" s="9" t="s">
        <v>1100</v>
      </c>
      <c r="C4071">
        <v>18</v>
      </c>
      <c r="D4071">
        <v>90</v>
      </c>
      <c r="E4071">
        <v>2019</v>
      </c>
      <c r="F4071" s="9" t="s">
        <v>3589</v>
      </c>
      <c r="H4071" s="20" t="str">
        <f t="shared" si="63"/>
        <v>(nextval('obj_part_id_seq'), (select id from obj_building_v where zip||'|'||street||'|'||name||'|'||volume = '8335|Ghangetrietstrasse|Friedhofsgebäude|91.00'), 'P4', 18, 90, 2019,'Kalksandstein, keine Mängel bekannt'),</v>
      </c>
    </row>
    <row r="4072" spans="1:8" x14ac:dyDescent="0.25">
      <c r="A4072" s="9" t="s">
        <v>3586</v>
      </c>
      <c r="B4072" s="9" t="s">
        <v>1102</v>
      </c>
      <c r="C4072">
        <v>6</v>
      </c>
      <c r="D4072">
        <v>90</v>
      </c>
      <c r="E4072">
        <v>2019</v>
      </c>
      <c r="F4072" s="9" t="s">
        <v>3590</v>
      </c>
      <c r="H4072" s="20" t="str">
        <f t="shared" si="63"/>
        <v>(nextval('obj_part_id_seq'), (select id from obj_building_v where zip||'|'||street||'|'||name||'|'||volume = '8335|Ghangetrietstrasse|Friedhofsgebäude|91.00'), 'P5', 6, 90, 2019,'Keine Fenster, ausser opake Steine in Maueröffnung'),</v>
      </c>
    </row>
    <row r="4073" spans="1:8" x14ac:dyDescent="0.25">
      <c r="A4073" s="9" t="s">
        <v>3586</v>
      </c>
      <c r="B4073" s="9" t="s">
        <v>1110</v>
      </c>
      <c r="C4073">
        <v>4</v>
      </c>
      <c r="D4073">
        <v>90</v>
      </c>
      <c r="E4073">
        <v>2019</v>
      </c>
      <c r="F4073" s="9" t="s">
        <v>3591</v>
      </c>
      <c r="H4073" s="20" t="str">
        <f t="shared" si="63"/>
        <v>(nextval('obj_part_id_seq'), (select id from obj_building_v where zip||'|'||street||'|'||name||'|'||volume = '8335|Ghangetrietstrasse|Friedhofsgebäude|91.00'), 'P9', 4, 90, 2019,'Keine Beleuchtung, Blitzschutz muss neu befestigt werden'),</v>
      </c>
    </row>
    <row r="4074" spans="1:8" x14ac:dyDescent="0.25">
      <c r="A4074" s="9" t="s">
        <v>3586</v>
      </c>
      <c r="B4074" s="9" t="s">
        <v>1104</v>
      </c>
      <c r="C4074">
        <v>0</v>
      </c>
      <c r="D4074" t="s">
        <v>4080</v>
      </c>
      <c r="E4074">
        <v>2019</v>
      </c>
      <c r="F4074" s="9"/>
      <c r="H4074" s="20" t="str">
        <f t="shared" si="63"/>
        <v>(nextval('obj_part_id_seq'), (select id from obj_building_v where zip||'|'||street||'|'||name||'|'||volume = '8335|Ghangetrietstrasse|Friedhofsgebäude|91.00'), 'P6', 0, null, 2019,null),</v>
      </c>
    </row>
    <row r="4075" spans="1:8" x14ac:dyDescent="0.25">
      <c r="A4075" s="9" t="s">
        <v>3586</v>
      </c>
      <c r="B4075" s="9" t="s">
        <v>1106</v>
      </c>
      <c r="C4075">
        <v>0</v>
      </c>
      <c r="D4075" t="s">
        <v>4080</v>
      </c>
      <c r="E4075">
        <v>2019</v>
      </c>
      <c r="F4075" s="9"/>
      <c r="H4075" s="20" t="str">
        <f t="shared" si="63"/>
        <v>(nextval('obj_part_id_seq'), (select id from obj_building_v where zip||'|'||street||'|'||name||'|'||volume = '8335|Ghangetrietstrasse|Friedhofsgebäude|91.00'), 'P7', 0, null, 2019,null),</v>
      </c>
    </row>
    <row r="4076" spans="1:8" x14ac:dyDescent="0.25">
      <c r="A4076" s="9" t="s">
        <v>3586</v>
      </c>
      <c r="B4076" s="9" t="s">
        <v>1403</v>
      </c>
      <c r="C4076">
        <v>0</v>
      </c>
      <c r="D4076" t="s">
        <v>4080</v>
      </c>
      <c r="E4076">
        <v>2019</v>
      </c>
      <c r="F4076" s="9"/>
      <c r="H4076" s="20" t="str">
        <f t="shared" si="63"/>
        <v>(nextval('obj_part_id_seq'), (select id from obj_building_v where zip||'|'||street||'|'||name||'|'||volume = '8335|Ghangetrietstrasse|Friedhofsgebäude|91.00'), 'P52', 0, null, 2019,null),</v>
      </c>
    </row>
    <row r="4077" spans="1:8" x14ac:dyDescent="0.25">
      <c r="A4077" s="9" t="s">
        <v>3586</v>
      </c>
      <c r="B4077" s="9" t="s">
        <v>1404</v>
      </c>
      <c r="C4077">
        <v>0</v>
      </c>
      <c r="D4077" t="s">
        <v>4080</v>
      </c>
      <c r="E4077">
        <v>2019</v>
      </c>
      <c r="F4077" s="9"/>
      <c r="H4077" s="20" t="str">
        <f t="shared" si="63"/>
        <v>(nextval('obj_part_id_seq'), (select id from obj_building_v where zip||'|'||street||'|'||name||'|'||volume = '8335|Ghangetrietstrasse|Friedhofsgebäude|91.00'), 'P53', 0, null, 2019,null),</v>
      </c>
    </row>
    <row r="4078" spans="1:8" x14ac:dyDescent="0.25">
      <c r="A4078" s="9" t="s">
        <v>3586</v>
      </c>
      <c r="B4078" s="9" t="s">
        <v>1108</v>
      </c>
      <c r="C4078">
        <v>5</v>
      </c>
      <c r="D4078">
        <v>90</v>
      </c>
      <c r="E4078">
        <v>2019</v>
      </c>
      <c r="F4078" s="9" t="s">
        <v>3592</v>
      </c>
      <c r="H4078" s="20" t="str">
        <f t="shared" si="63"/>
        <v>(nextval('obj_part_id_seq'), (select id from obj_building_v where zip||'|'||street||'|'||name||'|'||volume = '8335|Ghangetrietstrasse|Friedhofsgebäude|91.00'), 'P8', 5, 90, 2019,'Aussenanschluss'),</v>
      </c>
    </row>
    <row r="4079" spans="1:8" x14ac:dyDescent="0.25">
      <c r="A4079" s="9" t="s">
        <v>3586</v>
      </c>
      <c r="B4079" s="9" t="s">
        <v>1138</v>
      </c>
      <c r="C4079">
        <v>8</v>
      </c>
      <c r="D4079">
        <v>85</v>
      </c>
      <c r="E4079">
        <v>2019</v>
      </c>
      <c r="F4079" s="9" t="s">
        <v>3593</v>
      </c>
      <c r="H4079" s="20" t="str">
        <f t="shared" si="63"/>
        <v>(nextval('obj_part_id_seq'), (select id from obj_building_v where zip||'|'||street||'|'||name||'|'||volume = '8335|Ghangetrietstrasse|Friedhofsgebäude|91.00'), 'P57', 8, 85, 2019,'Holzbänke'),</v>
      </c>
    </row>
    <row r="4080" spans="1:8" x14ac:dyDescent="0.25">
      <c r="A4080" s="9" t="s">
        <v>3586</v>
      </c>
      <c r="B4080" s="9" t="s">
        <v>1140</v>
      </c>
      <c r="C4080">
        <v>4</v>
      </c>
      <c r="D4080">
        <v>90</v>
      </c>
      <c r="E4080">
        <v>2019</v>
      </c>
      <c r="F4080" s="9" t="s">
        <v>3594</v>
      </c>
      <c r="H4080" s="20" t="str">
        <f t="shared" si="63"/>
        <v>(nextval('obj_part_id_seq'), (select id from obj_building_v where zip||'|'||street||'|'||name||'|'||volume = '8335|Ghangetrietstrasse|Friedhofsgebäude|91.00'), 'P58', 4, 90, 2019,'Wand: Kalksandstein\nBoden: Pflastersteine\nDecke: Holzdach'),</v>
      </c>
    </row>
    <row r="4081" spans="1:8" x14ac:dyDescent="0.25">
      <c r="A4081" s="9" t="s">
        <v>3586</v>
      </c>
      <c r="B4081" s="9" t="s">
        <v>1157</v>
      </c>
      <c r="C4081">
        <v>0</v>
      </c>
      <c r="D4081" t="s">
        <v>4080</v>
      </c>
      <c r="E4081">
        <v>2019</v>
      </c>
      <c r="F4081" s="9"/>
      <c r="H4081" s="20" t="str">
        <f t="shared" si="63"/>
        <v>(nextval('obj_part_id_seq'), (select id from obj_building_v where zip||'|'||street||'|'||name||'|'||volume = '8335|Ghangetrietstrasse|Friedhofsgebäude|91.00'), 'P59', 0, null, 2019,null),</v>
      </c>
    </row>
    <row r="4082" spans="1:8" x14ac:dyDescent="0.25">
      <c r="A4082" s="9" t="s">
        <v>3586</v>
      </c>
      <c r="B4082" s="9" t="s">
        <v>1142</v>
      </c>
      <c r="C4082">
        <v>0</v>
      </c>
      <c r="D4082" t="s">
        <v>4080</v>
      </c>
      <c r="E4082">
        <v>2019</v>
      </c>
      <c r="F4082" s="9"/>
      <c r="H4082" s="20" t="str">
        <f t="shared" si="63"/>
        <v>(nextval('obj_part_id_seq'), (select id from obj_building_v where zip||'|'||street||'|'||name||'|'||volume = '8335|Ghangetrietstrasse|Friedhofsgebäude|91.00'), 'P60', 0, null, 2019,null),</v>
      </c>
    </row>
    <row r="4083" spans="1:8" x14ac:dyDescent="0.25">
      <c r="A4083" s="9" t="s">
        <v>3586</v>
      </c>
      <c r="B4083" s="9" t="s">
        <v>1143</v>
      </c>
      <c r="C4083">
        <v>0</v>
      </c>
      <c r="D4083" t="s">
        <v>4080</v>
      </c>
      <c r="E4083">
        <v>2019</v>
      </c>
      <c r="F4083" s="9"/>
      <c r="H4083" s="20" t="str">
        <f t="shared" si="63"/>
        <v>(nextval('obj_part_id_seq'), (select id from obj_building_v where zip||'|'||street||'|'||name||'|'||volume = '8335|Ghangetrietstrasse|Friedhofsgebäude|91.00'), 'P61', 0, null, 2019,null),</v>
      </c>
    </row>
    <row r="4084" spans="1:8" x14ac:dyDescent="0.25">
      <c r="A4084" s="9" t="s">
        <v>3586</v>
      </c>
      <c r="B4084" s="9" t="s">
        <v>1144</v>
      </c>
      <c r="C4084">
        <v>0</v>
      </c>
      <c r="D4084" t="s">
        <v>4080</v>
      </c>
      <c r="E4084">
        <v>2019</v>
      </c>
      <c r="F4084" s="9"/>
      <c r="H4084" s="20" t="str">
        <f t="shared" si="63"/>
        <v>(nextval('obj_part_id_seq'), (select id from obj_building_v where zip||'|'||street||'|'||name||'|'||volume = '8335|Ghangetrietstrasse|Friedhofsgebäude|91.00'), 'P62', 0, null, 2019,null),</v>
      </c>
    </row>
    <row r="4085" spans="1:8" x14ac:dyDescent="0.25">
      <c r="A4085" s="9" t="s">
        <v>3595</v>
      </c>
      <c r="B4085" s="9" t="s">
        <v>1127</v>
      </c>
      <c r="C4085">
        <v>26</v>
      </c>
      <c r="D4085">
        <v>90</v>
      </c>
      <c r="E4085">
        <v>2019</v>
      </c>
      <c r="F4085" s="9" t="s">
        <v>3596</v>
      </c>
      <c r="H4085" s="20" t="str">
        <f t="shared" si="63"/>
        <v>(nextval('obj_part_id_seq'), (select id from obj_building_v where zip||'|'||street||'|'||name||'|'||volume = '8335|Ghangetrietstrasse|Friedhofsgebäude|705.00'), 'P48', 26, 90, 2019,'Stahlbeton, Naturstein- und Kalksandsteinmauerwerk'),</v>
      </c>
    </row>
    <row r="4086" spans="1:8" x14ac:dyDescent="0.25">
      <c r="A4086" s="9" t="s">
        <v>3595</v>
      </c>
      <c r="B4086" s="9" t="s">
        <v>1129</v>
      </c>
      <c r="C4086">
        <v>0</v>
      </c>
      <c r="D4086" t="s">
        <v>4080</v>
      </c>
      <c r="E4086">
        <v>2019</v>
      </c>
      <c r="F4086" s="9"/>
      <c r="H4086" s="20" t="str">
        <f t="shared" si="63"/>
        <v>(nextval('obj_part_id_seq'), (select id from obj_building_v where zip||'|'||street||'|'||name||'|'||volume = '8335|Ghangetrietstrasse|Friedhofsgebäude|705.00'), 'P49', 0, null, 2019,null),</v>
      </c>
    </row>
    <row r="4087" spans="1:8" x14ac:dyDescent="0.25">
      <c r="A4087" s="9" t="s">
        <v>3595</v>
      </c>
      <c r="B4087" s="9" t="s">
        <v>1097</v>
      </c>
      <c r="C4087">
        <v>15</v>
      </c>
      <c r="D4087">
        <v>85</v>
      </c>
      <c r="E4087">
        <v>2019</v>
      </c>
      <c r="F4087" s="9" t="s">
        <v>3597</v>
      </c>
      <c r="H4087" s="20" t="str">
        <f t="shared" si="63"/>
        <v>(nextval('obj_part_id_seq'), (select id from obj_building_v where zip||'|'||street||'|'||name||'|'||volume = '8335|Ghangetrietstrasse|Friedhofsgebäude|705.00'), 'P2', 15, 85, 2019,'Ziegeldach hinterlüftet, defekter Ziegel, keine Spuren von Wassereintritt'),</v>
      </c>
    </row>
    <row r="4088" spans="1:8" x14ac:dyDescent="0.25">
      <c r="A4088" s="9" t="s">
        <v>3595</v>
      </c>
      <c r="B4088" s="9" t="s">
        <v>1099</v>
      </c>
      <c r="C4088">
        <v>0</v>
      </c>
      <c r="D4088" t="s">
        <v>4080</v>
      </c>
      <c r="E4088">
        <v>2019</v>
      </c>
      <c r="F4088" s="9"/>
      <c r="H4088" s="20" t="str">
        <f t="shared" si="63"/>
        <v>(nextval('obj_part_id_seq'), (select id from obj_building_v where zip||'|'||street||'|'||name||'|'||volume = '8335|Ghangetrietstrasse|Friedhofsgebäude|705.00'), 'P3', 0, null, 2019,null),</v>
      </c>
    </row>
    <row r="4089" spans="1:8" x14ac:dyDescent="0.25">
      <c r="A4089" s="9" t="s">
        <v>3595</v>
      </c>
      <c r="B4089" s="9" t="s">
        <v>1100</v>
      </c>
      <c r="C4089">
        <v>15</v>
      </c>
      <c r="D4089">
        <v>90</v>
      </c>
      <c r="E4089">
        <v>2019</v>
      </c>
      <c r="F4089" s="9" t="s">
        <v>3598</v>
      </c>
      <c r="H4089" s="20" t="str">
        <f t="shared" si="63"/>
        <v>(nextval('obj_part_id_seq'), (select id from obj_building_v where zip||'|'||street||'|'||name||'|'||volume = '8335|Ghangetrietstrasse|Friedhofsgebäude|705.00'), 'P4', 15, 90, 2019,'Naturstein, Betonsockel, Mauerwerk verputzt, Holz'),</v>
      </c>
    </row>
    <row r="4090" spans="1:8" x14ac:dyDescent="0.25">
      <c r="A4090" s="9" t="s">
        <v>3595</v>
      </c>
      <c r="B4090" s="9" t="s">
        <v>1102</v>
      </c>
      <c r="C4090">
        <v>12</v>
      </c>
      <c r="D4090">
        <v>80</v>
      </c>
      <c r="E4090">
        <v>2019</v>
      </c>
      <c r="F4090" s="9" t="s">
        <v>3599</v>
      </c>
      <c r="H4090" s="20" t="str">
        <f t="shared" si="63"/>
        <v>(nextval('obj_part_id_seq'), (select id from obj_building_v where zip||'|'||street||'|'||name||'|'||volume = '8335|Ghangetrietstrasse|Friedhofsgebäude|705.00'), 'P5', 12, 80, 2019,'Holztüre, Garagentor aus Holz, Holzfenster, Metallfenster im UG'),</v>
      </c>
    </row>
    <row r="4091" spans="1:8" x14ac:dyDescent="0.25">
      <c r="A4091" s="9" t="s">
        <v>3595</v>
      </c>
      <c r="B4091" s="9" t="s">
        <v>1110</v>
      </c>
      <c r="C4091">
        <v>4</v>
      </c>
      <c r="D4091">
        <v>80</v>
      </c>
      <c r="E4091">
        <v>2019</v>
      </c>
      <c r="F4091" s="9" t="s">
        <v>3600</v>
      </c>
      <c r="H4091" s="20" t="str">
        <f t="shared" si="63"/>
        <v>(nextval('obj_part_id_seq'), (select id from obj_building_v where zip||'|'||street||'|'||name||'|'||volume = '8335|Ghangetrietstrasse|Friedhofsgebäude|705.00'), 'P9', 4, 80, 2019,'Beleuchtung, Aussenbeleuchtung,  Warmwasser-Boiler, Alte Keramiksicherungen, Kühlanlage'),</v>
      </c>
    </row>
    <row r="4092" spans="1:8" x14ac:dyDescent="0.25">
      <c r="A4092" s="9" t="s">
        <v>3595</v>
      </c>
      <c r="B4092" s="9" t="s">
        <v>1104</v>
      </c>
      <c r="C4092">
        <v>1</v>
      </c>
      <c r="D4092">
        <v>80</v>
      </c>
      <c r="E4092">
        <v>2019</v>
      </c>
      <c r="F4092" s="9" t="s">
        <v>3601</v>
      </c>
      <c r="H4092" s="20" t="str">
        <f t="shared" si="63"/>
        <v>(nextval('obj_part_id_seq'), (select id from obj_building_v where zip||'|'||street||'|'||name||'|'||volume = '8335|Ghangetrietstrasse|Friedhofsgebäude|705.00'), 'P6', 1, 80, 2019,'Warmwasser-Boiler'),</v>
      </c>
    </row>
    <row r="4093" spans="1:8" x14ac:dyDescent="0.25">
      <c r="A4093" s="9" t="s">
        <v>3595</v>
      </c>
      <c r="B4093" s="9" t="s">
        <v>1106</v>
      </c>
      <c r="C4093">
        <v>4</v>
      </c>
      <c r="D4093">
        <v>90</v>
      </c>
      <c r="E4093">
        <v>2019</v>
      </c>
      <c r="F4093" s="9" t="s">
        <v>2227</v>
      </c>
      <c r="H4093" s="20" t="str">
        <f t="shared" si="63"/>
        <v>(nextval('obj_part_id_seq'), (select id from obj_building_v where zip||'|'||street||'|'||name||'|'||volume = '8335|Ghangetrietstrasse|Friedhofsgebäude|705.00'), 'P7', 4, 90, 2019,'Elektroheizung'),</v>
      </c>
    </row>
    <row r="4094" spans="1:8" x14ac:dyDescent="0.25">
      <c r="A4094" s="9" t="s">
        <v>3595</v>
      </c>
      <c r="B4094" s="9" t="s">
        <v>1403</v>
      </c>
      <c r="C4094">
        <v>3</v>
      </c>
      <c r="D4094">
        <v>90</v>
      </c>
      <c r="E4094">
        <v>2019</v>
      </c>
      <c r="F4094" s="9" t="s">
        <v>3602</v>
      </c>
      <c r="H4094" s="20" t="str">
        <f t="shared" si="63"/>
        <v>(nextval('obj_part_id_seq'), (select id from obj_building_v where zip||'|'||street||'|'||name||'|'||volume = '8335|Ghangetrietstrasse|Friedhofsgebäude|705.00'), 'P52', 3, 90, 2019,'Kompressor (Kühlanlage) ca. vor 3 Jahren erneuert'),</v>
      </c>
    </row>
    <row r="4095" spans="1:8" x14ac:dyDescent="0.25">
      <c r="A4095" s="9" t="s">
        <v>3595</v>
      </c>
      <c r="B4095" s="9" t="s">
        <v>1404</v>
      </c>
      <c r="C4095">
        <v>0</v>
      </c>
      <c r="D4095" t="s">
        <v>4080</v>
      </c>
      <c r="E4095">
        <v>2019</v>
      </c>
      <c r="F4095" s="9"/>
      <c r="H4095" s="20" t="str">
        <f t="shared" si="63"/>
        <v>(nextval('obj_part_id_seq'), (select id from obj_building_v where zip||'|'||street||'|'||name||'|'||volume = '8335|Ghangetrietstrasse|Friedhofsgebäude|705.00'), 'P53', 0, null, 2019,null),</v>
      </c>
    </row>
    <row r="4096" spans="1:8" x14ac:dyDescent="0.25">
      <c r="A4096" s="9" t="s">
        <v>3595</v>
      </c>
      <c r="B4096" s="9" t="s">
        <v>1108</v>
      </c>
      <c r="C4096">
        <v>5</v>
      </c>
      <c r="D4096">
        <v>80</v>
      </c>
      <c r="E4096">
        <v>2019</v>
      </c>
      <c r="F4096" s="9" t="s">
        <v>3603</v>
      </c>
      <c r="H4096" s="20" t="str">
        <f t="shared" si="63"/>
        <v>(nextval('obj_part_id_seq'), (select id from obj_building_v where zip||'|'||street||'|'||name||'|'||volume = '8335|Ghangetrietstrasse|Friedhofsgebäude|705.00'), 'P8', 5, 80, 2019,'Lavabo, WC, Tropfrinne rostig'),</v>
      </c>
    </row>
    <row r="4097" spans="1:8" x14ac:dyDescent="0.25">
      <c r="A4097" s="9" t="s">
        <v>3595</v>
      </c>
      <c r="B4097" s="9" t="s">
        <v>1138</v>
      </c>
      <c r="C4097">
        <v>11</v>
      </c>
      <c r="D4097">
        <v>85</v>
      </c>
      <c r="E4097">
        <v>2019</v>
      </c>
      <c r="F4097" s="9" t="s">
        <v>3604</v>
      </c>
      <c r="H4097" s="20" t="str">
        <f t="shared" si="63"/>
        <v>(nextval('obj_part_id_seq'), (select id from obj_building_v where zip||'|'||street||'|'||name||'|'||volume = '8335|Ghangetrietstrasse|Friedhofsgebäude|705.00'), 'P57', 11, 85, 2019,'Holz Innenwände, Innere Verglasungen, Holzgeländer, Glasabdeckung über dem Sarkophag nicht funktionstüchtig'),</v>
      </c>
    </row>
    <row r="4098" spans="1:8" x14ac:dyDescent="0.25">
      <c r="A4098" s="9" t="s">
        <v>3595</v>
      </c>
      <c r="B4098" s="9" t="s">
        <v>1140</v>
      </c>
      <c r="C4098">
        <v>4</v>
      </c>
      <c r="D4098">
        <v>85</v>
      </c>
      <c r="E4098">
        <v>2019</v>
      </c>
      <c r="F4098" s="9" t="s">
        <v>3605</v>
      </c>
      <c r="H4098" s="20" t="str">
        <f t="shared" si="63"/>
        <v>(nextval('obj_part_id_seq'), (select id from obj_building_v where zip||'|'||street||'|'||name||'|'||volume = '8335|Ghangetrietstrasse|Friedhofsgebäude|705.00'), 'P58', 4, 85, 2019,'Boden: Hartbeton\nWand: verputzt, Holzverkleidung, in der Garage : Kalksandstein\nDecke: Holz'),</v>
      </c>
    </row>
    <row r="4099" spans="1:8" x14ac:dyDescent="0.25">
      <c r="A4099" s="9" t="s">
        <v>3595</v>
      </c>
      <c r="B4099" s="9" t="s">
        <v>1157</v>
      </c>
      <c r="C4099">
        <v>0</v>
      </c>
      <c r="D4099" t="s">
        <v>4080</v>
      </c>
      <c r="E4099">
        <v>2019</v>
      </c>
      <c r="F4099" s="9"/>
      <c r="H4099" s="20" t="str">
        <f t="shared" si="63"/>
        <v>(nextval('obj_part_id_seq'), (select id from obj_building_v where zip||'|'||street||'|'||name||'|'||volume = '8335|Ghangetrietstrasse|Friedhofsgebäude|705.00'), 'P59', 0, null, 2019,null),</v>
      </c>
    </row>
    <row r="4100" spans="1:8" x14ac:dyDescent="0.25">
      <c r="A4100" s="9" t="s">
        <v>3595</v>
      </c>
      <c r="B4100" s="9" t="s">
        <v>1142</v>
      </c>
      <c r="C4100">
        <v>0</v>
      </c>
      <c r="D4100" t="s">
        <v>4080</v>
      </c>
      <c r="E4100">
        <v>2019</v>
      </c>
      <c r="F4100" s="9"/>
      <c r="H4100" s="20" t="str">
        <f t="shared" si="63"/>
        <v>(nextval('obj_part_id_seq'), (select id from obj_building_v where zip||'|'||street||'|'||name||'|'||volume = '8335|Ghangetrietstrasse|Friedhofsgebäude|705.00'), 'P60', 0, null, 2019,null),</v>
      </c>
    </row>
    <row r="4101" spans="1:8" x14ac:dyDescent="0.25">
      <c r="A4101" s="9" t="s">
        <v>3595</v>
      </c>
      <c r="B4101" s="9" t="s">
        <v>1143</v>
      </c>
      <c r="C4101">
        <v>0</v>
      </c>
      <c r="D4101" t="s">
        <v>4080</v>
      </c>
      <c r="E4101">
        <v>2019</v>
      </c>
      <c r="F4101" s="9"/>
      <c r="H4101" s="20" t="str">
        <f t="shared" ref="H4101:H4164" si="64">"(nextval('obj_part_id_seq'), (select id from obj_building_v where zip||'|'||street||'|'||name||'|'||volume = '"&amp;A4101&amp;"'), '"&amp;B4101&amp;"', "&amp;C4101&amp;", "&amp;D4101&amp;", "&amp;IF(ISBLANK(E4101),"null",E4101)&amp;","&amp;IF(ISBLANK(F4101),"null","'"&amp;F4101&amp;"'")&amp;"),"</f>
        <v>(nextval('obj_part_id_seq'), (select id from obj_building_v where zip||'|'||street||'|'||name||'|'||volume = '8335|Ghangetrietstrasse|Friedhofsgebäude|705.00'), 'P61', 0, null, 2019,null),</v>
      </c>
    </row>
    <row r="4102" spans="1:8" x14ac:dyDescent="0.25">
      <c r="A4102" s="9" t="s">
        <v>3595</v>
      </c>
      <c r="B4102" s="9" t="s">
        <v>1144</v>
      </c>
      <c r="C4102">
        <v>0</v>
      </c>
      <c r="D4102" t="s">
        <v>4080</v>
      </c>
      <c r="E4102">
        <v>2019</v>
      </c>
      <c r="F4102" s="9"/>
      <c r="H4102" s="20" t="str">
        <f t="shared" si="64"/>
        <v>(nextval('obj_part_id_seq'), (select id from obj_building_v where zip||'|'||street||'|'||name||'|'||volume = '8335|Ghangetrietstrasse|Friedhofsgebäude|705.00'), 'P62', 0, null, 2019,null),</v>
      </c>
    </row>
    <row r="4103" spans="1:8" x14ac:dyDescent="0.25">
      <c r="A4103" s="9" t="s">
        <v>3606</v>
      </c>
      <c r="B4103" s="9" t="s">
        <v>1127</v>
      </c>
      <c r="C4103">
        <v>48</v>
      </c>
      <c r="D4103">
        <v>90</v>
      </c>
      <c r="E4103">
        <v>2019</v>
      </c>
      <c r="F4103" s="9"/>
      <c r="H4103" s="20" t="str">
        <f t="shared" si="64"/>
        <v>(nextval('obj_part_id_seq'), (select id from obj_building_v where zip||'|'||street||'|'||name||'|'||volume = '8335|Dürstellenstrasse 8 bei 8|Zivilschutzanlage|907.00'), 'P48', 48, 90, 2019,null),</v>
      </c>
    </row>
    <row r="4104" spans="1:8" x14ac:dyDescent="0.25">
      <c r="A4104" s="9" t="s">
        <v>3606</v>
      </c>
      <c r="B4104" s="9" t="s">
        <v>1099</v>
      </c>
      <c r="C4104">
        <v>20</v>
      </c>
      <c r="D4104">
        <v>90</v>
      </c>
      <c r="E4104">
        <v>2019</v>
      </c>
      <c r="F4104" s="9" t="s">
        <v>3569</v>
      </c>
      <c r="H4104" s="20" t="str">
        <f t="shared" si="64"/>
        <v>(nextval('obj_part_id_seq'), (select id from obj_building_v where zip||'|'||street||'|'||name||'|'||volume = '8335|Dürstellenstrasse 8 bei 8|Zivilschutzanlage|907.00'), 'P3', 20, 90, 2019,'überdeckt'),</v>
      </c>
    </row>
    <row r="4105" spans="1:8" x14ac:dyDescent="0.25">
      <c r="A4105" s="9" t="s">
        <v>3606</v>
      </c>
      <c r="B4105" s="9" t="s">
        <v>1102</v>
      </c>
      <c r="C4105">
        <v>2</v>
      </c>
      <c r="D4105">
        <v>80</v>
      </c>
      <c r="E4105">
        <v>2019</v>
      </c>
      <c r="F4105" s="9" t="s">
        <v>3607</v>
      </c>
      <c r="H4105" s="20" t="str">
        <f t="shared" si="64"/>
        <v>(nextval('obj_part_id_seq'), (select id from obj_building_v where zip||'|'||street||'|'||name||'|'||volume = '8335|Dürstellenstrasse 8 bei 8|Zivilschutzanlage|907.00'), 'P5', 2, 80, 2019,'Panzertüre, Panzertüren bei Flcuhtschächten'),</v>
      </c>
    </row>
    <row r="4106" spans="1:8" x14ac:dyDescent="0.25">
      <c r="A4106" s="9" t="s">
        <v>3606</v>
      </c>
      <c r="B4106" s="9" t="s">
        <v>1110</v>
      </c>
      <c r="C4106">
        <v>6</v>
      </c>
      <c r="D4106">
        <v>80</v>
      </c>
      <c r="E4106">
        <v>2019</v>
      </c>
      <c r="F4106" s="9" t="s">
        <v>3608</v>
      </c>
      <c r="H4106" s="20" t="str">
        <f t="shared" si="64"/>
        <v>(nextval('obj_part_id_seq'), (select id from obj_building_v where zip||'|'||street||'|'||name||'|'||volume = '8335|Dürstellenstrasse 8 bei 8|Zivilschutzanlage|907.00'), 'P9', 6, 80, 2019,'Beleuchtung, alte Keramiksicherungen'),</v>
      </c>
    </row>
    <row r="4107" spans="1:8" x14ac:dyDescent="0.25">
      <c r="A4107" s="9" t="s">
        <v>3606</v>
      </c>
      <c r="B4107" s="9" t="s">
        <v>1104</v>
      </c>
      <c r="C4107">
        <v>0</v>
      </c>
      <c r="D4107" t="s">
        <v>4080</v>
      </c>
      <c r="E4107">
        <v>2019</v>
      </c>
      <c r="F4107" s="9" t="s">
        <v>3609</v>
      </c>
      <c r="H4107" s="20" t="str">
        <f t="shared" si="64"/>
        <v>(nextval('obj_part_id_seq'), (select id from obj_building_v where zip||'|'||street||'|'||name||'|'||volume = '8335|Dürstellenstrasse 8 bei 8|Zivilschutzanlage|907.00'), 'P6', 0, null, 2019,'Öltank, Generator, Boiler'),</v>
      </c>
    </row>
    <row r="4108" spans="1:8" x14ac:dyDescent="0.25">
      <c r="A4108" s="9" t="s">
        <v>3606</v>
      </c>
      <c r="B4108" s="9" t="s">
        <v>1106</v>
      </c>
      <c r="C4108">
        <v>0</v>
      </c>
      <c r="D4108" t="s">
        <v>4080</v>
      </c>
      <c r="E4108">
        <v>2019</v>
      </c>
      <c r="F4108" s="9"/>
      <c r="H4108" s="20" t="str">
        <f t="shared" si="64"/>
        <v>(nextval('obj_part_id_seq'), (select id from obj_building_v where zip||'|'||street||'|'||name||'|'||volume = '8335|Dürstellenstrasse 8 bei 8|Zivilschutzanlage|907.00'), 'P7', 0, null, 2019,null),</v>
      </c>
    </row>
    <row r="4109" spans="1:8" x14ac:dyDescent="0.25">
      <c r="A4109" s="9" t="s">
        <v>3606</v>
      </c>
      <c r="B4109" s="9" t="s">
        <v>1403</v>
      </c>
      <c r="C4109">
        <v>2</v>
      </c>
      <c r="D4109">
        <v>85</v>
      </c>
      <c r="E4109">
        <v>2019</v>
      </c>
      <c r="F4109" s="9" t="s">
        <v>3571</v>
      </c>
      <c r="H4109" s="20" t="str">
        <f t="shared" si="64"/>
        <v>(nextval('obj_part_id_seq'), (select id from obj_building_v where zip||'|'||street||'|'||name||'|'||volume = '8335|Dürstellenstrasse 8 bei 8|Zivilschutzanlage|907.00'), 'P52', 2, 85, 2019,'Luftfilteranlage'),</v>
      </c>
    </row>
    <row r="4110" spans="1:8" x14ac:dyDescent="0.25">
      <c r="A4110" s="9" t="s">
        <v>3606</v>
      </c>
      <c r="B4110" s="9" t="s">
        <v>1404</v>
      </c>
      <c r="C4110">
        <v>2</v>
      </c>
      <c r="D4110">
        <v>85</v>
      </c>
      <c r="E4110">
        <v>2019</v>
      </c>
      <c r="F4110" s="9" t="s">
        <v>1218</v>
      </c>
      <c r="H4110" s="20" t="str">
        <f t="shared" si="64"/>
        <v>(nextval('obj_part_id_seq'), (select id from obj_building_v where zip||'|'||street||'|'||name||'|'||volume = '8335|Dürstellenstrasse 8 bei 8|Zivilschutzanlage|907.00'), 'P53', 2, 85, 2019,'Keine Mängel bekannt'),</v>
      </c>
    </row>
    <row r="4111" spans="1:8" x14ac:dyDescent="0.25">
      <c r="A4111" s="9" t="s">
        <v>3606</v>
      </c>
      <c r="B4111" s="9" t="s">
        <v>1135</v>
      </c>
      <c r="C4111">
        <v>3</v>
      </c>
      <c r="D4111">
        <v>80</v>
      </c>
      <c r="E4111">
        <v>2019</v>
      </c>
      <c r="F4111" s="9" t="s">
        <v>3610</v>
      </c>
      <c r="H4111" s="20" t="str">
        <f t="shared" si="64"/>
        <v>(nextval('obj_part_id_seq'), (select id from obj_building_v where zip||'|'||street||'|'||name||'|'||volume = '8335|Dürstellenstrasse 8 bei 8|Zivilschutzanlage|907.00'), 'P54', 3, 80, 2019,'Dusche, WC, Wassertank'),</v>
      </c>
    </row>
    <row r="4112" spans="1:8" x14ac:dyDescent="0.25">
      <c r="A4112" s="9" t="s">
        <v>3606</v>
      </c>
      <c r="B4112" s="9" t="s">
        <v>1137</v>
      </c>
      <c r="C4112">
        <v>3</v>
      </c>
      <c r="D4112">
        <v>90</v>
      </c>
      <c r="E4112">
        <v>2019</v>
      </c>
      <c r="F4112" s="9" t="s">
        <v>3611</v>
      </c>
      <c r="H4112" s="20" t="str">
        <f t="shared" si="64"/>
        <v>(nextval('obj_part_id_seq'), (select id from obj_building_v where zip||'|'||street||'|'||name||'|'||volume = '8335|Dürstellenstrasse 8 bei 8|Zivilschutzanlage|907.00'), 'P55', 3, 90, 2019,'Leitungen sind abgestellt'),</v>
      </c>
    </row>
    <row r="4113" spans="1:8" x14ac:dyDescent="0.25">
      <c r="A4113" s="9" t="s">
        <v>3606</v>
      </c>
      <c r="B4113" s="9" t="s">
        <v>1112</v>
      </c>
      <c r="C4113">
        <v>0</v>
      </c>
      <c r="D4113" t="s">
        <v>4080</v>
      </c>
      <c r="E4113">
        <v>2019</v>
      </c>
      <c r="F4113" s="9"/>
      <c r="H4113" s="20" t="str">
        <f t="shared" si="64"/>
        <v>(nextval('obj_part_id_seq'), (select id from obj_building_v where zip||'|'||street||'|'||name||'|'||volume = '8335|Dürstellenstrasse 8 bei 8|Zivilschutzanlage|907.00'), 'P10', 0, null, 2019,null),</v>
      </c>
    </row>
    <row r="4114" spans="1:8" x14ac:dyDescent="0.25">
      <c r="A4114" s="9" t="s">
        <v>3606</v>
      </c>
      <c r="B4114" s="9" t="s">
        <v>1138</v>
      </c>
      <c r="C4114">
        <v>2</v>
      </c>
      <c r="D4114">
        <v>90</v>
      </c>
      <c r="E4114">
        <v>2019</v>
      </c>
      <c r="F4114" s="9" t="s">
        <v>1218</v>
      </c>
      <c r="H4114" s="20" t="str">
        <f t="shared" si="64"/>
        <v>(nextval('obj_part_id_seq'), (select id from obj_building_v where zip||'|'||street||'|'||name||'|'||volume = '8335|Dürstellenstrasse 8 bei 8|Zivilschutzanlage|907.00'), 'P57', 2, 90, 2019,'Keine Mängel bekannt'),</v>
      </c>
    </row>
    <row r="4115" spans="1:8" x14ac:dyDescent="0.25">
      <c r="A4115" s="9" t="s">
        <v>3606</v>
      </c>
      <c r="B4115" s="9" t="s">
        <v>1140</v>
      </c>
      <c r="C4115">
        <v>10</v>
      </c>
      <c r="D4115">
        <v>85</v>
      </c>
      <c r="E4115">
        <v>2019</v>
      </c>
      <c r="F4115" s="9" t="s">
        <v>3612</v>
      </c>
      <c r="H4115" s="20" t="str">
        <f t="shared" si="64"/>
        <v>(nextval('obj_part_id_seq'), (select id from obj_building_v where zip||'|'||street||'|'||name||'|'||volume = '8335|Dürstellenstrasse 8 bei 8|Zivilschutzanlage|907.00'), 'P58', 10, 85, 2019,'Boden: Teppich, Eingangsbereich : Hartbeton\nWand und Decke : gestrichen'),</v>
      </c>
    </row>
    <row r="4116" spans="1:8" x14ac:dyDescent="0.25">
      <c r="A4116" s="9" t="s">
        <v>3606</v>
      </c>
      <c r="B4116" s="9" t="s">
        <v>1157</v>
      </c>
      <c r="C4116">
        <v>2</v>
      </c>
      <c r="D4116">
        <v>80</v>
      </c>
      <c r="E4116">
        <v>2019</v>
      </c>
      <c r="F4116" s="9" t="s">
        <v>3613</v>
      </c>
      <c r="H4116" s="20" t="str">
        <f t="shared" si="64"/>
        <v>(nextval('obj_part_id_seq'), (select id from obj_building_v where zip||'|'||street||'|'||name||'|'||volume = '8335|Dürstellenstrasse 8 bei 8|Zivilschutzanlage|907.00'), 'P59', 2, 80, 2019,'Kleine Küche mit Lavabo und Herd, Glaskeramikherd'),</v>
      </c>
    </row>
    <row r="4117" spans="1:8" x14ac:dyDescent="0.25">
      <c r="A4117" s="9" t="s">
        <v>3606</v>
      </c>
      <c r="B4117" s="9" t="s">
        <v>1142</v>
      </c>
      <c r="C4117">
        <v>0</v>
      </c>
      <c r="D4117" t="s">
        <v>4080</v>
      </c>
      <c r="E4117">
        <v>2019</v>
      </c>
      <c r="F4117" s="9"/>
      <c r="H4117" s="20" t="str">
        <f t="shared" si="64"/>
        <v>(nextval('obj_part_id_seq'), (select id from obj_building_v where zip||'|'||street||'|'||name||'|'||volume = '8335|Dürstellenstrasse 8 bei 8|Zivilschutzanlage|907.00'), 'P60', 0, null, 2019,null),</v>
      </c>
    </row>
    <row r="4118" spans="1:8" x14ac:dyDescent="0.25">
      <c r="A4118" s="9" t="s">
        <v>3606</v>
      </c>
      <c r="B4118" s="9" t="s">
        <v>1143</v>
      </c>
      <c r="C4118">
        <v>0</v>
      </c>
      <c r="D4118" t="s">
        <v>4080</v>
      </c>
      <c r="E4118">
        <v>2019</v>
      </c>
      <c r="F4118" s="9"/>
      <c r="H4118" s="20" t="str">
        <f t="shared" si="64"/>
        <v>(nextval('obj_part_id_seq'), (select id from obj_building_v where zip||'|'||street||'|'||name||'|'||volume = '8335|Dürstellenstrasse 8 bei 8|Zivilschutzanlage|907.00'), 'P61', 0, null, 2019,null),</v>
      </c>
    </row>
    <row r="4119" spans="1:8" x14ac:dyDescent="0.25">
      <c r="A4119" s="9" t="s">
        <v>3606</v>
      </c>
      <c r="B4119" s="9" t="s">
        <v>1144</v>
      </c>
      <c r="C4119">
        <v>0</v>
      </c>
      <c r="D4119" t="s">
        <v>4080</v>
      </c>
      <c r="E4119">
        <v>2019</v>
      </c>
      <c r="F4119" s="9"/>
      <c r="H4119" s="20" t="str">
        <f t="shared" si="64"/>
        <v>(nextval('obj_part_id_seq'), (select id from obj_building_v where zip||'|'||street||'|'||name||'|'||volume = '8335|Dürstellenstrasse 8 bei 8|Zivilschutzanlage|907.00'), 'P62', 0, null, 2019,null),</v>
      </c>
    </row>
    <row r="4120" spans="1:8" x14ac:dyDescent="0.25">
      <c r="A4120" s="9" t="s">
        <v>3614</v>
      </c>
      <c r="B4120" s="9" t="s">
        <v>1127</v>
      </c>
      <c r="C4120">
        <v>48</v>
      </c>
      <c r="D4120">
        <v>90</v>
      </c>
      <c r="E4120">
        <v>2019</v>
      </c>
      <c r="F4120" s="9"/>
      <c r="H4120" s="20" t="str">
        <f t="shared" si="64"/>
        <v>(nextval('obj_part_id_seq'), (select id from obj_building_v where zip||'|'||street||'|'||name||'|'||volume = '8335|Hermetsbüel|Zivilschutzanlage|1799.00'), 'P48', 48, 90, 2019,null),</v>
      </c>
    </row>
    <row r="4121" spans="1:8" x14ac:dyDescent="0.25">
      <c r="A4121" s="9" t="s">
        <v>3614</v>
      </c>
      <c r="B4121" s="9" t="s">
        <v>1099</v>
      </c>
      <c r="C4121">
        <v>20</v>
      </c>
      <c r="D4121">
        <v>90</v>
      </c>
      <c r="E4121">
        <v>2019</v>
      </c>
      <c r="F4121" s="9" t="s">
        <v>3615</v>
      </c>
      <c r="H4121" s="20" t="str">
        <f t="shared" si="64"/>
        <v>(nextval('obj_part_id_seq'), (select id from obj_building_v where zip||'|'||street||'|'||name||'|'||volume = '8335|Hermetsbüel|Zivilschutzanlage|1799.00'), 'P3', 20, 90, 2019,'Unter Terrain'),</v>
      </c>
    </row>
    <row r="4122" spans="1:8" x14ac:dyDescent="0.25">
      <c r="A4122" s="9" t="s">
        <v>3614</v>
      </c>
      <c r="B4122" s="9" t="s">
        <v>1102</v>
      </c>
      <c r="C4122">
        <v>2</v>
      </c>
      <c r="D4122">
        <v>90</v>
      </c>
      <c r="E4122">
        <v>2019</v>
      </c>
      <c r="F4122" s="9" t="s">
        <v>3616</v>
      </c>
      <c r="H4122" s="20" t="str">
        <f t="shared" si="64"/>
        <v>(nextval('obj_part_id_seq'), (select id from obj_building_v where zip||'|'||street||'|'||name||'|'||volume = '8335|Hermetsbüel|Zivilschutzanlage|1799.00'), 'P5', 2, 90, 2019,'Panzertüren, Gittertore mit Maschendrahtfüllungen'),</v>
      </c>
    </row>
    <row r="4123" spans="1:8" x14ac:dyDescent="0.25">
      <c r="A4123" s="9" t="s">
        <v>3614</v>
      </c>
      <c r="B4123" s="9" t="s">
        <v>1110</v>
      </c>
      <c r="C4123">
        <v>6</v>
      </c>
      <c r="D4123">
        <v>85</v>
      </c>
      <c r="E4123">
        <v>2019</v>
      </c>
      <c r="F4123" s="9" t="s">
        <v>3617</v>
      </c>
      <c r="H4123" s="20" t="str">
        <f t="shared" si="64"/>
        <v>(nextval('obj_part_id_seq'), (select id from obj_building_v where zip||'|'||street||'|'||name||'|'||volume = '8335|Hermetsbüel|Zivilschutzanlage|1799.00'), 'P9', 6, 85, 2019,'Dieselgenerator, alte Keramiksicherungen, Beleuchtung, Telefonanlage'),</v>
      </c>
    </row>
    <row r="4124" spans="1:8" x14ac:dyDescent="0.25">
      <c r="A4124" s="9" t="s">
        <v>3614</v>
      </c>
      <c r="B4124" s="9" t="s">
        <v>1104</v>
      </c>
      <c r="C4124">
        <v>0</v>
      </c>
      <c r="D4124" t="s">
        <v>4080</v>
      </c>
      <c r="E4124">
        <v>2019</v>
      </c>
      <c r="F4124" s="9"/>
      <c r="H4124" s="20" t="str">
        <f t="shared" si="64"/>
        <v>(nextval('obj_part_id_seq'), (select id from obj_building_v where zip||'|'||street||'|'||name||'|'||volume = '8335|Hermetsbüel|Zivilschutzanlage|1799.00'), 'P6', 0, null, 2019,null),</v>
      </c>
    </row>
    <row r="4125" spans="1:8" x14ac:dyDescent="0.25">
      <c r="A4125" s="9" t="s">
        <v>3614</v>
      </c>
      <c r="B4125" s="9" t="s">
        <v>1106</v>
      </c>
      <c r="C4125">
        <v>0</v>
      </c>
      <c r="D4125" t="s">
        <v>4080</v>
      </c>
      <c r="E4125">
        <v>2019</v>
      </c>
      <c r="F4125" s="9"/>
      <c r="H4125" s="20" t="str">
        <f t="shared" si="64"/>
        <v>(nextval('obj_part_id_seq'), (select id from obj_building_v where zip||'|'||street||'|'||name||'|'||volume = '8335|Hermetsbüel|Zivilschutzanlage|1799.00'), 'P7', 0, null, 2019,null),</v>
      </c>
    </row>
    <row r="4126" spans="1:8" x14ac:dyDescent="0.25">
      <c r="A4126" s="9" t="s">
        <v>3614</v>
      </c>
      <c r="B4126" s="9" t="s">
        <v>1403</v>
      </c>
      <c r="C4126">
        <v>2</v>
      </c>
      <c r="D4126">
        <v>85</v>
      </c>
      <c r="E4126">
        <v>2019</v>
      </c>
      <c r="F4126" s="9" t="s">
        <v>3618</v>
      </c>
      <c r="H4126" s="20" t="str">
        <f t="shared" si="64"/>
        <v>(nextval('obj_part_id_seq'), (select id from obj_building_v where zip||'|'||street||'|'||name||'|'||volume = '8335|Hermetsbüel|Zivilschutzanlage|1799.00'), 'P52', 2, 85, 2019,'Luftfilteranlagen'),</v>
      </c>
    </row>
    <row r="4127" spans="1:8" x14ac:dyDescent="0.25">
      <c r="A4127" s="9" t="s">
        <v>3614</v>
      </c>
      <c r="B4127" s="9" t="s">
        <v>1404</v>
      </c>
      <c r="C4127">
        <v>2</v>
      </c>
      <c r="D4127">
        <v>90</v>
      </c>
      <c r="E4127">
        <v>2019</v>
      </c>
      <c r="F4127" s="9" t="s">
        <v>3619</v>
      </c>
      <c r="H4127" s="20" t="str">
        <f t="shared" si="64"/>
        <v>(nextval('obj_part_id_seq'), (select id from obj_building_v where zip||'|'||street||'|'||name||'|'||volume = '8335|Hermetsbüel|Zivilschutzanlage|1799.00'), 'P53', 2, 90, 2019,'Lüftungsrohre; keine Mängel bekannt'),</v>
      </c>
    </row>
    <row r="4128" spans="1:8" x14ac:dyDescent="0.25">
      <c r="A4128" s="9" t="s">
        <v>3614</v>
      </c>
      <c r="B4128" s="9" t="s">
        <v>1135</v>
      </c>
      <c r="C4128">
        <v>3</v>
      </c>
      <c r="D4128">
        <v>85</v>
      </c>
      <c r="E4128">
        <v>2019</v>
      </c>
      <c r="F4128" s="9" t="s">
        <v>3620</v>
      </c>
      <c r="H4128" s="20" t="str">
        <f t="shared" si="64"/>
        <v>(nextval('obj_part_id_seq'), (select id from obj_building_v where zip||'|'||street||'|'||name||'|'||volume = '8335|Hermetsbüel|Zivilschutzanlage|1799.00'), 'P54', 3, 85, 2019,'Dusche, WC, Chromstahl-Lavabos, nur Kaltwasserarmaturen'),</v>
      </c>
    </row>
    <row r="4129" spans="1:8" x14ac:dyDescent="0.25">
      <c r="A4129" s="9" t="s">
        <v>3614</v>
      </c>
      <c r="B4129" s="9" t="s">
        <v>1137</v>
      </c>
      <c r="C4129">
        <v>3</v>
      </c>
      <c r="D4129">
        <v>85</v>
      </c>
      <c r="E4129">
        <v>2019</v>
      </c>
      <c r="F4129" s="9" t="s">
        <v>3621</v>
      </c>
      <c r="H4129" s="20" t="str">
        <f t="shared" si="64"/>
        <v>(nextval('obj_part_id_seq'), (select id from obj_building_v where zip||'|'||street||'|'||name||'|'||volume = '8335|Hermetsbüel|Zivilschutzanlage|1799.00'), 'P55', 3, 85, 2019,'Wasser kann ungehindert ablaufen, Abläufe intakt, Wassertank, Leitungen müssen gespült und kontrolliert werden.'),</v>
      </c>
    </row>
    <row r="4130" spans="1:8" x14ac:dyDescent="0.25">
      <c r="A4130" s="9" t="s">
        <v>3614</v>
      </c>
      <c r="B4130" s="9" t="s">
        <v>1112</v>
      </c>
      <c r="C4130">
        <v>0</v>
      </c>
      <c r="D4130" t="s">
        <v>4080</v>
      </c>
      <c r="E4130">
        <v>2019</v>
      </c>
      <c r="F4130" s="9"/>
      <c r="H4130" s="20" t="str">
        <f t="shared" si="64"/>
        <v>(nextval('obj_part_id_seq'), (select id from obj_building_v where zip||'|'||street||'|'||name||'|'||volume = '8335|Hermetsbüel|Zivilschutzanlage|1799.00'), 'P10', 0, null, 2019,null),</v>
      </c>
    </row>
    <row r="4131" spans="1:8" x14ac:dyDescent="0.25">
      <c r="A4131" s="9" t="s">
        <v>3614</v>
      </c>
      <c r="B4131" s="9" t="s">
        <v>1138</v>
      </c>
      <c r="C4131">
        <v>2</v>
      </c>
      <c r="D4131">
        <v>70</v>
      </c>
      <c r="E4131">
        <v>2019</v>
      </c>
      <c r="F4131" s="9" t="s">
        <v>3622</v>
      </c>
      <c r="H4131" s="20" t="str">
        <f t="shared" si="64"/>
        <v>(nextval('obj_part_id_seq'), (select id from obj_building_v where zip||'|'||street||'|'||name||'|'||volume = '8335|Hermetsbüel|Zivilschutzanlage|1799.00'), 'P57', 2, 70, 2019,'Trennwände und Innentüren; Deckblätter lösen sich ab'),</v>
      </c>
    </row>
    <row r="4132" spans="1:8" x14ac:dyDescent="0.25">
      <c r="A4132" s="9" t="s">
        <v>3614</v>
      </c>
      <c r="B4132" s="9" t="s">
        <v>1140</v>
      </c>
      <c r="C4132">
        <v>10</v>
      </c>
      <c r="D4132">
        <v>90</v>
      </c>
      <c r="E4132">
        <v>2019</v>
      </c>
      <c r="F4132" s="9" t="s">
        <v>3623</v>
      </c>
      <c r="H4132" s="20" t="str">
        <f t="shared" si="64"/>
        <v>(nextval('obj_part_id_seq'), (select id from obj_building_v where zip||'|'||street||'|'||name||'|'||volume = '8335|Hermetsbüel|Zivilschutzanlage|1799.00'), 'P58', 10, 90, 2019,'Boden: Teppich, Hartbeton im Eingangsbreich\nDecke: gestrichen\nWand: gestrichen, Kalksandstein,'),</v>
      </c>
    </row>
    <row r="4133" spans="1:8" x14ac:dyDescent="0.25">
      <c r="A4133" s="9" t="s">
        <v>3614</v>
      </c>
      <c r="B4133" s="9" t="s">
        <v>1157</v>
      </c>
      <c r="C4133">
        <v>2</v>
      </c>
      <c r="D4133">
        <v>85</v>
      </c>
      <c r="E4133">
        <v>2019</v>
      </c>
      <c r="F4133" s="9"/>
      <c r="H4133" s="20" t="str">
        <f t="shared" si="64"/>
        <v>(nextval('obj_part_id_seq'), (select id from obj_building_v where zip||'|'||street||'|'||name||'|'||volume = '8335|Hermetsbüel|Zivilschutzanlage|1799.00'), 'P59', 2, 85, 2019,null),</v>
      </c>
    </row>
    <row r="4134" spans="1:8" x14ac:dyDescent="0.25">
      <c r="A4134" s="9" t="s">
        <v>3614</v>
      </c>
      <c r="B4134" s="9" t="s">
        <v>1142</v>
      </c>
      <c r="C4134">
        <v>0</v>
      </c>
      <c r="D4134" t="s">
        <v>4080</v>
      </c>
      <c r="E4134">
        <v>2019</v>
      </c>
      <c r="F4134" s="9"/>
      <c r="H4134" s="20" t="str">
        <f t="shared" si="64"/>
        <v>(nextval('obj_part_id_seq'), (select id from obj_building_v where zip||'|'||street||'|'||name||'|'||volume = '8335|Hermetsbüel|Zivilschutzanlage|1799.00'), 'P60', 0, null, 2019,null),</v>
      </c>
    </row>
    <row r="4135" spans="1:8" x14ac:dyDescent="0.25">
      <c r="A4135" s="9" t="s">
        <v>3614</v>
      </c>
      <c r="B4135" s="9" t="s">
        <v>1143</v>
      </c>
      <c r="C4135">
        <v>0</v>
      </c>
      <c r="D4135" t="s">
        <v>4080</v>
      </c>
      <c r="E4135">
        <v>2019</v>
      </c>
      <c r="F4135" s="9"/>
      <c r="H4135" s="20" t="str">
        <f t="shared" si="64"/>
        <v>(nextval('obj_part_id_seq'), (select id from obj_building_v where zip||'|'||street||'|'||name||'|'||volume = '8335|Hermetsbüel|Zivilschutzanlage|1799.00'), 'P61', 0, null, 2019,null),</v>
      </c>
    </row>
    <row r="4136" spans="1:8" x14ac:dyDescent="0.25">
      <c r="A4136" s="9" t="s">
        <v>3614</v>
      </c>
      <c r="B4136" s="9" t="s">
        <v>1144</v>
      </c>
      <c r="C4136">
        <v>0</v>
      </c>
      <c r="D4136" t="s">
        <v>4080</v>
      </c>
      <c r="E4136">
        <v>2019</v>
      </c>
      <c r="F4136" s="9"/>
      <c r="H4136" s="20" t="str">
        <f t="shared" si="64"/>
        <v>(nextval('obj_part_id_seq'), (select id from obj_building_v where zip||'|'||street||'|'||name||'|'||volume = '8335|Hermetsbüel|Zivilschutzanlage|1799.00'), 'P62', 0, null, 2019,null),</v>
      </c>
    </row>
    <row r="4137" spans="1:8" x14ac:dyDescent="0.25">
      <c r="A4137" s="9" t="s">
        <v>3624</v>
      </c>
      <c r="B4137" s="9" t="s">
        <v>1127</v>
      </c>
      <c r="C4137">
        <v>35</v>
      </c>
      <c r="D4137">
        <v>85</v>
      </c>
      <c r="E4137">
        <v>2019</v>
      </c>
      <c r="F4137" s="9" t="s">
        <v>3625</v>
      </c>
      <c r="H4137" s="20" t="str">
        <f t="shared" si="64"/>
        <v>(nextval('obj_part_id_seq'), (select id from obj_building_v where zip||'|'||street||'|'||name||'|'||volume = '8335|Jakob Stuz-Strasse 54 bei 54|Altes Sekundarschulhaus inkl. Gerätehaus und Garagengebäude|1903.00'), 'P48', 35, 85, 2019,'Mauerwerk und Holzbalkendecken, Gerätehäuschen: Holzbau, Stahlbetonfertiggarage'),</v>
      </c>
    </row>
    <row r="4138" spans="1:8" x14ac:dyDescent="0.25">
      <c r="A4138" s="9" t="s">
        <v>3624</v>
      </c>
      <c r="B4138" s="9" t="s">
        <v>1129</v>
      </c>
      <c r="C4138">
        <v>0</v>
      </c>
      <c r="D4138" t="s">
        <v>4080</v>
      </c>
      <c r="E4138">
        <v>2019</v>
      </c>
      <c r="F4138" s="9"/>
      <c r="H4138" s="20" t="str">
        <f t="shared" si="64"/>
        <v>(nextval('obj_part_id_seq'), (select id from obj_building_v where zip||'|'||street||'|'||name||'|'||volume = '8335|Jakob Stuz-Strasse 54 bei 54|Altes Sekundarschulhaus inkl. Gerätehaus und Garagengebäude|1903.00'), 'P49', 0, null, 2019,null),</v>
      </c>
    </row>
    <row r="4139" spans="1:8" x14ac:dyDescent="0.25">
      <c r="A4139" s="9" t="s">
        <v>3624</v>
      </c>
      <c r="B4139" s="9" t="s">
        <v>1097</v>
      </c>
      <c r="C4139">
        <v>8</v>
      </c>
      <c r="D4139">
        <v>70</v>
      </c>
      <c r="E4139">
        <v>2019</v>
      </c>
      <c r="F4139" s="9" t="s">
        <v>3626</v>
      </c>
      <c r="H4139" s="20" t="str">
        <f t="shared" si="64"/>
        <v>(nextval('obj_part_id_seq'), (select id from obj_building_v where zip||'|'||street||'|'||name||'|'||volume = '8335|Jakob Stuz-Strasse 54 bei 54|Altes Sekundarschulhaus inkl. Gerätehaus und Garagengebäude|1903.00'), 'P2', 8, 70, 2019,'Ziegeldach, hinterlüftet, Balken weisen zu hohe Feuchtigkeit auf (nur im hinteren Bereich) ansonsten trocken, Dachuntersicht verwittert, Ziegel\n tw. defekt (gem. Herrn Hächler), Gerätehäuschen: Dacheindeckung vermoost, Unterdach aus Holzschindeln, Spuren'),</v>
      </c>
    </row>
    <row r="4140" spans="1:8" x14ac:dyDescent="0.25">
      <c r="A4140" s="9" t="s">
        <v>3624</v>
      </c>
      <c r="B4140" s="9" t="s">
        <v>1099</v>
      </c>
      <c r="C4140">
        <v>1</v>
      </c>
      <c r="D4140">
        <v>85</v>
      </c>
      <c r="E4140">
        <v>2019</v>
      </c>
      <c r="F4140" s="9" t="s">
        <v>3627</v>
      </c>
      <c r="H4140" s="20" t="str">
        <f t="shared" si="64"/>
        <v>(nextval('obj_part_id_seq'), (select id from obj_building_v where zip||'|'||street||'|'||name||'|'||volume = '8335|Jakob Stuz-Strasse 54 bei 54|Altes Sekundarschulhaus inkl. Gerätehaus und Garagengebäude|1903.00'), 'P3', 1, 85, 2019,'Nacktdach beim Garagengebäude'),</v>
      </c>
    </row>
    <row r="4141" spans="1:8" x14ac:dyDescent="0.25">
      <c r="A4141" s="9" t="s">
        <v>3624</v>
      </c>
      <c r="B4141" s="9" t="s">
        <v>1100</v>
      </c>
      <c r="C4141">
        <v>8</v>
      </c>
      <c r="D4141">
        <v>70</v>
      </c>
      <c r="E4141">
        <v>2019</v>
      </c>
      <c r="F4141" s="9" t="s">
        <v>3628</v>
      </c>
      <c r="H4141" s="20" t="str">
        <f t="shared" si="64"/>
        <v>(nextval('obj_part_id_seq'), (select id from obj_building_v where zip||'|'||street||'|'||name||'|'||volume = '8335|Jakob Stuz-Strasse 54 bei 54|Altes Sekundarschulhaus inkl. Gerätehaus und Garagengebäude|1903.00'), 'P4', 8, 70, 2019,'Mauerwerk, verputzt, Risse vorhanden (tw. &lt;2.0mm), Natursteingewände, Gerätehäuschen: Holzfassade, verwittert'),</v>
      </c>
    </row>
    <row r="4142" spans="1:8" x14ac:dyDescent="0.25">
      <c r="A4142" s="9" t="s">
        <v>3624</v>
      </c>
      <c r="B4142" s="9" t="s">
        <v>1102</v>
      </c>
      <c r="C4142">
        <v>11</v>
      </c>
      <c r="D4142">
        <v>70</v>
      </c>
      <c r="E4142">
        <v>2019</v>
      </c>
      <c r="F4142" s="9" t="s">
        <v>3629</v>
      </c>
      <c r="H4142" s="20" t="str">
        <f t="shared" si="64"/>
        <v>(nextval('obj_part_id_seq'), (select id from obj_building_v where zip||'|'||street||'|'||name||'|'||volume = '8335|Jakob Stuz-Strasse 54 bei 54|Altes Sekundarschulhaus inkl. Gerätehaus und Garagengebäude|1903.00'), 'P5', 11, 70, 2019,'Holzfenster mit Einscheibengläser (stark verwittert), tw.2-Scheibengläser gekittet mit Sprossen, Fenster im Estrich ohne Glas, Holztüren, Holzläden, 3-fach-Verglasung im OG, April 1986, manuelle und Elektro-Storen, Holztüre mit Glaseinsatz und geschmiedet'),</v>
      </c>
    </row>
    <row r="4143" spans="1:8" x14ac:dyDescent="0.25">
      <c r="A4143" s="9" t="s">
        <v>3624</v>
      </c>
      <c r="B4143" s="9" t="s">
        <v>1110</v>
      </c>
      <c r="C4143">
        <v>4</v>
      </c>
      <c r="D4143">
        <v>70</v>
      </c>
      <c r="E4143">
        <v>2019</v>
      </c>
      <c r="F4143" s="9" t="s">
        <v>3630</v>
      </c>
      <c r="H4143" s="20" t="str">
        <f t="shared" si="64"/>
        <v>(nextval('obj_part_id_seq'), (select id from obj_building_v where zip||'|'||street||'|'||name||'|'||volume = '8335|Jakob Stuz-Strasse 54 bei 54|Altes Sekundarschulhaus inkl. Gerätehaus und Garagengebäude|1903.00'), 'P9', 4, 70, 2019,'Keine FI-Schalter, Asbestverdacht bei Montageplatten, Bewegungssensor, Beleuchtung, alte Keramiksicherungen, Antennenanlage'),</v>
      </c>
    </row>
    <row r="4144" spans="1:8" x14ac:dyDescent="0.25">
      <c r="A4144" s="9" t="s">
        <v>3624</v>
      </c>
      <c r="B4144" s="9" t="s">
        <v>1104</v>
      </c>
      <c r="C4144">
        <v>2</v>
      </c>
      <c r="D4144">
        <v>90</v>
      </c>
      <c r="E4144">
        <v>2019</v>
      </c>
      <c r="F4144" s="9" t="s">
        <v>1235</v>
      </c>
      <c r="H4144" s="20" t="str">
        <f t="shared" si="64"/>
        <v>(nextval('obj_part_id_seq'), (select id from obj_building_v where zip||'|'||street||'|'||name||'|'||volume = '8335|Jakob Stuz-Strasse 54 bei 54|Altes Sekundarschulhaus inkl. Gerätehaus und Garagengebäude|1903.00'), 'P6', 2, 90, 2019,'Fernwärme'),</v>
      </c>
    </row>
    <row r="4145" spans="1:8" x14ac:dyDescent="0.25">
      <c r="A4145" s="9" t="s">
        <v>3624</v>
      </c>
      <c r="B4145" s="9" t="s">
        <v>1106</v>
      </c>
      <c r="C4145">
        <v>3</v>
      </c>
      <c r="D4145">
        <v>80</v>
      </c>
      <c r="E4145">
        <v>2019</v>
      </c>
      <c r="F4145" s="9" t="s">
        <v>3631</v>
      </c>
      <c r="H4145" s="20" t="str">
        <f t="shared" si="64"/>
        <v>(nextval('obj_part_id_seq'), (select id from obj_building_v where zip||'|'||street||'|'||name||'|'||volume = '8335|Jakob Stuz-Strasse 54 bei 54|Altes Sekundarschulhaus inkl. Gerätehaus und Garagengebäude|1903.00'), 'P7', 3, 80, 2019,'Heizung mit Thermostat, Leitungen im UG tw. nicht isoliert'),</v>
      </c>
    </row>
    <row r="4146" spans="1:8" x14ac:dyDescent="0.25">
      <c r="A4146" s="9" t="s">
        <v>3624</v>
      </c>
      <c r="B4146" s="9" t="s">
        <v>1135</v>
      </c>
      <c r="C4146">
        <v>3</v>
      </c>
      <c r="D4146">
        <v>80</v>
      </c>
      <c r="E4146">
        <v>2019</v>
      </c>
      <c r="F4146" s="9" t="s">
        <v>3632</v>
      </c>
      <c r="H4146" s="20" t="str">
        <f t="shared" si="64"/>
        <v>(nextval('obj_part_id_seq'), (select id from obj_building_v where zip||'|'||street||'|'||name||'|'||volume = '8335|Jakob Stuz-Strasse 54 bei 54|Altes Sekundarschulhaus inkl. Gerätehaus und Garagengebäude|1903.00'), 'P54', 3, 80, 2019,'Waschmaschine, WC, Lavabo, Badewanne alt, jedoch intakt'),</v>
      </c>
    </row>
    <row r="4147" spans="1:8" x14ac:dyDescent="0.25">
      <c r="A4147" s="9" t="s">
        <v>3624</v>
      </c>
      <c r="B4147" s="9" t="s">
        <v>1137</v>
      </c>
      <c r="C4147">
        <v>4</v>
      </c>
      <c r="D4147">
        <v>80</v>
      </c>
      <c r="E4147">
        <v>2019</v>
      </c>
      <c r="F4147" s="9" t="s">
        <v>3633</v>
      </c>
      <c r="H4147" s="20" t="str">
        <f t="shared" si="64"/>
        <v>(nextval('obj_part_id_seq'), (select id from obj_building_v where zip||'|'||street||'|'||name||'|'||volume = '8335|Jakob Stuz-Strasse 54 bei 54|Altes Sekundarschulhaus inkl. Gerätehaus und Garagengebäude|1903.00'), 'P55', 4, 80, 2019,'Keine Mischventile (ausser in der Wg. im OG), Druck ist genügend'),</v>
      </c>
    </row>
    <row r="4148" spans="1:8" x14ac:dyDescent="0.25">
      <c r="A4148" s="9" t="s">
        <v>3624</v>
      </c>
      <c r="B4148" s="9" t="s">
        <v>1155</v>
      </c>
      <c r="C4148">
        <v>0</v>
      </c>
      <c r="D4148" t="s">
        <v>4080</v>
      </c>
      <c r="E4148">
        <v>2019</v>
      </c>
      <c r="F4148" s="9"/>
      <c r="H4148" s="20" t="str">
        <f t="shared" si="64"/>
        <v>(nextval('obj_part_id_seq'), (select id from obj_building_v where zip||'|'||street||'|'||name||'|'||volume = '8335|Jakob Stuz-Strasse 54 bei 54|Altes Sekundarschulhaus inkl. Gerätehaus und Garagengebäude|1903.00'), 'P56', 0, null, 2019,null),</v>
      </c>
    </row>
    <row r="4149" spans="1:8" x14ac:dyDescent="0.25">
      <c r="A4149" s="9" t="s">
        <v>3624</v>
      </c>
      <c r="B4149" s="9" t="s">
        <v>1138</v>
      </c>
      <c r="C4149">
        <v>9</v>
      </c>
      <c r="D4149">
        <v>70</v>
      </c>
      <c r="E4149">
        <v>2019</v>
      </c>
      <c r="F4149" s="9" t="s">
        <v>3634</v>
      </c>
      <c r="H4149" s="20" t="str">
        <f t="shared" si="64"/>
        <v>(nextval('obj_part_id_seq'), (select id from obj_building_v where zip||'|'||street||'|'||name||'|'||volume = '8335|Jakob Stuz-Strasse 54 bei 54|Altes Sekundarschulhaus inkl. Gerätehaus und Garagengebäude|1903.00'), 'P57', 9, 70, 2019,'Einbauschränke im Musikzimmer, Holztreppen, Holzgeländer (h&lt;1.0m), eine Sprosse fehlt), Metallgeländer, Estrichabteile mit Holzprofil-Trennwänden, Fenstersimse aus holz'),</v>
      </c>
    </row>
    <row r="4150" spans="1:8" x14ac:dyDescent="0.25">
      <c r="A4150" s="9" t="s">
        <v>3624</v>
      </c>
      <c r="B4150" s="9" t="s">
        <v>1140</v>
      </c>
      <c r="C4150">
        <v>8</v>
      </c>
      <c r="D4150">
        <v>80</v>
      </c>
      <c r="E4150">
        <v>2019</v>
      </c>
      <c r="F4150" s="9" t="s">
        <v>3635</v>
      </c>
      <c r="H4150" s="20" t="str">
        <f t="shared" si="64"/>
        <v>(nextval('obj_part_id_seq'), (select id from obj_building_v where zip||'|'||street||'|'||name||'|'||volume = '8335|Jakob Stuz-Strasse 54 bei 54|Altes Sekundarschulhaus inkl. Gerätehaus und Garagengebäude|1903.00'), 'P58', 8, 80, 2019,'Boden: Zementboden im Keller, Linolplatten, Teppich, Porphyrplatten in Bäder, Wand: verputzt und gestrichen, Risse im obersten Geschoss vorhanden, Plattenschild bei Küche, Keramikplatten in Bad, Decke: verputzt, gestrichen, Holztäfer im DG'),</v>
      </c>
    </row>
    <row r="4151" spans="1:8" x14ac:dyDescent="0.25">
      <c r="A4151" s="9" t="s">
        <v>3624</v>
      </c>
      <c r="B4151" s="9" t="s">
        <v>1157</v>
      </c>
      <c r="C4151">
        <v>4</v>
      </c>
      <c r="D4151">
        <v>80</v>
      </c>
      <c r="E4151">
        <v>2019</v>
      </c>
      <c r="F4151" s="9" t="s">
        <v>3636</v>
      </c>
      <c r="H4151" s="20" t="str">
        <f t="shared" si="64"/>
        <v>(nextval('obj_part_id_seq'), (select id from obj_building_v where zip||'|'||street||'|'||name||'|'||volume = '8335|Jakob Stuz-Strasse 54 bei 54|Altes Sekundarschulhaus inkl. Gerätehaus und Garagengebäude|1903.00'), 'P59', 4, 80, 2019,'Alte Küche mit altem Kühlschrank und Herd, Chromstahlbecken'),</v>
      </c>
    </row>
    <row r="4152" spans="1:8" x14ac:dyDescent="0.25">
      <c r="A4152" s="9" t="s">
        <v>3624</v>
      </c>
      <c r="B4152" s="9" t="s">
        <v>1142</v>
      </c>
      <c r="C4152">
        <v>0</v>
      </c>
      <c r="D4152" t="s">
        <v>4080</v>
      </c>
      <c r="E4152">
        <v>2019</v>
      </c>
      <c r="F4152" s="9"/>
      <c r="H4152" s="20" t="str">
        <f t="shared" si="64"/>
        <v>(nextval('obj_part_id_seq'), (select id from obj_building_v where zip||'|'||street||'|'||name||'|'||volume = '8335|Jakob Stuz-Strasse 54 bei 54|Altes Sekundarschulhaus inkl. Gerätehaus und Garagengebäude|1903.00'), 'P60', 0, null, 2019,null),</v>
      </c>
    </row>
    <row r="4153" spans="1:8" x14ac:dyDescent="0.25">
      <c r="A4153" s="9" t="s">
        <v>3624</v>
      </c>
      <c r="B4153" s="9" t="s">
        <v>1143</v>
      </c>
      <c r="C4153">
        <v>0</v>
      </c>
      <c r="D4153" t="s">
        <v>4080</v>
      </c>
      <c r="E4153">
        <v>2019</v>
      </c>
      <c r="F4153" s="9"/>
      <c r="H4153" s="20" t="str">
        <f t="shared" si="64"/>
        <v>(nextval('obj_part_id_seq'), (select id from obj_building_v where zip||'|'||street||'|'||name||'|'||volume = '8335|Jakob Stuz-Strasse 54 bei 54|Altes Sekundarschulhaus inkl. Gerätehaus und Garagengebäude|1903.00'), 'P61', 0, null, 2019,null),</v>
      </c>
    </row>
    <row r="4154" spans="1:8" x14ac:dyDescent="0.25">
      <c r="A4154" s="9" t="s">
        <v>3624</v>
      </c>
      <c r="B4154" s="9" t="s">
        <v>1144</v>
      </c>
      <c r="C4154">
        <v>0</v>
      </c>
      <c r="D4154" t="s">
        <v>4080</v>
      </c>
      <c r="E4154">
        <v>2019</v>
      </c>
      <c r="F4154" s="9"/>
      <c r="H4154" s="20" t="str">
        <f t="shared" si="64"/>
        <v>(nextval('obj_part_id_seq'), (select id from obj_building_v where zip||'|'||street||'|'||name||'|'||volume = '8335|Jakob Stuz-Strasse 54 bei 54|Altes Sekundarschulhaus inkl. Gerätehaus und Garagengebäude|1903.00'), 'P62', 0, null, 2019,null),</v>
      </c>
    </row>
    <row r="4155" spans="1:8" x14ac:dyDescent="0.25">
      <c r="A4155" s="9" t="s">
        <v>3637</v>
      </c>
      <c r="B4155" s="9" t="s">
        <v>1127</v>
      </c>
      <c r="C4155">
        <v>36</v>
      </c>
      <c r="D4155">
        <v>90</v>
      </c>
      <c r="E4155">
        <v>2019</v>
      </c>
      <c r="F4155" s="9" t="s">
        <v>2069</v>
      </c>
      <c r="H4155" s="20" t="str">
        <f t="shared" si="64"/>
        <v>(nextval('obj_part_id_seq'), (select id from obj_building_v where zip||'|'||street||'|'||name||'|'||volume = '8556|Käsereistrasse 10|Turnhalle (Sarnahalle)|4326.00'), 'P48', 36, 90, 2019,'Mauerwerk, Stahlbeton'),</v>
      </c>
    </row>
    <row r="4156" spans="1:8" x14ac:dyDescent="0.25">
      <c r="A4156" s="9" t="s">
        <v>3637</v>
      </c>
      <c r="B4156" s="9" t="s">
        <v>1129</v>
      </c>
      <c r="C4156">
        <v>0</v>
      </c>
      <c r="D4156" t="s">
        <v>4080</v>
      </c>
      <c r="E4156">
        <v>2019</v>
      </c>
      <c r="F4156" s="9"/>
      <c r="H4156" s="20" t="str">
        <f t="shared" si="64"/>
        <v>(nextval('obj_part_id_seq'), (select id from obj_building_v where zip||'|'||street||'|'||name||'|'||volume = '8556|Käsereistrasse 10|Turnhalle (Sarnahalle)|4326.00'), 'P49', 0, null, 2019,null),</v>
      </c>
    </row>
    <row r="4157" spans="1:8" x14ac:dyDescent="0.25">
      <c r="A4157" s="9" t="s">
        <v>3637</v>
      </c>
      <c r="B4157" s="9" t="s">
        <v>1097</v>
      </c>
      <c r="C4157">
        <v>13</v>
      </c>
      <c r="D4157">
        <v>90</v>
      </c>
      <c r="E4157">
        <v>2019</v>
      </c>
      <c r="F4157" s="9" t="s">
        <v>3638</v>
      </c>
      <c r="H4157" s="20" t="str">
        <f t="shared" si="64"/>
        <v>(nextval('obj_part_id_seq'), (select id from obj_building_v where zip||'|'||street||'|'||name||'|'||volume = '8556|Käsereistrasse 10|Turnhalle (Sarnahalle)|4326.00'), 'P2', 13, 90, 2019,'Eternitschindeldach: keine Mängel bekannt (Dachraum konnte nicht besichtigt werden), Isolation über Hallendecke (Isofloc)'),</v>
      </c>
    </row>
    <row r="4158" spans="1:8" x14ac:dyDescent="0.25">
      <c r="A4158" s="9" t="s">
        <v>3637</v>
      </c>
      <c r="B4158" s="9" t="s">
        <v>1099</v>
      </c>
      <c r="C4158">
        <v>0</v>
      </c>
      <c r="D4158" t="s">
        <v>4080</v>
      </c>
      <c r="E4158">
        <v>2019</v>
      </c>
      <c r="F4158" s="9"/>
      <c r="H4158" s="20" t="str">
        <f t="shared" si="64"/>
        <v>(nextval('obj_part_id_seq'), (select id from obj_building_v where zip||'|'||street||'|'||name||'|'||volume = '8556|Käsereistrasse 10|Turnhalle (Sarnahalle)|4326.00'), 'P3', 0, null, 2019,null),</v>
      </c>
    </row>
    <row r="4159" spans="1:8" x14ac:dyDescent="0.25">
      <c r="A4159" s="9" t="s">
        <v>3637</v>
      </c>
      <c r="B4159" s="9" t="s">
        <v>1100</v>
      </c>
      <c r="C4159">
        <v>6</v>
      </c>
      <c r="D4159">
        <v>85</v>
      </c>
      <c r="E4159">
        <v>2019</v>
      </c>
      <c r="F4159" s="9" t="s">
        <v>3639</v>
      </c>
      <c r="H4159" s="20" t="str">
        <f t="shared" si="64"/>
        <v>(nextval('obj_part_id_seq'), (select id from obj_building_v where zip||'|'||street||'|'||name||'|'||volume = '8556|Käsereistrasse 10|Turnhalle (Sarnahalle)|4326.00'), 'P4', 6, 85, 2019,'Eternitplatten ''10, einige Risse vorhanden'),</v>
      </c>
    </row>
    <row r="4160" spans="1:8" x14ac:dyDescent="0.25">
      <c r="A4160" s="9" t="s">
        <v>3637</v>
      </c>
      <c r="B4160" s="9" t="s">
        <v>1102</v>
      </c>
      <c r="C4160">
        <v>8</v>
      </c>
      <c r="D4160">
        <v>80</v>
      </c>
      <c r="E4160">
        <v>2019</v>
      </c>
      <c r="F4160" s="9" t="s">
        <v>3640</v>
      </c>
      <c r="H4160" s="20" t="str">
        <f t="shared" si="64"/>
        <v>(nextval('obj_part_id_seq'), (select id from obj_building_v where zip||'|'||street||'|'||name||'|'||volume = '8556|Käsereistrasse 10|Turnhalle (Sarnahalle)|4326.00'), 'P5', 8, 80, 2019,'Kunststoffenster, Rafflamellenstoren (tw. beschädigt), an der Westfassade: Metallfenster (Gläser wurden ersetzt), Aussentüren aus Holz, tw. mit Glasfüllungen'),</v>
      </c>
    </row>
    <row r="4161" spans="1:8" x14ac:dyDescent="0.25">
      <c r="A4161" s="9" t="s">
        <v>3637</v>
      </c>
      <c r="B4161" s="9" t="s">
        <v>1110</v>
      </c>
      <c r="C4161">
        <v>5</v>
      </c>
      <c r="D4161">
        <v>90</v>
      </c>
      <c r="E4161">
        <v>2019</v>
      </c>
      <c r="F4161" s="9" t="s">
        <v>3641</v>
      </c>
      <c r="H4161" s="20" t="str">
        <f t="shared" si="64"/>
        <v>(nextval('obj_part_id_seq'), (select id from obj_building_v where zip||'|'||street||'|'||name||'|'||volume = '8556|Käsereistrasse 10|Turnhalle (Sarnahalle)|4326.00'), 'P9', 5, 90, 2019,'Beleuchtung ''10 in Ordnung, Turnhallenbeleuchtung'),</v>
      </c>
    </row>
    <row r="4162" spans="1:8" x14ac:dyDescent="0.25">
      <c r="A4162" s="9" t="s">
        <v>3637</v>
      </c>
      <c r="B4162" s="9" t="s">
        <v>1104</v>
      </c>
      <c r="C4162">
        <v>1</v>
      </c>
      <c r="D4162">
        <v>90</v>
      </c>
      <c r="E4162">
        <v>2019</v>
      </c>
      <c r="F4162" s="9" t="s">
        <v>1235</v>
      </c>
      <c r="H4162" s="20" t="str">
        <f t="shared" si="64"/>
        <v>(nextval('obj_part_id_seq'), (select id from obj_building_v where zip||'|'||street||'|'||name||'|'||volume = '8556|Käsereistrasse 10|Turnhalle (Sarnahalle)|4326.00'), 'P6', 1, 90, 2019,'Fernwärme'),</v>
      </c>
    </row>
    <row r="4163" spans="1:8" x14ac:dyDescent="0.25">
      <c r="A4163" s="9" t="s">
        <v>3637</v>
      </c>
      <c r="B4163" s="9" t="s">
        <v>1106</v>
      </c>
      <c r="C4163">
        <v>3</v>
      </c>
      <c r="D4163">
        <v>85</v>
      </c>
      <c r="E4163">
        <v>2019</v>
      </c>
      <c r="F4163" s="9" t="s">
        <v>1107</v>
      </c>
      <c r="H4163" s="20" t="str">
        <f t="shared" si="64"/>
        <v>(nextval('obj_part_id_seq'), (select id from obj_building_v where zip||'|'||street||'|'||name||'|'||volume = '8556|Käsereistrasse 10|Turnhalle (Sarnahalle)|4326.00'), 'P7', 3, 85, 2019,'Radiatoren mit Thermostaten'),</v>
      </c>
    </row>
    <row r="4164" spans="1:8" x14ac:dyDescent="0.25">
      <c r="A4164" s="9" t="s">
        <v>3637</v>
      </c>
      <c r="B4164" s="9" t="s">
        <v>1403</v>
      </c>
      <c r="C4164">
        <v>1</v>
      </c>
      <c r="D4164">
        <v>85</v>
      </c>
      <c r="E4164">
        <v>2019</v>
      </c>
      <c r="F4164" s="9" t="s">
        <v>3642</v>
      </c>
      <c r="H4164" s="20" t="str">
        <f t="shared" si="64"/>
        <v>(nextval('obj_part_id_seq'), (select id from obj_building_v where zip||'|'||street||'|'||name||'|'||volume = '8556|Käsereistrasse 10|Turnhalle (Sarnahalle)|4326.00'), 'P52', 1, 85, 2019,'Die grosse Lüftung gehört zur Mehrzeckhalle'),</v>
      </c>
    </row>
    <row r="4165" spans="1:8" x14ac:dyDescent="0.25">
      <c r="A4165" s="9" t="s">
        <v>3637</v>
      </c>
      <c r="B4165" s="9" t="s">
        <v>1404</v>
      </c>
      <c r="C4165">
        <v>1</v>
      </c>
      <c r="D4165">
        <v>85</v>
      </c>
      <c r="E4165">
        <v>2019</v>
      </c>
      <c r="F4165" s="9" t="s">
        <v>3643</v>
      </c>
      <c r="H4165" s="20" t="str">
        <f t="shared" ref="H4165:H4228" si="65">"(nextval('obj_part_id_seq'), (select id from obj_building_v where zip||'|'||street||'|'||name||'|'||volume = '"&amp;A4165&amp;"'), '"&amp;B4165&amp;"', "&amp;C4165&amp;", "&amp;D4165&amp;", "&amp;IF(ISBLANK(E4165),"null",E4165)&amp;","&amp;IF(ISBLANK(F4165),"null","'"&amp;F4165&amp;"'")&amp;"),"</f>
        <v>(nextval('obj_part_id_seq'), (select id from obj_building_v where zip||'|'||street||'|'||name||'|'||volume = '8556|Käsereistrasse 10|Turnhalle (Sarnahalle)|4326.00'), 'P53', 1, 85, 2019,'Lüftung Garderoben/Duschen'),</v>
      </c>
    </row>
    <row r="4166" spans="1:8" x14ac:dyDescent="0.25">
      <c r="A4166" s="9" t="s">
        <v>3637</v>
      </c>
      <c r="B4166" s="9" t="s">
        <v>1135</v>
      </c>
      <c r="C4166">
        <v>2</v>
      </c>
      <c r="D4166">
        <v>90</v>
      </c>
      <c r="E4166">
        <v>2019</v>
      </c>
      <c r="F4166" s="9" t="s">
        <v>3644</v>
      </c>
      <c r="H4166" s="20" t="str">
        <f t="shared" si="65"/>
        <v>(nextval('obj_part_id_seq'), (select id from obj_building_v where zip||'|'||street||'|'||name||'|'||volume = '8556|Käsereistrasse 10|Turnhalle (Sarnahalle)|4326.00'), 'P54', 2, 90, 2019,'WC neu , Dusche, Armaturen ersetzt'),</v>
      </c>
    </row>
    <row r="4167" spans="1:8" x14ac:dyDescent="0.25">
      <c r="A4167" s="9" t="s">
        <v>3637</v>
      </c>
      <c r="B4167" s="9" t="s">
        <v>1137</v>
      </c>
      <c r="C4167">
        <v>3</v>
      </c>
      <c r="D4167">
        <v>85</v>
      </c>
      <c r="E4167">
        <v>2019</v>
      </c>
      <c r="F4167" s="9" t="s">
        <v>3645</v>
      </c>
      <c r="H4167" s="20" t="str">
        <f t="shared" si="65"/>
        <v>(nextval('obj_part_id_seq'), (select id from obj_building_v where zip||'|'||street||'|'||name||'|'||volume = '8556|Käsereistrasse 10|Turnhalle (Sarnahalle)|4326.00'), 'P55', 3, 85, 2019,'teilweise erneuert'),</v>
      </c>
    </row>
    <row r="4168" spans="1:8" x14ac:dyDescent="0.25">
      <c r="A4168" s="9" t="s">
        <v>3637</v>
      </c>
      <c r="B4168" s="9" t="s">
        <v>1138</v>
      </c>
      <c r="C4168">
        <v>10</v>
      </c>
      <c r="D4168">
        <v>90</v>
      </c>
      <c r="E4168">
        <v>2019</v>
      </c>
      <c r="F4168" s="9" t="s">
        <v>3646</v>
      </c>
      <c r="H4168" s="20" t="str">
        <f t="shared" si="65"/>
        <v>(nextval('obj_part_id_seq'), (select id from obj_building_v where zip||'|'||street||'|'||name||'|'||volume = '8556|Käsereistrasse 10|Turnhalle (Sarnahalle)|4326.00'), 'P57', 10, 90, 2019,'Garderoben, Treppengeländer (h=92cm), Einbauschränke'),</v>
      </c>
    </row>
    <row r="4169" spans="1:8" x14ac:dyDescent="0.25">
      <c r="A4169" s="9" t="s">
        <v>3637</v>
      </c>
      <c r="B4169" s="9" t="s">
        <v>1140</v>
      </c>
      <c r="C4169">
        <v>11</v>
      </c>
      <c r="D4169">
        <v>80</v>
      </c>
      <c r="E4169">
        <v>2019</v>
      </c>
      <c r="F4169" s="9" t="s">
        <v>3647</v>
      </c>
      <c r="H4169" s="20" t="str">
        <f t="shared" si="65"/>
        <v>(nextval('obj_part_id_seq'), (select id from obj_building_v where zip||'|'||street||'|'||name||'|'||volume = '8556|Käsereistrasse 10|Turnhalle (Sarnahalle)|4326.00'), 'P58', 11, 80, 2019,'Boden: alt (noch original), mangelhaft, Klinker\nDecke: Holz, Heraklith im Werkraum, Hartbeton, gestrichen'),</v>
      </c>
    </row>
    <row r="4170" spans="1:8" x14ac:dyDescent="0.25">
      <c r="A4170" s="9" t="s">
        <v>3637</v>
      </c>
      <c r="B4170" s="9" t="s">
        <v>1142</v>
      </c>
      <c r="C4170">
        <v>0</v>
      </c>
      <c r="D4170" t="s">
        <v>4080</v>
      </c>
      <c r="E4170">
        <v>2019</v>
      </c>
      <c r="F4170" s="9"/>
      <c r="H4170" s="20" t="str">
        <f t="shared" si="65"/>
        <v>(nextval('obj_part_id_seq'), (select id from obj_building_v where zip||'|'||street||'|'||name||'|'||volume = '8556|Käsereistrasse 10|Turnhalle (Sarnahalle)|4326.00'), 'P60', 0, null, 2019,null),</v>
      </c>
    </row>
    <row r="4171" spans="1:8" x14ac:dyDescent="0.25">
      <c r="A4171" s="9" t="s">
        <v>3637</v>
      </c>
      <c r="B4171" s="9" t="s">
        <v>1143</v>
      </c>
      <c r="C4171">
        <v>0</v>
      </c>
      <c r="D4171" t="s">
        <v>4080</v>
      </c>
      <c r="E4171">
        <v>2019</v>
      </c>
      <c r="F4171" s="9"/>
      <c r="H4171" s="20" t="str">
        <f t="shared" si="65"/>
        <v>(nextval('obj_part_id_seq'), (select id from obj_building_v where zip||'|'||street||'|'||name||'|'||volume = '8556|Käsereistrasse 10|Turnhalle (Sarnahalle)|4326.00'), 'P61', 0, null, 2019,null),</v>
      </c>
    </row>
    <row r="4172" spans="1:8" x14ac:dyDescent="0.25">
      <c r="A4172" s="9" t="s">
        <v>3637</v>
      </c>
      <c r="B4172" s="9" t="s">
        <v>1144</v>
      </c>
      <c r="C4172">
        <v>0</v>
      </c>
      <c r="D4172" t="s">
        <v>4080</v>
      </c>
      <c r="E4172">
        <v>2019</v>
      </c>
      <c r="F4172" s="9"/>
      <c r="H4172" s="20" t="str">
        <f t="shared" si="65"/>
        <v>(nextval('obj_part_id_seq'), (select id from obj_building_v where zip||'|'||street||'|'||name||'|'||volume = '8556|Käsereistrasse 10|Turnhalle (Sarnahalle)|4326.00'), 'P62', 0, null, 2019,null),</v>
      </c>
    </row>
    <row r="4173" spans="1:8" x14ac:dyDescent="0.25">
      <c r="A4173" s="9" t="s">
        <v>3648</v>
      </c>
      <c r="B4173" s="9" t="s">
        <v>1127</v>
      </c>
      <c r="C4173">
        <v>39</v>
      </c>
      <c r="D4173">
        <v>90</v>
      </c>
      <c r="E4173">
        <v>2019</v>
      </c>
      <c r="F4173" s="9" t="s">
        <v>3649</v>
      </c>
      <c r="H4173" s="20" t="str">
        <f t="shared" si="65"/>
        <v>(nextval('obj_part_id_seq'), (select id from obj_building_v where zip||'|'||street||'|'||name||'|'||volume = '8556|Bahnhofstrasse 40|Werkzentrum|7617.00'), 'P48', 39, 90, 2019,'Stahlbeton, Mauerwerk, Kalksandstein'),</v>
      </c>
    </row>
    <row r="4174" spans="1:8" x14ac:dyDescent="0.25">
      <c r="A4174" s="9" t="s">
        <v>3648</v>
      </c>
      <c r="B4174" s="9" t="s">
        <v>1129</v>
      </c>
      <c r="C4174">
        <v>0</v>
      </c>
      <c r="D4174" t="s">
        <v>4080</v>
      </c>
      <c r="E4174">
        <v>2019</v>
      </c>
      <c r="F4174" s="9"/>
      <c r="H4174" s="20" t="str">
        <f t="shared" si="65"/>
        <v>(nextval('obj_part_id_seq'), (select id from obj_building_v where zip||'|'||street||'|'||name||'|'||volume = '8556|Bahnhofstrasse 40|Werkzentrum|7617.00'), 'P49', 0, null, 2019,null),</v>
      </c>
    </row>
    <row r="4175" spans="1:8" x14ac:dyDescent="0.25">
      <c r="A4175" s="9" t="s">
        <v>3648</v>
      </c>
      <c r="B4175" s="9" t="s">
        <v>1097</v>
      </c>
      <c r="C4175">
        <v>8</v>
      </c>
      <c r="D4175">
        <v>90</v>
      </c>
      <c r="E4175">
        <v>2019</v>
      </c>
      <c r="F4175" s="9" t="s">
        <v>3650</v>
      </c>
      <c r="H4175" s="20" t="str">
        <f t="shared" si="65"/>
        <v>(nextval('obj_part_id_seq'), (select id from obj_building_v where zip||'|'||street||'|'||name||'|'||volume = '8556|Bahnhofstrasse 40|Werkzentrum|7617.00'), 'P2', 8, 90, 2019,'Isoliertes Ziegeldach, Welleternit'),</v>
      </c>
    </row>
    <row r="4176" spans="1:8" x14ac:dyDescent="0.25">
      <c r="A4176" s="9" t="s">
        <v>3648</v>
      </c>
      <c r="B4176" s="9" t="s">
        <v>1099</v>
      </c>
      <c r="C4176">
        <v>0</v>
      </c>
      <c r="D4176" t="s">
        <v>4080</v>
      </c>
      <c r="E4176">
        <v>2019</v>
      </c>
      <c r="F4176" s="9"/>
      <c r="H4176" s="20" t="str">
        <f t="shared" si="65"/>
        <v>(nextval('obj_part_id_seq'), (select id from obj_building_v where zip||'|'||street||'|'||name||'|'||volume = '8556|Bahnhofstrasse 40|Werkzentrum|7617.00'), 'P3', 0, null, 2019,null),</v>
      </c>
    </row>
    <row r="4177" spans="1:8" x14ac:dyDescent="0.25">
      <c r="A4177" s="9" t="s">
        <v>3648</v>
      </c>
      <c r="B4177" s="9" t="s">
        <v>1100</v>
      </c>
      <c r="C4177">
        <v>7</v>
      </c>
      <c r="D4177">
        <v>85</v>
      </c>
      <c r="E4177">
        <v>2019</v>
      </c>
      <c r="F4177" s="9" t="s">
        <v>3651</v>
      </c>
      <c r="H4177" s="20" t="str">
        <f t="shared" si="65"/>
        <v>(nextval('obj_part_id_seq'), (select id from obj_building_v where zip||'|'||street||'|'||name||'|'||volume = '8556|Bahnhofstrasse 40|Werkzentrum|7617.00'), 'P4', 7, 85, 2019,'Eternitplatten, Sichtbeton'),</v>
      </c>
    </row>
    <row r="4178" spans="1:8" x14ac:dyDescent="0.25">
      <c r="A4178" s="9" t="s">
        <v>3648</v>
      </c>
      <c r="B4178" s="9" t="s">
        <v>1102</v>
      </c>
      <c r="C4178">
        <v>10</v>
      </c>
      <c r="D4178">
        <v>80</v>
      </c>
      <c r="E4178">
        <v>2019</v>
      </c>
      <c r="F4178" s="9" t="s">
        <v>3652</v>
      </c>
      <c r="H4178" s="20" t="str">
        <f t="shared" si="65"/>
        <v>(nextval('obj_part_id_seq'), (select id from obj_building_v where zip||'|'||street||'|'||name||'|'||volume = '8556|Bahnhofstrasse 40|Werkzentrum|7617.00'), 'P5', 10, 80, 2019,'Holzfenster (nur Gläser ausgetauscht), Rafflamellenstoren'),</v>
      </c>
    </row>
    <row r="4179" spans="1:8" x14ac:dyDescent="0.25">
      <c r="A4179" s="9" t="s">
        <v>3648</v>
      </c>
      <c r="B4179" s="9" t="s">
        <v>1164</v>
      </c>
      <c r="C4179">
        <v>6</v>
      </c>
      <c r="D4179">
        <v>85</v>
      </c>
      <c r="E4179">
        <v>2019</v>
      </c>
      <c r="F4179" s="9" t="s">
        <v>1295</v>
      </c>
      <c r="H4179" s="20" t="str">
        <f t="shared" si="65"/>
        <v>(nextval('obj_part_id_seq'), (select id from obj_building_v where zip||'|'||street||'|'||name||'|'||volume = '8556|Bahnhofstrasse 40|Werkzentrum|7617.00'), 'P50', 6, 85, 2019,'Beleuchtung'),</v>
      </c>
    </row>
    <row r="4180" spans="1:8" x14ac:dyDescent="0.25">
      <c r="A4180" s="9" t="s">
        <v>3648</v>
      </c>
      <c r="B4180" s="9" t="s">
        <v>1166</v>
      </c>
      <c r="C4180">
        <v>1</v>
      </c>
      <c r="D4180">
        <v>90</v>
      </c>
      <c r="E4180">
        <v>2019</v>
      </c>
      <c r="F4180" s="9" t="s">
        <v>3653</v>
      </c>
      <c r="H4180" s="20" t="str">
        <f t="shared" si="65"/>
        <v>(nextval('obj_part_id_seq'), (select id from obj_building_v where zip||'|'||street||'|'||name||'|'||volume = '8556|Bahnhofstrasse 40|Werkzentrum|7617.00'), 'P51', 1, 90, 2019,'FI-Schutzschalter neu ''19'),</v>
      </c>
    </row>
    <row r="4181" spans="1:8" x14ac:dyDescent="0.25">
      <c r="A4181" s="9" t="s">
        <v>3648</v>
      </c>
      <c r="B4181" s="9" t="s">
        <v>1104</v>
      </c>
      <c r="C4181">
        <v>3</v>
      </c>
      <c r="D4181">
        <v>90</v>
      </c>
      <c r="E4181">
        <v>2019</v>
      </c>
      <c r="F4181" s="9" t="s">
        <v>3654</v>
      </c>
      <c r="H4181" s="20" t="str">
        <f t="shared" si="65"/>
        <v>(nextval('obj_part_id_seq'), (select id from obj_building_v where zip||'|'||street||'|'||name||'|'||volume = '8556|Bahnhofstrasse 40|Werkzentrum|7617.00'), 'P6', 3, 90, 2019,'Fernwärme, Gasheizung als Ergänzung (Übergangszeiten)'),</v>
      </c>
    </row>
    <row r="4182" spans="1:8" x14ac:dyDescent="0.25">
      <c r="A4182" s="9" t="s">
        <v>3648</v>
      </c>
      <c r="B4182" s="9" t="s">
        <v>1106</v>
      </c>
      <c r="C4182">
        <v>3</v>
      </c>
      <c r="D4182">
        <v>85</v>
      </c>
      <c r="E4182">
        <v>2019</v>
      </c>
      <c r="F4182" s="9" t="s">
        <v>2438</v>
      </c>
      <c r="H4182" s="20" t="str">
        <f t="shared" si="65"/>
        <v>(nextval('obj_part_id_seq'), (select id from obj_building_v where zip||'|'||street||'|'||name||'|'||volume = '8556|Bahnhofstrasse 40|Werkzentrum|7617.00'), 'P7', 3, 85, 2019,'Heizkörper mit Thermostaten'),</v>
      </c>
    </row>
    <row r="4183" spans="1:8" x14ac:dyDescent="0.25">
      <c r="A4183" s="9" t="s">
        <v>3648</v>
      </c>
      <c r="B4183" s="9" t="s">
        <v>1108</v>
      </c>
      <c r="C4183">
        <v>4</v>
      </c>
      <c r="D4183">
        <v>85</v>
      </c>
      <c r="E4183">
        <v>2019</v>
      </c>
      <c r="F4183" s="9" t="s">
        <v>3655</v>
      </c>
      <c r="H4183" s="20" t="str">
        <f t="shared" si="65"/>
        <v>(nextval('obj_part_id_seq'), (select id from obj_building_v where zip||'|'||street||'|'||name||'|'||volume = '8556|Bahnhofstrasse 40|Werkzentrum|7617.00'), 'P8', 4, 85, 2019,'Druck und Leitungen in Ordnung'),</v>
      </c>
    </row>
    <row r="4184" spans="1:8" x14ac:dyDescent="0.25">
      <c r="A4184" s="9" t="s">
        <v>3648</v>
      </c>
      <c r="B4184" s="9" t="s">
        <v>1138</v>
      </c>
      <c r="C4184">
        <v>11</v>
      </c>
      <c r="D4184">
        <v>85</v>
      </c>
      <c r="E4184">
        <v>2019</v>
      </c>
      <c r="F4184" s="9" t="s">
        <v>3656</v>
      </c>
      <c r="H4184" s="20" t="str">
        <f t="shared" si="65"/>
        <v>(nextval('obj_part_id_seq'), (select id from obj_building_v where zip||'|'||street||'|'||name||'|'||volume = '8556|Bahnhofstrasse 40|Werkzentrum|7617.00'), 'P57', 11, 85, 2019,'Innere Verglasungen, Trennwände, kleine Teeküche im Singsaal, Garderobe'),</v>
      </c>
    </row>
    <row r="4185" spans="1:8" x14ac:dyDescent="0.25">
      <c r="A4185" s="9" t="s">
        <v>3648</v>
      </c>
      <c r="B4185" s="9" t="s">
        <v>1140</v>
      </c>
      <c r="C4185">
        <v>8</v>
      </c>
      <c r="D4185">
        <v>80</v>
      </c>
      <c r="E4185">
        <v>2019</v>
      </c>
      <c r="F4185" s="9" t="s">
        <v>3657</v>
      </c>
      <c r="H4185" s="20" t="str">
        <f t="shared" si="65"/>
        <v>(nextval('obj_part_id_seq'), (select id from obj_building_v where zip||'|'||street||'|'||name||'|'||volume = '8556|Bahnhofstrasse 40|Werkzentrum|7617.00'), 'P58', 8, 80, 2019,'Boden: Klinkersteine, PVC, Parkett, Linol, in der Teeküche: Hartbeton\nWand: Putz, Täfer\nDecke: Holztäfer'),</v>
      </c>
    </row>
    <row r="4186" spans="1:8" x14ac:dyDescent="0.25">
      <c r="A4186" s="9" t="s">
        <v>3648</v>
      </c>
      <c r="B4186" s="9" t="s">
        <v>1142</v>
      </c>
      <c r="C4186">
        <v>0</v>
      </c>
      <c r="D4186" t="s">
        <v>4080</v>
      </c>
      <c r="E4186">
        <v>2019</v>
      </c>
      <c r="F4186" s="9"/>
      <c r="H4186" s="20" t="str">
        <f t="shared" si="65"/>
        <v>(nextval('obj_part_id_seq'), (select id from obj_building_v where zip||'|'||street||'|'||name||'|'||volume = '8556|Bahnhofstrasse 40|Werkzentrum|7617.00'), 'P60', 0, null, 2019,null),</v>
      </c>
    </row>
    <row r="4187" spans="1:8" x14ac:dyDescent="0.25">
      <c r="A4187" s="9" t="s">
        <v>3648</v>
      </c>
      <c r="B4187" s="9" t="s">
        <v>1143</v>
      </c>
      <c r="C4187">
        <v>0</v>
      </c>
      <c r="D4187" t="s">
        <v>4080</v>
      </c>
      <c r="E4187">
        <v>2019</v>
      </c>
      <c r="F4187" s="9"/>
      <c r="H4187" s="20" t="str">
        <f t="shared" si="65"/>
        <v>(nextval('obj_part_id_seq'), (select id from obj_building_v where zip||'|'||street||'|'||name||'|'||volume = '8556|Bahnhofstrasse 40|Werkzentrum|7617.00'), 'P61', 0, null, 2019,null),</v>
      </c>
    </row>
    <row r="4188" spans="1:8" x14ac:dyDescent="0.25">
      <c r="A4188" s="9" t="s">
        <v>3648</v>
      </c>
      <c r="B4188" s="9" t="s">
        <v>1144</v>
      </c>
      <c r="C4188">
        <v>0</v>
      </c>
      <c r="D4188" t="s">
        <v>4080</v>
      </c>
      <c r="E4188">
        <v>2019</v>
      </c>
      <c r="F4188" s="9"/>
      <c r="H4188" s="20" t="str">
        <f t="shared" si="65"/>
        <v>(nextval('obj_part_id_seq'), (select id from obj_building_v where zip||'|'||street||'|'||name||'|'||volume = '8556|Bahnhofstrasse 40|Werkzentrum|7617.00'), 'P62', 0, null, 2019,null),</v>
      </c>
    </row>
    <row r="4189" spans="1:8" x14ac:dyDescent="0.25">
      <c r="A4189" s="9" t="s">
        <v>3658</v>
      </c>
      <c r="B4189" s="9" t="s">
        <v>1127</v>
      </c>
      <c r="C4189">
        <v>41</v>
      </c>
      <c r="D4189">
        <v>90</v>
      </c>
      <c r="E4189">
        <v>2017</v>
      </c>
      <c r="F4189" s="9" t="s">
        <v>3659</v>
      </c>
      <c r="H4189" s="20" t="str">
        <f t="shared" si="65"/>
        <v>(nextval('obj_part_id_seq'), (select id from obj_building_v where zip||'|'||street||'|'||name||'|'||volume = '8335|Hermetsbüelweg 10|Hermetsbüel Oberstufe|8453.00'), 'P48', 41, 90, 2017,'Stahlbetonbau mit Mauerwerk, feine Risse vorh.'),</v>
      </c>
    </row>
    <row r="4190" spans="1:8" x14ac:dyDescent="0.25">
      <c r="A4190" s="9" t="s">
        <v>3658</v>
      </c>
      <c r="B4190" s="9" t="s">
        <v>1129</v>
      </c>
      <c r="C4190">
        <v>0</v>
      </c>
      <c r="D4190" t="s">
        <v>4080</v>
      </c>
      <c r="E4190">
        <v>2017</v>
      </c>
      <c r="F4190" s="9"/>
      <c r="H4190" s="20" t="str">
        <f t="shared" si="65"/>
        <v>(nextval('obj_part_id_seq'), (select id from obj_building_v where zip||'|'||street||'|'||name||'|'||volume = '8335|Hermetsbüelweg 10|Hermetsbüel Oberstufe|8453.00'), 'P49', 0, null, 2017,null),</v>
      </c>
    </row>
    <row r="4191" spans="1:8" x14ac:dyDescent="0.25">
      <c r="A4191" s="9" t="s">
        <v>3658</v>
      </c>
      <c r="B4191" s="9" t="s">
        <v>1097</v>
      </c>
      <c r="C4191">
        <v>7</v>
      </c>
      <c r="D4191">
        <v>85</v>
      </c>
      <c r="E4191">
        <v>2017</v>
      </c>
      <c r="F4191" s="9" t="s">
        <v>3660</v>
      </c>
      <c r="H4191" s="20" t="str">
        <f t="shared" si="65"/>
        <v>(nextval('obj_part_id_seq'), (select id from obj_building_v where zip||'|'||street||'|'||name||'|'||volume = '8335|Hermetsbüelweg 10|Hermetsbüel Oberstufe|8453.00'), 'P2', 7, 85, 2017,'Ziegeldach, Holzschindelunterdach trocken und mängelfrei, Dachfenster (Holz), stellenweise morsch wegen Kondenswasser, Putzraum (OG): Feuchtigkeitsschaden beim Dachfenster (behoben?)'),</v>
      </c>
    </row>
    <row r="4192" spans="1:8" x14ac:dyDescent="0.25">
      <c r="A4192" s="9" t="s">
        <v>3658</v>
      </c>
      <c r="B4192" s="9" t="s">
        <v>1099</v>
      </c>
      <c r="C4192">
        <v>1</v>
      </c>
      <c r="D4192">
        <v>90</v>
      </c>
      <c r="E4192">
        <v>2017</v>
      </c>
      <c r="F4192" s="9" t="s">
        <v>3661</v>
      </c>
      <c r="H4192" s="20" t="str">
        <f t="shared" si="65"/>
        <v>(nextval('obj_part_id_seq'), (select id from obj_building_v where zip||'|'||street||'|'||name||'|'||volume = '8335|Hermetsbüelweg 10|Hermetsbüel Oberstufe|8453.00'), 'P3', 1, 90, 2017,'Flachdach beim Anbau, Vordach Garage'),</v>
      </c>
    </row>
    <row r="4193" spans="1:8" x14ac:dyDescent="0.25">
      <c r="A4193" s="9" t="s">
        <v>3658</v>
      </c>
      <c r="B4193" s="9" t="s">
        <v>1100</v>
      </c>
      <c r="C4193">
        <v>6</v>
      </c>
      <c r="D4193">
        <v>90</v>
      </c>
      <c r="E4193">
        <v>2017</v>
      </c>
      <c r="F4193" s="9" t="s">
        <v>3662</v>
      </c>
      <c r="H4193" s="20" t="str">
        <f t="shared" si="65"/>
        <v>(nextval('obj_part_id_seq'), (select id from obj_building_v where zip||'|'||street||'|'||name||'|'||volume = '8335|Hermetsbüelweg 10|Hermetsbüel Oberstufe|8453.00'), 'P4', 6, 90, 2017,'Putz, Steinplatten (tw. bschädigt), Eternitplatten'),</v>
      </c>
    </row>
    <row r="4194" spans="1:8" x14ac:dyDescent="0.25">
      <c r="A4194" s="9" t="s">
        <v>3658</v>
      </c>
      <c r="B4194" s="9" t="s">
        <v>1102</v>
      </c>
      <c r="C4194">
        <v>10</v>
      </c>
      <c r="D4194">
        <v>80</v>
      </c>
      <c r="E4194">
        <v>2017</v>
      </c>
      <c r="F4194" s="9" t="s">
        <v>3663</v>
      </c>
      <c r="H4194" s="20" t="str">
        <f t="shared" si="65"/>
        <v>(nextval('obj_part_id_seq'), (select id from obj_building_v where zip||'|'||street||'|'||name||'|'||volume = '8335|Hermetsbüelweg 10|Hermetsbüel Oberstufe|8453.00'), 'P5', 10, 80, 2017,'Kunststofffenster mit IV-Doppelverglasung (03/91),  Kunststofffenster 2007, Metallfenster mit IV-Verglasung beim Verbindungsteil zum Anbau, Alte nicht isolierte Fenster, Rafflamellenstoren, Metallstor (Garage)'),</v>
      </c>
    </row>
    <row r="4195" spans="1:8" x14ac:dyDescent="0.25">
      <c r="A4195" s="9" t="s">
        <v>3658</v>
      </c>
      <c r="B4195" s="9" t="s">
        <v>1164</v>
      </c>
      <c r="C4195">
        <v>6</v>
      </c>
      <c r="D4195">
        <v>90</v>
      </c>
      <c r="E4195">
        <v>2017</v>
      </c>
      <c r="F4195" s="9" t="s">
        <v>3664</v>
      </c>
      <c r="H4195" s="20" t="str">
        <f t="shared" si="65"/>
        <v>(nextval('obj_part_id_seq'), (select id from obj_building_v where zip||'|'||street||'|'||name||'|'||volume = '8335|Hermetsbüelweg 10|Hermetsbüel Oberstufe|8453.00'), 'P50', 6, 90, 2017,'Beleuchtung ca. 30 Jahre alt'),</v>
      </c>
    </row>
    <row r="4196" spans="1:8" x14ac:dyDescent="0.25">
      <c r="A4196" s="9" t="s">
        <v>3658</v>
      </c>
      <c r="B4196" s="9" t="s">
        <v>1166</v>
      </c>
      <c r="C4196">
        <v>1</v>
      </c>
      <c r="D4196">
        <v>90</v>
      </c>
      <c r="E4196">
        <v>2017</v>
      </c>
      <c r="F4196" s="9" t="s">
        <v>3665</v>
      </c>
      <c r="H4196" s="20" t="str">
        <f t="shared" si="65"/>
        <v>(nextval('obj_part_id_seq'), (select id from obj_building_v where zip||'|'||street||'|'||name||'|'||volume = '8335|Hermetsbüelweg 10|Hermetsbüel Oberstufe|8453.00'), 'P51', 1, 90, 2017,'Audioanlagen, Feuermelder, IT-Netz, FI-Schutzschalter vorh.'),</v>
      </c>
    </row>
    <row r="4197" spans="1:8" x14ac:dyDescent="0.25">
      <c r="A4197" s="9" t="s">
        <v>3658</v>
      </c>
      <c r="B4197" s="9" t="s">
        <v>1104</v>
      </c>
      <c r="C4197">
        <v>1</v>
      </c>
      <c r="D4197">
        <v>90</v>
      </c>
      <c r="E4197">
        <v>2017</v>
      </c>
      <c r="F4197" s="9" t="s">
        <v>3666</v>
      </c>
      <c r="H4197" s="20" t="str">
        <f t="shared" si="65"/>
        <v>(nextval('obj_part_id_seq'), (select id from obj_building_v where zip||'|'||street||'|'||name||'|'||volume = '8335|Hermetsbüelweg 10|Hermetsbüel Oberstufe|8453.00'), 'P6', 1, 90, 2017,'Fernwärme, Heizlüfter (Keller)'),</v>
      </c>
    </row>
    <row r="4198" spans="1:8" x14ac:dyDescent="0.25">
      <c r="A4198" s="9" t="s">
        <v>3658</v>
      </c>
      <c r="B4198" s="9" t="s">
        <v>1106</v>
      </c>
      <c r="C4198">
        <v>3</v>
      </c>
      <c r="D4198">
        <v>90</v>
      </c>
      <c r="E4198">
        <v>2017</v>
      </c>
      <c r="F4198" s="9" t="s">
        <v>3667</v>
      </c>
      <c r="H4198" s="20" t="str">
        <f t="shared" si="65"/>
        <v>(nextval('obj_part_id_seq'), (select id from obj_building_v where zip||'|'||street||'|'||name||'|'||volume = '8335|Hermetsbüelweg 10|Hermetsbüel Oberstufe|8453.00'), 'P7', 3, 90, 2017,'Radiatoren mit Thermostat, Bodenheizung'),</v>
      </c>
    </row>
    <row r="4199" spans="1:8" x14ac:dyDescent="0.25">
      <c r="A4199" s="9" t="s">
        <v>3658</v>
      </c>
      <c r="B4199" s="9" t="s">
        <v>1108</v>
      </c>
      <c r="C4199">
        <v>4</v>
      </c>
      <c r="D4199">
        <v>90</v>
      </c>
      <c r="E4199">
        <v>2017</v>
      </c>
      <c r="F4199" s="9" t="s">
        <v>3668</v>
      </c>
      <c r="H4199" s="20" t="str">
        <f t="shared" si="65"/>
        <v>(nextval('obj_part_id_seq'), (select id from obj_building_v where zip||'|'||street||'|'||name||'|'||volume = '8335|Hermetsbüelweg 10|Hermetsbüel Oberstufe|8453.00'), 'P8', 4, 90, 2017,'Genügender Druck vorhanden, Wasser kann ungehindert ablaufen, Enthärtungsanlage vorh., zeitgemässe san. Apparate, Feuerlöschposten ohne Mangel'),</v>
      </c>
    </row>
    <row r="4200" spans="1:8" x14ac:dyDescent="0.25">
      <c r="A4200" s="9" t="s">
        <v>3658</v>
      </c>
      <c r="B4200" s="9" t="s">
        <v>1138</v>
      </c>
      <c r="C4200">
        <v>11</v>
      </c>
      <c r="D4200">
        <v>90</v>
      </c>
      <c r="E4200">
        <v>2017</v>
      </c>
      <c r="F4200" s="9" t="s">
        <v>3669</v>
      </c>
      <c r="H4200" s="20" t="str">
        <f t="shared" si="65"/>
        <v>(nextval('obj_part_id_seq'), (select id from obj_building_v where zip||'|'||street||'|'||name||'|'||volume = '8335|Hermetsbüelweg 10|Hermetsbüel Oberstufe|8453.00'), 'P57', 11, 90, 2017,'Einbaukästen, innere Verglasungen, Windfang, WC-Trennwände'),</v>
      </c>
    </row>
    <row r="4201" spans="1:8" x14ac:dyDescent="0.25">
      <c r="A4201" s="9" t="s">
        <v>3658</v>
      </c>
      <c r="B4201" s="9" t="s">
        <v>1140</v>
      </c>
      <c r="C4201">
        <v>8</v>
      </c>
      <c r="D4201">
        <v>85</v>
      </c>
      <c r="E4201">
        <v>2017</v>
      </c>
      <c r="F4201" s="9" t="s">
        <v>3670</v>
      </c>
      <c r="H4201" s="20" t="str">
        <f t="shared" si="65"/>
        <v>(nextval('obj_part_id_seq'), (select id from obj_building_v where zip||'|'||street||'|'||name||'|'||volume = '8335|Hermetsbüelweg 10|Hermetsbüel Oberstufe|8453.00'), 'P58', 8, 85, 2017,'D: Putz, gestrichen, Holztäfer, Gips, Akustikdecken, Betondecken (Schulküche)\nW: Putz, gestrichen, Glasfasertapeten\nB: Klinker, Parkett, Laminat, Schmutzschleuse, Natursteinplatten, Korkplatten. tw. a'),</v>
      </c>
    </row>
    <row r="4202" spans="1:8" x14ac:dyDescent="0.25">
      <c r="A4202" s="9" t="s">
        <v>3658</v>
      </c>
      <c r="B4202" s="9" t="s">
        <v>1142</v>
      </c>
      <c r="C4202">
        <v>0</v>
      </c>
      <c r="D4202" t="s">
        <v>4080</v>
      </c>
      <c r="E4202">
        <v>2017</v>
      </c>
      <c r="F4202" s="9"/>
      <c r="H4202" s="20" t="str">
        <f t="shared" si="65"/>
        <v>(nextval('obj_part_id_seq'), (select id from obj_building_v where zip||'|'||street||'|'||name||'|'||volume = '8335|Hermetsbüelweg 10|Hermetsbüel Oberstufe|8453.00'), 'P60', 0, null, 2017,null),</v>
      </c>
    </row>
    <row r="4203" spans="1:8" x14ac:dyDescent="0.25">
      <c r="A4203" s="9" t="s">
        <v>3658</v>
      </c>
      <c r="B4203" s="9" t="s">
        <v>1143</v>
      </c>
      <c r="C4203">
        <v>0</v>
      </c>
      <c r="D4203" t="s">
        <v>4080</v>
      </c>
      <c r="E4203">
        <v>2017</v>
      </c>
      <c r="F4203" s="9"/>
      <c r="H4203" s="20" t="str">
        <f t="shared" si="65"/>
        <v>(nextval('obj_part_id_seq'), (select id from obj_building_v where zip||'|'||street||'|'||name||'|'||volume = '8335|Hermetsbüelweg 10|Hermetsbüel Oberstufe|8453.00'), 'P61', 0, null, 2017,null),</v>
      </c>
    </row>
    <row r="4204" spans="1:8" x14ac:dyDescent="0.25">
      <c r="A4204" s="9" t="s">
        <v>3658</v>
      </c>
      <c r="B4204" s="9" t="s">
        <v>1144</v>
      </c>
      <c r="C4204">
        <v>0</v>
      </c>
      <c r="D4204" t="s">
        <v>4080</v>
      </c>
      <c r="E4204">
        <v>2017</v>
      </c>
      <c r="F4204" s="9"/>
      <c r="H4204" s="20" t="str">
        <f t="shared" si="65"/>
        <v>(nextval('obj_part_id_seq'), (select id from obj_building_v where zip||'|'||street||'|'||name||'|'||volume = '8335|Hermetsbüelweg 10|Hermetsbüel Oberstufe|8453.00'), 'P62', 0, null, 2017,null),</v>
      </c>
    </row>
    <row r="4205" spans="1:8" x14ac:dyDescent="0.25">
      <c r="A4205" s="9" t="s">
        <v>3671</v>
      </c>
      <c r="B4205" s="9" t="s">
        <v>1127</v>
      </c>
      <c r="C4205">
        <v>24</v>
      </c>
      <c r="D4205">
        <v>90</v>
      </c>
      <c r="E4205">
        <v>2017</v>
      </c>
      <c r="F4205" s="9" t="s">
        <v>3672</v>
      </c>
      <c r="H4205" s="20" t="str">
        <f t="shared" si="65"/>
        <v>(nextval('obj_part_id_seq'), (select id from obj_building_v where zip||'|'||street||'|'||name||'|'||volume = '8335|Oberdoftstrasse 21|Kiga Oberdorf|680.00'), 'P48', 24, 90, 2017,'Mauerwerk mit Holzbalkendecke, Fundamente mit Kriechkeller, Hourdisdecke über Keller'),</v>
      </c>
    </row>
    <row r="4206" spans="1:8" x14ac:dyDescent="0.25">
      <c r="A4206" s="9" t="s">
        <v>3671</v>
      </c>
      <c r="B4206" s="9" t="s">
        <v>1129</v>
      </c>
      <c r="C4206">
        <v>0</v>
      </c>
      <c r="D4206" t="s">
        <v>4080</v>
      </c>
      <c r="E4206">
        <v>2017</v>
      </c>
      <c r="F4206" s="9"/>
      <c r="H4206" s="20" t="str">
        <f t="shared" si="65"/>
        <v>(nextval('obj_part_id_seq'), (select id from obj_building_v where zip||'|'||street||'|'||name||'|'||volume = '8335|Oberdoftstrasse 21|Kiga Oberdorf|680.00'), 'P49', 0, null, 2017,null),</v>
      </c>
    </row>
    <row r="4207" spans="1:8" x14ac:dyDescent="0.25">
      <c r="A4207" s="9" t="s">
        <v>3671</v>
      </c>
      <c r="B4207" s="9" t="s">
        <v>1097</v>
      </c>
      <c r="C4207">
        <v>20</v>
      </c>
      <c r="D4207">
        <v>90</v>
      </c>
      <c r="E4207">
        <v>2017</v>
      </c>
      <c r="F4207" s="9" t="s">
        <v>3673</v>
      </c>
      <c r="H4207" s="20" t="str">
        <f t="shared" si="65"/>
        <v>(nextval('obj_part_id_seq'), (select id from obj_building_v where zip||'|'||street||'|'||name||'|'||volume = '8335|Oberdoftstrasse 21|Kiga Oberdorf|680.00'), 'P2', 20, 90, 2017,'Ziegeldach, Holzschindelunterdach und Holzwerk trocken und schadlos, Dachuntersichten leicht verwittert, Ort- und Traufbretter neuwertig'),</v>
      </c>
    </row>
    <row r="4208" spans="1:8" x14ac:dyDescent="0.25">
      <c r="A4208" s="9" t="s">
        <v>3671</v>
      </c>
      <c r="B4208" s="9" t="s">
        <v>1099</v>
      </c>
      <c r="C4208">
        <v>0</v>
      </c>
      <c r="D4208" t="s">
        <v>4080</v>
      </c>
      <c r="E4208">
        <v>2017</v>
      </c>
      <c r="F4208" s="9"/>
      <c r="H4208" s="20" t="str">
        <f t="shared" si="65"/>
        <v>(nextval('obj_part_id_seq'), (select id from obj_building_v where zip||'|'||street||'|'||name||'|'||volume = '8335|Oberdoftstrasse 21|Kiga Oberdorf|680.00'), 'P3', 0, null, 2017,null),</v>
      </c>
    </row>
    <row r="4209" spans="1:8" x14ac:dyDescent="0.25">
      <c r="A4209" s="9" t="s">
        <v>3671</v>
      </c>
      <c r="B4209" s="9" t="s">
        <v>1100</v>
      </c>
      <c r="C4209">
        <v>8</v>
      </c>
      <c r="D4209">
        <v>65</v>
      </c>
      <c r="E4209">
        <v>2017</v>
      </c>
      <c r="F4209" s="9" t="s">
        <v>3674</v>
      </c>
      <c r="H4209" s="20" t="str">
        <f t="shared" si="65"/>
        <v>(nextval('obj_part_id_seq'), (select id from obj_building_v where zip||'|'||street||'|'||name||'|'||volume = '8335|Oberdoftstrasse 21|Kiga Oberdorf|680.00'), 'P4', 8, 65, 2017,'Mauerwerk, verputzt, Sockelputz verschmutzt und an Ecke leicht beschädigt'),</v>
      </c>
    </row>
    <row r="4210" spans="1:8" x14ac:dyDescent="0.25">
      <c r="A4210" s="9" t="s">
        <v>3671</v>
      </c>
      <c r="B4210" s="9" t="s">
        <v>1102</v>
      </c>
      <c r="C4210">
        <v>14</v>
      </c>
      <c r="D4210">
        <v>90</v>
      </c>
      <c r="E4210">
        <v>2017</v>
      </c>
      <c r="F4210" s="9" t="s">
        <v>3675</v>
      </c>
      <c r="H4210" s="20" t="str">
        <f t="shared" si="65"/>
        <v>(nextval('obj_part_id_seq'), (select id from obj_building_v where zip||'|'||street||'|'||name||'|'||volume = '8335|Oberdoftstrasse 21|Kiga Oberdorf|680.00'), 'P5', 14, 90, 2017,'Kunststofffenster mit IV-Doppelverglasung, Rafflamellenstoren, Holztüre zum Keller'),</v>
      </c>
    </row>
    <row r="4211" spans="1:8" x14ac:dyDescent="0.25">
      <c r="A4211" s="9" t="s">
        <v>3671</v>
      </c>
      <c r="B4211" s="9" t="s">
        <v>1110</v>
      </c>
      <c r="C4211">
        <v>4</v>
      </c>
      <c r="D4211">
        <v>80</v>
      </c>
      <c r="E4211">
        <v>2017</v>
      </c>
      <c r="F4211" s="9" t="s">
        <v>3676</v>
      </c>
      <c r="H4211" s="20" t="str">
        <f t="shared" si="65"/>
        <v>(nextval('obj_part_id_seq'), (select id from obj_building_v where zip||'|'||street||'|'||name||'|'||volume = '8335|Oberdoftstrasse 21|Kiga Oberdorf|680.00'), 'P9', 4, 80, 2017,'Beleuchtung KG-Raum, Problem beim Ein- und Ausschalten des Lichts vorhanden, Sicherungskasten war bei Besichtigung verdeckt'),</v>
      </c>
    </row>
    <row r="4212" spans="1:8" x14ac:dyDescent="0.25">
      <c r="A4212" s="9" t="s">
        <v>3671</v>
      </c>
      <c r="B4212" s="9" t="s">
        <v>1104</v>
      </c>
      <c r="C4212">
        <v>3</v>
      </c>
      <c r="D4212">
        <v>90</v>
      </c>
      <c r="E4212">
        <v>2017</v>
      </c>
      <c r="F4212" s="9" t="s">
        <v>3677</v>
      </c>
      <c r="H4212" s="20" t="str">
        <f t="shared" si="65"/>
        <v>(nextval('obj_part_id_seq'), (select id from obj_building_v where zip||'|'||street||'|'||name||'|'||volume = '8335|Oberdoftstrasse 21|Kiga Oberdorf|680.00'), 'P6', 3, 90, 2017,'Ölheizung mit offenem Öltank'),</v>
      </c>
    </row>
    <row r="4213" spans="1:8" x14ac:dyDescent="0.25">
      <c r="A4213" s="9" t="s">
        <v>3671</v>
      </c>
      <c r="B4213" s="9" t="s">
        <v>1106</v>
      </c>
      <c r="C4213">
        <v>3</v>
      </c>
      <c r="D4213">
        <v>90</v>
      </c>
      <c r="E4213">
        <v>2017</v>
      </c>
      <c r="F4213" s="9" t="s">
        <v>3678</v>
      </c>
      <c r="H4213" s="20" t="str">
        <f t="shared" si="65"/>
        <v>(nextval('obj_part_id_seq'), (select id from obj_building_v where zip||'|'||street||'|'||name||'|'||volume = '8335|Oberdoftstrasse 21|Kiga Oberdorf|680.00'), 'P7', 3, 90, 2017,'Bodenheizung, Radiatoren mit Thermostaten'),</v>
      </c>
    </row>
    <row r="4214" spans="1:8" x14ac:dyDescent="0.25">
      <c r="A4214" s="9" t="s">
        <v>3671</v>
      </c>
      <c r="B4214" s="9" t="s">
        <v>1135</v>
      </c>
      <c r="C4214">
        <v>1</v>
      </c>
      <c r="D4214">
        <v>90</v>
      </c>
      <c r="E4214">
        <v>2017</v>
      </c>
      <c r="F4214" s="9" t="s">
        <v>3679</v>
      </c>
      <c r="H4214" s="20" t="str">
        <f t="shared" si="65"/>
        <v>(nextval('obj_part_id_seq'), (select id from obj_building_v where zip||'|'||street||'|'||name||'|'||volume = '8335|Oberdoftstrasse 21|Kiga Oberdorf|680.00'), 'P54', 1, 90, 2017,'Apparate und Armaturen zeitgemäss und funktionstüchtig, Boiler'),</v>
      </c>
    </row>
    <row r="4215" spans="1:8" x14ac:dyDescent="0.25">
      <c r="A4215" s="9" t="s">
        <v>3671</v>
      </c>
      <c r="B4215" s="9" t="s">
        <v>1137</v>
      </c>
      <c r="C4215">
        <v>3</v>
      </c>
      <c r="D4215">
        <v>90</v>
      </c>
      <c r="E4215">
        <v>2017</v>
      </c>
      <c r="F4215" s="9" t="s">
        <v>3680</v>
      </c>
      <c r="H4215" s="20" t="str">
        <f t="shared" si="65"/>
        <v>(nextval('obj_part_id_seq'), (select id from obj_building_v where zip||'|'||street||'|'||name||'|'||volume = '8335|Oberdoftstrasse 21|Kiga Oberdorf|680.00'), 'P55', 3, 90, 2017,'Genügend Druck vorhanden, Wasser kann ungehindert ablaufen'),</v>
      </c>
    </row>
    <row r="4216" spans="1:8" x14ac:dyDescent="0.25">
      <c r="A4216" s="9" t="s">
        <v>3671</v>
      </c>
      <c r="B4216" s="9" t="s">
        <v>1138</v>
      </c>
      <c r="C4216">
        <v>17</v>
      </c>
      <c r="D4216">
        <v>90</v>
      </c>
      <c r="E4216">
        <v>2017</v>
      </c>
      <c r="F4216" s="9" t="s">
        <v>3681</v>
      </c>
      <c r="H4216" s="20" t="str">
        <f t="shared" si="65"/>
        <v>(nextval('obj_part_id_seq'), (select id from obj_building_v where zip||'|'||street||'|'||name||'|'||volume = '8335|Oberdoftstrasse 21|Kiga Oberdorf|680.00'), 'P57', 17, 90, 2017,'Einbauschränke, WC-Trennwände, Arbeitssimse'),</v>
      </c>
    </row>
    <row r="4217" spans="1:8" x14ac:dyDescent="0.25">
      <c r="A4217" s="9" t="s">
        <v>3671</v>
      </c>
      <c r="B4217" s="9" t="s">
        <v>1140</v>
      </c>
      <c r="C4217">
        <v>3</v>
      </c>
      <c r="D4217">
        <v>90</v>
      </c>
      <c r="E4217">
        <v>2017</v>
      </c>
      <c r="F4217" s="9" t="s">
        <v>3682</v>
      </c>
      <c r="H4217" s="20" t="str">
        <f t="shared" si="65"/>
        <v>(nextval('obj_part_id_seq'), (select id from obj_building_v where zip||'|'||street||'|'||name||'|'||volume = '8335|Oberdoftstrasse 21|Kiga Oberdorf|680.00'), 'P58', 3, 90, 2017,'D: Gibs, Holz\nW: Putz\nB: Linoleum, Karton/Holz (Estrich), Zement (Keller)'),</v>
      </c>
    </row>
    <row r="4218" spans="1:8" x14ac:dyDescent="0.25">
      <c r="A4218" s="9" t="s">
        <v>3671</v>
      </c>
      <c r="B4218" s="9" t="s">
        <v>1142</v>
      </c>
      <c r="C4218">
        <v>0</v>
      </c>
      <c r="D4218" t="s">
        <v>4080</v>
      </c>
      <c r="E4218">
        <v>2017</v>
      </c>
      <c r="F4218" s="9"/>
      <c r="H4218" s="20" t="str">
        <f t="shared" si="65"/>
        <v>(nextval('obj_part_id_seq'), (select id from obj_building_v where zip||'|'||street||'|'||name||'|'||volume = '8335|Oberdoftstrasse 21|Kiga Oberdorf|680.00'), 'P60', 0, null, 2017,null),</v>
      </c>
    </row>
    <row r="4219" spans="1:8" x14ac:dyDescent="0.25">
      <c r="A4219" s="9" t="s">
        <v>3671</v>
      </c>
      <c r="B4219" s="9" t="s">
        <v>1143</v>
      </c>
      <c r="C4219">
        <v>0</v>
      </c>
      <c r="D4219" t="s">
        <v>4080</v>
      </c>
      <c r="E4219">
        <v>2017</v>
      </c>
      <c r="F4219" s="9"/>
      <c r="H4219" s="20" t="str">
        <f t="shared" si="65"/>
        <v>(nextval('obj_part_id_seq'), (select id from obj_building_v where zip||'|'||street||'|'||name||'|'||volume = '8335|Oberdoftstrasse 21|Kiga Oberdorf|680.00'), 'P61', 0, null, 2017,null),</v>
      </c>
    </row>
    <row r="4220" spans="1:8" x14ac:dyDescent="0.25">
      <c r="A4220" s="9" t="s">
        <v>3671</v>
      </c>
      <c r="B4220" s="9" t="s">
        <v>1144</v>
      </c>
      <c r="C4220">
        <v>0</v>
      </c>
      <c r="D4220" t="s">
        <v>4080</v>
      </c>
      <c r="E4220">
        <v>2017</v>
      </c>
      <c r="F4220" s="9"/>
      <c r="H4220" s="20" t="str">
        <f t="shared" si="65"/>
        <v>(nextval('obj_part_id_seq'), (select id from obj_building_v where zip||'|'||street||'|'||name||'|'||volume = '8335|Oberdoftstrasse 21|Kiga Oberdorf|680.00'), 'P62', 0, null, 2017,null),</v>
      </c>
    </row>
    <row r="4221" spans="1:8" x14ac:dyDescent="0.25">
      <c r="A4221" s="9" t="s">
        <v>3683</v>
      </c>
      <c r="B4221" s="9" t="s">
        <v>1127</v>
      </c>
      <c r="C4221">
        <v>41</v>
      </c>
      <c r="D4221">
        <v>85</v>
      </c>
      <c r="E4221">
        <v>2015</v>
      </c>
      <c r="F4221" s="9" t="s">
        <v>3684</v>
      </c>
      <c r="H4221" s="20" t="str">
        <f t="shared" si="65"/>
        <v>(nextval('obj_part_id_seq'), (select id from obj_building_v where zip||'|'||street||'|'||name||'|'||volume = '8477|Hauptstrasse 15|Schulhaus|8114.00'), 'P48', 41, 85, 2015,'Mauerwerk, massiv (kleine Risse), Dachstuhl intakt'),</v>
      </c>
    </row>
    <row r="4222" spans="1:8" x14ac:dyDescent="0.25">
      <c r="A4222" s="9" t="s">
        <v>3683</v>
      </c>
      <c r="B4222" s="9" t="s">
        <v>1129</v>
      </c>
      <c r="C4222">
        <v>0</v>
      </c>
      <c r="D4222" t="s">
        <v>4080</v>
      </c>
      <c r="E4222">
        <v>2015</v>
      </c>
      <c r="F4222" s="9"/>
      <c r="H4222" s="20" t="str">
        <f t="shared" si="65"/>
        <v>(nextval('obj_part_id_seq'), (select id from obj_building_v where zip||'|'||street||'|'||name||'|'||volume = '8477|Hauptstrasse 15|Schulhaus|8114.00'), 'P49', 0, null, 2015,null),</v>
      </c>
    </row>
    <row r="4223" spans="1:8" x14ac:dyDescent="0.25">
      <c r="A4223" s="9" t="s">
        <v>3683</v>
      </c>
      <c r="B4223" s="9" t="s">
        <v>1097</v>
      </c>
      <c r="C4223">
        <v>7</v>
      </c>
      <c r="D4223">
        <v>20</v>
      </c>
      <c r="E4223">
        <v>2015</v>
      </c>
      <c r="F4223" s="9" t="s">
        <v>3685</v>
      </c>
      <c r="H4223" s="20" t="str">
        <f t="shared" si="65"/>
        <v>(nextval('obj_part_id_seq'), (select id from obj_building_v where zip||'|'||street||'|'||name||'|'||volume = '8477|Hauptstrasse 15|Schulhaus|8114.00'), 'P2', 7, 20, 2015,'Sparrendach mit Biberschwanzziegeleindeckung ohne Unterdach, Dachboden: Estrich gedämmt (''13), Dacheindeckung und Kehlboden schadhaft!'),</v>
      </c>
    </row>
    <row r="4224" spans="1:8" x14ac:dyDescent="0.25">
      <c r="A4224" s="9" t="s">
        <v>3683</v>
      </c>
      <c r="B4224" s="9" t="s">
        <v>1099</v>
      </c>
      <c r="C4224">
        <v>1</v>
      </c>
      <c r="D4224">
        <v>75</v>
      </c>
      <c r="E4224">
        <v>2015</v>
      </c>
      <c r="F4224" s="9" t="s">
        <v>3686</v>
      </c>
      <c r="H4224" s="20" t="str">
        <f t="shared" si="65"/>
        <v>(nextval('obj_part_id_seq'), (select id from obj_building_v where zip||'|'||street||'|'||name||'|'||volume = '8477|Hauptstrasse 15|Schulhaus|8114.00'), 'P3', 1, 75, 2015,'Nutzschicht: Zementplatten (Zwischenbau), Dichtigkeit im Anschluss an Fassade problematisch'),</v>
      </c>
    </row>
    <row r="4225" spans="1:8" x14ac:dyDescent="0.25">
      <c r="A4225" s="9" t="s">
        <v>3683</v>
      </c>
      <c r="B4225" s="9" t="s">
        <v>1100</v>
      </c>
      <c r="C4225">
        <v>7</v>
      </c>
      <c r="D4225">
        <v>80</v>
      </c>
      <c r="E4225">
        <v>2015</v>
      </c>
      <c r="F4225" s="9" t="s">
        <v>3687</v>
      </c>
      <c r="H4225" s="20" t="str">
        <f t="shared" si="65"/>
        <v>(nextval('obj_part_id_seq'), (select id from obj_building_v where zip||'|'||street||'|'||name||'|'||volume = '8477|Hauptstrasse 15|Schulhaus|8114.00'), 'P4', 7, 80, 2015,'Naturstein verputzt, Wassereintritt bei Fassade vor dem Flachdach, Pausenhalle wurde neu gestrichen'),</v>
      </c>
    </row>
    <row r="4226" spans="1:8" x14ac:dyDescent="0.25">
      <c r="A4226" s="9" t="s">
        <v>3683</v>
      </c>
      <c r="B4226" s="9" t="s">
        <v>1102</v>
      </c>
      <c r="C4226">
        <v>10</v>
      </c>
      <c r="D4226">
        <v>70</v>
      </c>
      <c r="E4226">
        <v>2015</v>
      </c>
      <c r="F4226" s="9" t="s">
        <v>3688</v>
      </c>
      <c r="H4226" s="20" t="str">
        <f t="shared" si="65"/>
        <v>(nextval('obj_part_id_seq'), (select id from obj_building_v where zip||'|'||street||'|'||name||'|'||volume = '8477|Hauptstrasse 15|Schulhaus|8114.00'), 'P5', 10, 70, 2015,'3-fach-Isolierverglasung, Holz-/Metallfenster mit Holzläden: undicht, auch akustisch und wärmetechnisch nicht in optimalem Zustand, Kunststein-Fensterbänke, Aussentüre Metall (''96) ist undicht'),</v>
      </c>
    </row>
    <row r="4227" spans="1:8" x14ac:dyDescent="0.25">
      <c r="A4227" s="9" t="s">
        <v>3683</v>
      </c>
      <c r="B4227" s="9" t="s">
        <v>1164</v>
      </c>
      <c r="C4227">
        <v>6</v>
      </c>
      <c r="D4227">
        <v>90</v>
      </c>
      <c r="E4227">
        <v>2015</v>
      </c>
      <c r="F4227" s="9" t="s">
        <v>3689</v>
      </c>
      <c r="H4227" s="20" t="str">
        <f t="shared" si="65"/>
        <v>(nextval('obj_part_id_seq'), (select id from obj_building_v where zip||'|'||street||'|'||name||'|'||volume = '8477|Hauptstrasse 15|Schulhaus|8114.00'), 'P50', 6, 90, 2015,'Sicherungen mit FI-Schutzschaltern, genügende Absicherung'),</v>
      </c>
    </row>
    <row r="4228" spans="1:8" x14ac:dyDescent="0.25">
      <c r="A4228" s="9" t="s">
        <v>3683</v>
      </c>
      <c r="B4228" s="9" t="s">
        <v>1166</v>
      </c>
      <c r="C4228">
        <v>1</v>
      </c>
      <c r="D4228">
        <v>70</v>
      </c>
      <c r="E4228">
        <v>2015</v>
      </c>
      <c r="F4228" s="9" t="s">
        <v>3690</v>
      </c>
      <c r="H4228" s="20" t="str">
        <f t="shared" si="65"/>
        <v>(nextval('obj_part_id_seq'), (select id from obj_building_v where zip||'|'||street||'|'||name||'|'||volume = '8477|Hauptstrasse 15|Schulhaus|8114.00'), 'P51', 1, 70, 2015,'EDV wird gemäss B. Frei erneuert, Telefon, Pausenglocke'),</v>
      </c>
    </row>
    <row r="4229" spans="1:8" x14ac:dyDescent="0.25">
      <c r="A4229" s="9" t="s">
        <v>3683</v>
      </c>
      <c r="B4229" s="9" t="s">
        <v>1104</v>
      </c>
      <c r="C4229">
        <v>1</v>
      </c>
      <c r="D4229">
        <v>90</v>
      </c>
      <c r="E4229">
        <v>2015</v>
      </c>
      <c r="F4229" s="9" t="s">
        <v>1235</v>
      </c>
      <c r="H4229" s="20" t="str">
        <f t="shared" ref="H4229:H4292" si="66">"(nextval('obj_part_id_seq'), (select id from obj_building_v where zip||'|'||street||'|'||name||'|'||volume = '"&amp;A4229&amp;"'), '"&amp;B4229&amp;"', "&amp;C4229&amp;", "&amp;D4229&amp;", "&amp;IF(ISBLANK(E4229),"null",E4229)&amp;","&amp;IF(ISBLANK(F4229),"null","'"&amp;F4229&amp;"'")&amp;"),"</f>
        <v>(nextval('obj_part_id_seq'), (select id from obj_building_v where zip||'|'||street||'|'||name||'|'||volume = '8477|Hauptstrasse 15|Schulhaus|8114.00'), 'P6', 1, 90, 2015,'Fernwärme'),</v>
      </c>
    </row>
    <row r="4230" spans="1:8" x14ac:dyDescent="0.25">
      <c r="A4230" s="9" t="s">
        <v>3683</v>
      </c>
      <c r="B4230" s="9" t="s">
        <v>1106</v>
      </c>
      <c r="C4230">
        <v>3</v>
      </c>
      <c r="D4230">
        <v>85</v>
      </c>
      <c r="E4230">
        <v>2015</v>
      </c>
      <c r="F4230" s="9" t="s">
        <v>3526</v>
      </c>
      <c r="H4230" s="20" t="str">
        <f t="shared" si="66"/>
        <v>(nextval('obj_part_id_seq'), (select id from obj_building_v where zip||'|'||street||'|'||name||'|'||volume = '8477|Hauptstrasse 15|Schulhaus|8114.00'), 'P7', 3, 85, 2015,'Radiatoren mit Thermostaten, Bodenheizung'),</v>
      </c>
    </row>
    <row r="4231" spans="1:8" x14ac:dyDescent="0.25">
      <c r="A4231" s="9" t="s">
        <v>3683</v>
      </c>
      <c r="B4231" s="9" t="s">
        <v>1108</v>
      </c>
      <c r="C4231">
        <v>4</v>
      </c>
      <c r="D4231">
        <v>80</v>
      </c>
      <c r="E4231">
        <v>2015</v>
      </c>
      <c r="F4231" s="9" t="s">
        <v>3691</v>
      </c>
      <c r="H4231" s="20" t="str">
        <f t="shared" si="66"/>
        <v>(nextval('obj_part_id_seq'), (select id from obj_building_v where zip||'|'||street||'|'||name||'|'||volume = '8477|Hauptstrasse 15|Schulhaus|8114.00'), 'P8', 4, 80, 2015,'Leitungen (''95/''96): keine Mängel bekannt'),</v>
      </c>
    </row>
    <row r="4232" spans="1:8" x14ac:dyDescent="0.25">
      <c r="A4232" s="9" t="s">
        <v>3683</v>
      </c>
      <c r="B4232" s="9" t="s">
        <v>1138</v>
      </c>
      <c r="C4232">
        <v>11</v>
      </c>
      <c r="D4232">
        <v>75</v>
      </c>
      <c r="E4232">
        <v>2015</v>
      </c>
      <c r="F4232" s="9" t="s">
        <v>3692</v>
      </c>
      <c r="H4232" s="20" t="str">
        <f t="shared" si="66"/>
        <v>(nextval('obj_part_id_seq'), (select id from obj_building_v where zip||'|'||street||'|'||name||'|'||volume = '8477|Hauptstrasse 15|Schulhaus|8114.00'), 'P57', 11, 75, 2015,'Einbauschränke, Arbeitssimse, Unterlagsboden Risse'),</v>
      </c>
    </row>
    <row r="4233" spans="1:8" x14ac:dyDescent="0.25">
      <c r="A4233" s="9" t="s">
        <v>3683</v>
      </c>
      <c r="B4233" s="9" t="s">
        <v>1140</v>
      </c>
      <c r="C4233">
        <v>8</v>
      </c>
      <c r="D4233">
        <v>85</v>
      </c>
      <c r="E4233">
        <v>2015</v>
      </c>
      <c r="F4233" s="9" t="s">
        <v>3693</v>
      </c>
      <c r="H4233" s="20" t="str">
        <f t="shared" si="66"/>
        <v>(nextval('obj_part_id_seq'), (select id from obj_building_v where zip||'|'||street||'|'||name||'|'||volume = '8477|Hauptstrasse 15|Schulhaus|8114.00'), 'P58', 8, 85, 2015,'B: Linol, PVC, Keramik, Parkett (z.T. Risse), Teppich (nur noch in einem Raum im DG), W: Verputz D: Gipsplatten, Verputz, Holz'),</v>
      </c>
    </row>
    <row r="4234" spans="1:8" x14ac:dyDescent="0.25">
      <c r="A4234" s="9" t="s">
        <v>3683</v>
      </c>
      <c r="B4234" s="9" t="s">
        <v>1142</v>
      </c>
      <c r="C4234">
        <v>0</v>
      </c>
      <c r="D4234" t="s">
        <v>4080</v>
      </c>
      <c r="E4234">
        <v>2015</v>
      </c>
      <c r="F4234" s="9"/>
      <c r="H4234" s="20" t="str">
        <f t="shared" si="66"/>
        <v>(nextval('obj_part_id_seq'), (select id from obj_building_v where zip||'|'||street||'|'||name||'|'||volume = '8477|Hauptstrasse 15|Schulhaus|8114.00'), 'P60', 0, null, 2015,null),</v>
      </c>
    </row>
    <row r="4235" spans="1:8" x14ac:dyDescent="0.25">
      <c r="A4235" s="9" t="s">
        <v>3683</v>
      </c>
      <c r="B4235" s="9" t="s">
        <v>1143</v>
      </c>
      <c r="C4235">
        <v>0</v>
      </c>
      <c r="D4235" t="s">
        <v>4080</v>
      </c>
      <c r="E4235">
        <v>2015</v>
      </c>
      <c r="F4235" s="9"/>
      <c r="H4235" s="20" t="str">
        <f t="shared" si="66"/>
        <v>(nextval('obj_part_id_seq'), (select id from obj_building_v where zip||'|'||street||'|'||name||'|'||volume = '8477|Hauptstrasse 15|Schulhaus|8114.00'), 'P61', 0, null, 2015,null),</v>
      </c>
    </row>
    <row r="4236" spans="1:8" x14ac:dyDescent="0.25">
      <c r="A4236" s="9" t="s">
        <v>3683</v>
      </c>
      <c r="B4236" s="9" t="s">
        <v>1144</v>
      </c>
      <c r="C4236">
        <v>0</v>
      </c>
      <c r="D4236" t="s">
        <v>4080</v>
      </c>
      <c r="E4236">
        <v>2015</v>
      </c>
      <c r="F4236" s="9"/>
      <c r="H4236" s="20" t="str">
        <f t="shared" si="66"/>
        <v>(nextval('obj_part_id_seq'), (select id from obj_building_v where zip||'|'||street||'|'||name||'|'||volume = '8477|Hauptstrasse 15|Schulhaus|8114.00'), 'P62', 0, null, 2015,null),</v>
      </c>
    </row>
    <row r="4237" spans="1:8" x14ac:dyDescent="0.25">
      <c r="A4237" s="9" t="s">
        <v>3694</v>
      </c>
      <c r="B4237" s="9" t="s">
        <v>1127</v>
      </c>
      <c r="C4237">
        <v>35</v>
      </c>
      <c r="D4237">
        <v>90</v>
      </c>
      <c r="E4237">
        <v>2013</v>
      </c>
      <c r="F4237" s="9" t="s">
        <v>3695</v>
      </c>
      <c r="H4237" s="20" t="str">
        <f t="shared" si="66"/>
        <v>(nextval('obj_part_id_seq'), (select id from obj_building_v where zip||'|'||street||'|'||name||'|'||volume = '8588|Kirchstrasse|Primarschulanlage Mehrzweckhalle|7217.00'), 'P48', 35, 90, 2013,'Stahlbeton, Mauerwerk und Holzbalkendecken, Holzschichtträger, Sichtbetonelemente'),</v>
      </c>
    </row>
    <row r="4238" spans="1:8" x14ac:dyDescent="0.25">
      <c r="A4238" s="9" t="s">
        <v>3694</v>
      </c>
      <c r="B4238" s="9" t="s">
        <v>1129</v>
      </c>
      <c r="C4238">
        <v>0</v>
      </c>
      <c r="D4238" t="s">
        <v>4080</v>
      </c>
      <c r="E4238">
        <v>2013</v>
      </c>
      <c r="F4238" s="9"/>
      <c r="H4238" s="20" t="str">
        <f t="shared" si="66"/>
        <v>(nextval('obj_part_id_seq'), (select id from obj_building_v where zip||'|'||street||'|'||name||'|'||volume = '8588|Kirchstrasse|Primarschulanlage Mehrzweckhalle|7217.00'), 'P49', 0, null, 2013,null),</v>
      </c>
    </row>
    <row r="4239" spans="1:8" x14ac:dyDescent="0.25">
      <c r="A4239" s="9" t="s">
        <v>3694</v>
      </c>
      <c r="B4239" s="9" t="s">
        <v>1097</v>
      </c>
      <c r="C4239">
        <v>13</v>
      </c>
      <c r="D4239">
        <v>90</v>
      </c>
      <c r="E4239">
        <v>2013</v>
      </c>
      <c r="F4239" s="9" t="s">
        <v>3696</v>
      </c>
      <c r="H4239" s="20" t="str">
        <f t="shared" si="66"/>
        <v>(nextval('obj_part_id_seq'), (select id from obj_building_v where zip||'|'||street||'|'||name||'|'||volume = '8588|Kirchstrasse|Primarschulanlage Mehrzweckhalle|7217.00'), 'P2', 13, 90, 2013,'Dach der Turnhalle tw. isoliert, Holzschindeln mit Falzziegeln. Boden isoliert mit Glaswolle'),</v>
      </c>
    </row>
    <row r="4240" spans="1:8" x14ac:dyDescent="0.25">
      <c r="A4240" s="9" t="s">
        <v>3694</v>
      </c>
      <c r="B4240" s="9" t="s">
        <v>1099</v>
      </c>
      <c r="C4240">
        <v>0</v>
      </c>
      <c r="D4240" t="s">
        <v>4080</v>
      </c>
      <c r="E4240">
        <v>2013</v>
      </c>
      <c r="F4240" s="9"/>
      <c r="H4240" s="20" t="str">
        <f t="shared" si="66"/>
        <v>(nextval('obj_part_id_seq'), (select id from obj_building_v where zip||'|'||street||'|'||name||'|'||volume = '8588|Kirchstrasse|Primarschulanlage Mehrzweckhalle|7217.00'), 'P3', 0, null, 2013,null),</v>
      </c>
    </row>
    <row r="4241" spans="1:8" x14ac:dyDescent="0.25">
      <c r="A4241" s="9" t="s">
        <v>3694</v>
      </c>
      <c r="B4241" s="9" t="s">
        <v>1100</v>
      </c>
      <c r="C4241">
        <v>6</v>
      </c>
      <c r="D4241">
        <v>85</v>
      </c>
      <c r="E4241">
        <v>2013</v>
      </c>
      <c r="F4241" s="9" t="s">
        <v>3697</v>
      </c>
      <c r="H4241" s="20" t="str">
        <f t="shared" si="66"/>
        <v>(nextval('obj_part_id_seq'), (select id from obj_building_v where zip||'|'||street||'|'||name||'|'||volume = '8588|Kirchstrasse|Primarschulanlage Mehrzweckhalle|7217.00'), 'P4', 6, 85, 2013,'Spritzputzfassade, gestrichen, im Sockelbereich verfärbt (ev. durch aufsteigende Feuchtigkeit)'),</v>
      </c>
    </row>
    <row r="4242" spans="1:8" x14ac:dyDescent="0.25">
      <c r="A4242" s="9" t="s">
        <v>3694</v>
      </c>
      <c r="B4242" s="9" t="s">
        <v>1102</v>
      </c>
      <c r="C4242">
        <v>8</v>
      </c>
      <c r="D4242">
        <v>90</v>
      </c>
      <c r="E4242">
        <v>2013</v>
      </c>
      <c r="F4242" s="9" t="s">
        <v>3698</v>
      </c>
      <c r="H4242" s="20" t="str">
        <f t="shared" si="66"/>
        <v>(nextval('obj_part_id_seq'), (select id from obj_building_v where zip||'|'||street||'|'||name||'|'||volume = '8588|Kirchstrasse|Primarschulanlage Mehrzweckhalle|7217.00'), 'P5', 8, 90, 2013,'Doppelverglasung (keine IV), Rafflamellen schwergängig, Aussentüre und Garagentor aus Holz/Metall'),</v>
      </c>
    </row>
    <row r="4243" spans="1:8" x14ac:dyDescent="0.25">
      <c r="A4243" s="9" t="s">
        <v>3694</v>
      </c>
      <c r="B4243" s="9" t="s">
        <v>1110</v>
      </c>
      <c r="C4243">
        <v>5</v>
      </c>
      <c r="D4243">
        <v>90</v>
      </c>
      <c r="E4243">
        <v>2013</v>
      </c>
      <c r="F4243" s="9" t="s">
        <v>3699</v>
      </c>
      <c r="H4243" s="20" t="str">
        <f t="shared" si="66"/>
        <v>(nextval('obj_part_id_seq'), (select id from obj_building_v where zip||'|'||street||'|'||name||'|'||volume = '8588|Kirchstrasse|Primarschulanlage Mehrzweckhalle|7217.00'), 'P9', 5, 90, 2013,'Genügende Absicherungen, FI-Schutzschalter, Audioanlage, Hallenbeleuchtung'),</v>
      </c>
    </row>
    <row r="4244" spans="1:8" x14ac:dyDescent="0.25">
      <c r="A4244" s="9" t="s">
        <v>3694</v>
      </c>
      <c r="B4244" s="9" t="s">
        <v>1104</v>
      </c>
      <c r="C4244">
        <v>0</v>
      </c>
      <c r="D4244" t="s">
        <v>4080</v>
      </c>
      <c r="E4244">
        <v>2013</v>
      </c>
      <c r="F4244" s="9" t="s">
        <v>1235</v>
      </c>
      <c r="H4244" s="20" t="str">
        <f t="shared" si="66"/>
        <v>(nextval('obj_part_id_seq'), (select id from obj_building_v where zip||'|'||street||'|'||name||'|'||volume = '8588|Kirchstrasse|Primarschulanlage Mehrzweckhalle|7217.00'), 'P6', 0, null, 2013,'Fernwärme'),</v>
      </c>
    </row>
    <row r="4245" spans="1:8" x14ac:dyDescent="0.25">
      <c r="A4245" s="9" t="s">
        <v>3694</v>
      </c>
      <c r="B4245" s="9" t="s">
        <v>1106</v>
      </c>
      <c r="C4245">
        <v>3</v>
      </c>
      <c r="D4245">
        <v>90</v>
      </c>
      <c r="E4245">
        <v>2013</v>
      </c>
      <c r="F4245" s="9" t="s">
        <v>3700</v>
      </c>
      <c r="H4245" s="20" t="str">
        <f t="shared" si="66"/>
        <v>(nextval('obj_part_id_seq'), (select id from obj_building_v where zip||'|'||street||'|'||name||'|'||volume = '8588|Kirchstrasse|Primarschulanlage Mehrzweckhalle|7217.00'), 'P7', 3, 90, 2013,'Bodenheizung, Radiatoren mit Thermostat'),</v>
      </c>
    </row>
    <row r="4246" spans="1:8" x14ac:dyDescent="0.25">
      <c r="A4246" s="9" t="s">
        <v>3694</v>
      </c>
      <c r="B4246" s="9" t="s">
        <v>1403</v>
      </c>
      <c r="C4246">
        <v>2</v>
      </c>
      <c r="D4246">
        <v>90</v>
      </c>
      <c r="E4246">
        <v>2013</v>
      </c>
      <c r="F4246" s="9" t="s">
        <v>3701</v>
      </c>
      <c r="H4246" s="20" t="str">
        <f t="shared" si="66"/>
        <v>(nextval('obj_part_id_seq'), (select id from obj_building_v where zip||'|'||street||'|'||name||'|'||volume = '8588|Kirchstrasse|Primarschulanlage Mehrzweckhalle|7217.00'), 'P52', 2, 90, 2013,'Verteilung in Garderobe und Küche. Abzug in Küche, WC und Duschräume.'),</v>
      </c>
    </row>
    <row r="4247" spans="1:8" x14ac:dyDescent="0.25">
      <c r="A4247" s="9" t="s">
        <v>3694</v>
      </c>
      <c r="B4247" s="9" t="s">
        <v>1404</v>
      </c>
      <c r="C4247">
        <v>2</v>
      </c>
      <c r="D4247">
        <v>90</v>
      </c>
      <c r="E4247">
        <v>2013</v>
      </c>
      <c r="F4247" s="9" t="s">
        <v>3702</v>
      </c>
      <c r="H4247" s="20" t="str">
        <f t="shared" si="66"/>
        <v>(nextval('obj_part_id_seq'), (select id from obj_building_v where zip||'|'||street||'|'||name||'|'||volume = '8588|Kirchstrasse|Primarschulanlage Mehrzweckhalle|7217.00'), 'P53', 2, 90, 2013,'Dito Zentrale lufttechnische Anlagen'),</v>
      </c>
    </row>
    <row r="4248" spans="1:8" x14ac:dyDescent="0.25">
      <c r="A4248" s="9" t="s">
        <v>3694</v>
      </c>
      <c r="B4248" s="9" t="s">
        <v>1135</v>
      </c>
      <c r="C4248">
        <v>2</v>
      </c>
      <c r="D4248">
        <v>85</v>
      </c>
      <c r="E4248">
        <v>2013</v>
      </c>
      <c r="F4248" s="9" t="s">
        <v>3703</v>
      </c>
      <c r="H4248" s="20" t="str">
        <f t="shared" si="66"/>
        <v>(nextval('obj_part_id_seq'), (select id from obj_building_v where zip||'|'||street||'|'||name||'|'||volume = '8588|Kirchstrasse|Primarschulanlage Mehrzweckhalle|7217.00'), 'P54', 2, 85, 2013,'Feuerlöschposten, Aussenanschlüsse (Schuhwaschstelle), Armaturen Duschen, bei Lavabos ohne Mischventile, Apparate'),</v>
      </c>
    </row>
    <row r="4249" spans="1:8" x14ac:dyDescent="0.25">
      <c r="A4249" s="9" t="s">
        <v>3694</v>
      </c>
      <c r="B4249" s="9" t="s">
        <v>1137</v>
      </c>
      <c r="C4249">
        <v>3</v>
      </c>
      <c r="D4249">
        <v>90</v>
      </c>
      <c r="E4249">
        <v>2013</v>
      </c>
      <c r="F4249" s="9" t="s">
        <v>3704</v>
      </c>
      <c r="H4249" s="20" t="str">
        <f t="shared" si="66"/>
        <v>(nextval('obj_part_id_seq'), (select id from obj_building_v where zip||'|'||street||'|'||name||'|'||volume = '8588|Kirchstrasse|Primarschulanlage Mehrzweckhalle|7217.00'), 'P55', 3, 90, 2013,'Genügneder Druck vorhanden'),</v>
      </c>
    </row>
    <row r="4250" spans="1:8" x14ac:dyDescent="0.25">
      <c r="A4250" s="9" t="s">
        <v>3694</v>
      </c>
      <c r="B4250" s="9" t="s">
        <v>1138</v>
      </c>
      <c r="C4250">
        <v>10</v>
      </c>
      <c r="D4250">
        <v>90</v>
      </c>
      <c r="E4250">
        <v>2013</v>
      </c>
      <c r="F4250" s="9" t="s">
        <v>3705</v>
      </c>
      <c r="H4250" s="20" t="str">
        <f t="shared" si="66"/>
        <v>(nextval('obj_part_id_seq'), (select id from obj_building_v where zip||'|'||street||'|'||name||'|'||volume = '8588|Kirchstrasse|Primarschulanlage Mehrzweckhalle|7217.00'), 'P57', 10, 90, 2013,'Windfang, Küche und Garderoben; kein vollständiges Abfliessen des Wassers, Kalkflecken in den Ecken, , Einbauschränke, Verdunklungsvorhang'),</v>
      </c>
    </row>
    <row r="4251" spans="1:8" x14ac:dyDescent="0.25">
      <c r="A4251" s="9" t="s">
        <v>3694</v>
      </c>
      <c r="B4251" s="9" t="s">
        <v>1140</v>
      </c>
      <c r="C4251">
        <v>11</v>
      </c>
      <c r="D4251">
        <v>90</v>
      </c>
      <c r="E4251">
        <v>2013</v>
      </c>
      <c r="F4251" s="9" t="s">
        <v>3706</v>
      </c>
      <c r="H4251" s="20" t="str">
        <f t="shared" si="66"/>
        <v>(nextval('obj_part_id_seq'), (select id from obj_building_v where zip||'|'||street||'|'||name||'|'||volume = '8588|Kirchstrasse|Primarschulanlage Mehrzweckhalle|7217.00'), 'P58', 11, 90, 2013,'B: Parkett, Kuststeinplatten, PU Turnhallenboden,'),</v>
      </c>
    </row>
    <row r="4252" spans="1:8" x14ac:dyDescent="0.25">
      <c r="A4252" s="9" t="s">
        <v>3694</v>
      </c>
      <c r="B4252" s="9" t="s">
        <v>1142</v>
      </c>
      <c r="C4252">
        <v>0</v>
      </c>
      <c r="D4252" t="s">
        <v>4080</v>
      </c>
      <c r="E4252">
        <v>2013</v>
      </c>
      <c r="F4252" s="9"/>
      <c r="H4252" s="20" t="str">
        <f t="shared" si="66"/>
        <v>(nextval('obj_part_id_seq'), (select id from obj_building_v where zip||'|'||street||'|'||name||'|'||volume = '8588|Kirchstrasse|Primarschulanlage Mehrzweckhalle|7217.00'), 'P60', 0, null, 2013,null),</v>
      </c>
    </row>
    <row r="4253" spans="1:8" x14ac:dyDescent="0.25">
      <c r="A4253" s="9" t="s">
        <v>3694</v>
      </c>
      <c r="B4253" s="9" t="s">
        <v>1143</v>
      </c>
      <c r="C4253">
        <v>0</v>
      </c>
      <c r="D4253" t="s">
        <v>4080</v>
      </c>
      <c r="E4253">
        <v>2013</v>
      </c>
      <c r="F4253" s="9"/>
      <c r="H4253" s="20" t="str">
        <f t="shared" si="66"/>
        <v>(nextval('obj_part_id_seq'), (select id from obj_building_v where zip||'|'||street||'|'||name||'|'||volume = '8588|Kirchstrasse|Primarschulanlage Mehrzweckhalle|7217.00'), 'P61', 0, null, 2013,null),</v>
      </c>
    </row>
    <row r="4254" spans="1:8" x14ac:dyDescent="0.25">
      <c r="A4254" s="9" t="s">
        <v>3694</v>
      </c>
      <c r="B4254" s="9" t="s">
        <v>1144</v>
      </c>
      <c r="C4254">
        <v>0</v>
      </c>
      <c r="D4254" t="s">
        <v>4080</v>
      </c>
      <c r="E4254">
        <v>2013</v>
      </c>
      <c r="F4254" s="9"/>
      <c r="H4254" s="20" t="str">
        <f t="shared" si="66"/>
        <v>(nextval('obj_part_id_seq'), (select id from obj_building_v where zip||'|'||street||'|'||name||'|'||volume = '8588|Kirchstrasse|Primarschulanlage Mehrzweckhalle|7217.00'), 'P62', 0, null, 2013,null),</v>
      </c>
    </row>
    <row r="4255" spans="1:8" x14ac:dyDescent="0.25">
      <c r="A4255" s="9" t="s">
        <v>3707</v>
      </c>
      <c r="B4255" s="9" t="s">
        <v>1127</v>
      </c>
      <c r="C4255">
        <v>29</v>
      </c>
      <c r="D4255">
        <v>85</v>
      </c>
      <c r="E4255">
        <v>2013</v>
      </c>
      <c r="F4255" s="9" t="s">
        <v>3708</v>
      </c>
      <c r="H4255" s="20" t="str">
        <f t="shared" si="66"/>
        <v>(nextval('obj_part_id_seq'), (select id from obj_building_v where zip||'|'||street||'|'||name||'|'||volume = '9220|Sandbänkli 5|Verwaltungsgebäude|2139.00'), 'P48', 29, 85, 2013,'KS UG, Mauerwerk, Holzbalkendecken, Hourdisdecken, Riss in Wand UG, Dachstuhl aus Holz (Feuchtigkeitsgehalt überpüfen), Eisenstützen beim Eingang'),</v>
      </c>
    </row>
    <row r="4256" spans="1:8" x14ac:dyDescent="0.25">
      <c r="A4256" s="9" t="s">
        <v>3707</v>
      </c>
      <c r="B4256" s="9" t="s">
        <v>1129</v>
      </c>
      <c r="C4256">
        <v>0</v>
      </c>
      <c r="D4256" t="s">
        <v>4080</v>
      </c>
      <c r="E4256">
        <v>2013</v>
      </c>
      <c r="F4256" s="9"/>
      <c r="H4256" s="20" t="str">
        <f t="shared" si="66"/>
        <v>(nextval('obj_part_id_seq'), (select id from obj_building_v where zip||'|'||street||'|'||name||'|'||volume = '9220|Sandbänkli 5|Verwaltungsgebäude|2139.00'), 'P49', 0, null, 2013,null),</v>
      </c>
    </row>
    <row r="4257" spans="1:8" x14ac:dyDescent="0.25">
      <c r="A4257" s="9" t="s">
        <v>3707</v>
      </c>
      <c r="B4257" s="9" t="s">
        <v>1097</v>
      </c>
      <c r="C4257">
        <v>10</v>
      </c>
      <c r="D4257">
        <v>85</v>
      </c>
      <c r="E4257">
        <v>2013</v>
      </c>
      <c r="F4257" s="9" t="s">
        <v>3709</v>
      </c>
      <c r="H4257" s="20" t="str">
        <f t="shared" si="66"/>
        <v>(nextval('obj_part_id_seq'), (select id from obj_building_v where zip||'|'||street||'|'||name||'|'||volume = '9220|Sandbänkli 5|Verwaltungsgebäude|2139.00'), 'P2', 10, 85, 2013,'Ausgebaut und isloliert mit Eternitschindeln, Kupferblechen, Dachflächenfenster, Untersichten i.O.'),</v>
      </c>
    </row>
    <row r="4258" spans="1:8" x14ac:dyDescent="0.25">
      <c r="A4258" s="9" t="s">
        <v>3707</v>
      </c>
      <c r="B4258" s="9" t="s">
        <v>1099</v>
      </c>
      <c r="C4258">
        <v>1</v>
      </c>
      <c r="D4258">
        <v>80</v>
      </c>
      <c r="E4258">
        <v>2013</v>
      </c>
      <c r="F4258" s="9" t="s">
        <v>3710</v>
      </c>
      <c r="H4258" s="20" t="str">
        <f t="shared" si="66"/>
        <v>(nextval('obj_part_id_seq'), (select id from obj_building_v where zip||'|'||street||'|'||name||'|'||volume = '9220|Sandbänkli 5|Verwaltungsgebäude|2139.00'), 'P3', 1, 80, 2013,'Terrasse mit Natursteinplatten'),</v>
      </c>
    </row>
    <row r="4259" spans="1:8" x14ac:dyDescent="0.25">
      <c r="A4259" s="9" t="s">
        <v>3707</v>
      </c>
      <c r="B4259" s="9" t="s">
        <v>1100</v>
      </c>
      <c r="C4259">
        <v>8</v>
      </c>
      <c r="D4259">
        <v>90</v>
      </c>
      <c r="E4259">
        <v>2013</v>
      </c>
      <c r="F4259" s="9" t="s">
        <v>3711</v>
      </c>
      <c r="H4259" s="20" t="str">
        <f t="shared" si="66"/>
        <v>(nextval('obj_part_id_seq'), (select id from obj_building_v where zip||'|'||street||'|'||name||'|'||volume = '9220|Sandbänkli 5|Verwaltungsgebäude|2139.00'), 'P4', 8, 90, 2013,'Natursteinsockel und Putz'),</v>
      </c>
    </row>
    <row r="4260" spans="1:8" x14ac:dyDescent="0.25">
      <c r="A4260" s="9" t="s">
        <v>3707</v>
      </c>
      <c r="B4260" s="9" t="s">
        <v>1102</v>
      </c>
      <c r="C4260">
        <v>14</v>
      </c>
      <c r="D4260">
        <v>85</v>
      </c>
      <c r="E4260">
        <v>2013</v>
      </c>
      <c r="F4260" s="9" t="s">
        <v>3712</v>
      </c>
      <c r="H4260" s="20" t="str">
        <f t="shared" si="66"/>
        <v>(nextval('obj_part_id_seq'), (select id from obj_building_v where zip||'|'||street||'|'||name||'|'||volume = '9220|Sandbänkli 5|Verwaltungsgebäude|2139.00'), 'P5', 14, 85, 2013,'3 x Isolierverglasung 2013, Holzrollläden, Aussentüren aus Holz mit Glaseinsätzen'),</v>
      </c>
    </row>
    <row r="4261" spans="1:8" x14ac:dyDescent="0.25">
      <c r="A4261" s="9" t="s">
        <v>3707</v>
      </c>
      <c r="B4261" s="9" t="s">
        <v>1164</v>
      </c>
      <c r="C4261">
        <v>6</v>
      </c>
      <c r="D4261">
        <v>85</v>
      </c>
      <c r="E4261">
        <v>2013</v>
      </c>
      <c r="F4261" s="9" t="s">
        <v>3713</v>
      </c>
      <c r="H4261" s="20" t="str">
        <f t="shared" si="66"/>
        <v>(nextval('obj_part_id_seq'), (select id from obj_building_v where zip||'|'||street||'|'||name||'|'||volume = '9220|Sandbänkli 5|Verwaltungsgebäude|2139.00'), 'P50', 6, 85, 2013,'Beleuchtung und Aufputztableau (Asbestverdacht), alte Keramiksicherungen vorh.'),</v>
      </c>
    </row>
    <row r="4262" spans="1:8" x14ac:dyDescent="0.25">
      <c r="A4262" s="9" t="s">
        <v>3707</v>
      </c>
      <c r="B4262" s="9" t="s">
        <v>1166</v>
      </c>
      <c r="C4262">
        <v>2</v>
      </c>
      <c r="D4262">
        <v>90</v>
      </c>
      <c r="E4262">
        <v>2013</v>
      </c>
      <c r="F4262" s="9" t="s">
        <v>3714</v>
      </c>
      <c r="H4262" s="20" t="str">
        <f t="shared" si="66"/>
        <v>(nextval('obj_part_id_seq'), (select id from obj_building_v where zip||'|'||street||'|'||name||'|'||volume = '9220|Sandbänkli 5|Verwaltungsgebäude|2139.00'), 'P51', 2, 90, 2013,'EDV, Drucker und Telefon'),</v>
      </c>
    </row>
    <row r="4263" spans="1:8" x14ac:dyDescent="0.25">
      <c r="A4263" s="9" t="s">
        <v>3707</v>
      </c>
      <c r="B4263" s="9" t="s">
        <v>1104</v>
      </c>
      <c r="C4263">
        <v>1</v>
      </c>
      <c r="D4263">
        <v>80</v>
      </c>
      <c r="E4263">
        <v>2013</v>
      </c>
      <c r="F4263" s="9" t="s">
        <v>3715</v>
      </c>
      <c r="H4263" s="20" t="str">
        <f t="shared" si="66"/>
        <v>(nextval('obj_part_id_seq'), (select id from obj_building_v where zip||'|'||street||'|'||name||'|'||volume = '9220|Sandbänkli 5|Verwaltungsgebäude|2139.00'), 'P6', 1, 80, 2013,'Ölheizung vom Jahr ''68'),</v>
      </c>
    </row>
    <row r="4264" spans="1:8" x14ac:dyDescent="0.25">
      <c r="A4264" s="9" t="s">
        <v>3707</v>
      </c>
      <c r="B4264" s="9" t="s">
        <v>1106</v>
      </c>
      <c r="C4264">
        <v>3</v>
      </c>
      <c r="D4264">
        <v>80</v>
      </c>
      <c r="E4264">
        <v>2013</v>
      </c>
      <c r="F4264" s="9" t="s">
        <v>1107</v>
      </c>
      <c r="H4264" s="20" t="str">
        <f t="shared" si="66"/>
        <v>(nextval('obj_part_id_seq'), (select id from obj_building_v where zip||'|'||street||'|'||name||'|'||volume = '9220|Sandbänkli 5|Verwaltungsgebäude|2139.00'), 'P7', 3, 80, 2013,'Radiatoren mit Thermostaten'),</v>
      </c>
    </row>
    <row r="4265" spans="1:8" x14ac:dyDescent="0.25">
      <c r="A4265" s="9" t="s">
        <v>3707</v>
      </c>
      <c r="B4265" s="9" t="s">
        <v>1108</v>
      </c>
      <c r="C4265">
        <v>4</v>
      </c>
      <c r="D4265">
        <v>90</v>
      </c>
      <c r="E4265">
        <v>2013</v>
      </c>
      <c r="F4265" s="9" t="s">
        <v>3716</v>
      </c>
      <c r="H4265" s="20" t="str">
        <f t="shared" si="66"/>
        <v>(nextval('obj_part_id_seq'), (select id from obj_building_v where zip||'|'||street||'|'||name||'|'||volume = '9220|Sandbänkli 5|Verwaltungsgebäude|2139.00'), 'P8', 4, 90, 2013,'Boiler, Entfeuchtungsgerät im UG'),</v>
      </c>
    </row>
    <row r="4266" spans="1:8" x14ac:dyDescent="0.25">
      <c r="A4266" s="9" t="s">
        <v>3707</v>
      </c>
      <c r="B4266" s="9" t="s">
        <v>1155</v>
      </c>
      <c r="C4266">
        <v>0</v>
      </c>
      <c r="D4266" t="s">
        <v>4080</v>
      </c>
      <c r="E4266">
        <v>2013</v>
      </c>
      <c r="F4266" s="9"/>
      <c r="H4266" s="20" t="str">
        <f t="shared" si="66"/>
        <v>(nextval('obj_part_id_seq'), (select id from obj_building_v where zip||'|'||street||'|'||name||'|'||volume = '9220|Sandbänkli 5|Verwaltungsgebäude|2139.00'), 'P56', 0, null, 2013,null),</v>
      </c>
    </row>
    <row r="4267" spans="1:8" x14ac:dyDescent="0.25">
      <c r="A4267" s="9" t="s">
        <v>3707</v>
      </c>
      <c r="B4267" s="9" t="s">
        <v>1138</v>
      </c>
      <c r="C4267">
        <v>14</v>
      </c>
      <c r="D4267">
        <v>90</v>
      </c>
      <c r="E4267">
        <v>2013</v>
      </c>
      <c r="F4267" s="9" t="s">
        <v>3717</v>
      </c>
      <c r="H4267" s="20" t="str">
        <f t="shared" si="66"/>
        <v>(nextval('obj_part_id_seq'), (select id from obj_building_v where zip||'|'||street||'|'||name||'|'||volume = '9220|Sandbänkli 5|Verwaltungsgebäude|2139.00'), 'P57', 14, 90, 2013,'Einbauschränke, Garderobe, Sitzecke und spez. Schreinerarbeiten, Innentüren aus Holz mit Glaseinsätzen'),</v>
      </c>
    </row>
    <row r="4268" spans="1:8" x14ac:dyDescent="0.25">
      <c r="A4268" s="9" t="s">
        <v>3707</v>
      </c>
      <c r="B4268" s="9" t="s">
        <v>1140</v>
      </c>
      <c r="C4268">
        <v>8</v>
      </c>
      <c r="D4268">
        <v>80</v>
      </c>
      <c r="E4268">
        <v>2013</v>
      </c>
      <c r="F4268" s="9" t="s">
        <v>3718</v>
      </c>
      <c r="H4268" s="20" t="str">
        <f t="shared" si="66"/>
        <v>(nextval('obj_part_id_seq'), (select id from obj_building_v where zip||'|'||street||'|'||name||'|'||volume = '9220|Sandbänkli 5|Verwaltungsgebäude|2139.00'), 'P58', 8, 80, 2013,'B: Mosaik, Linol, Estrichboden Holz, Kokosfaser- und Kugelgarnteppich und Textil W: div. Holzverkleidungen, Textilverkleidung und Putz (tw. Risse) D: Täfer, Akustikdecken und Putz (tw. mit Stukkaturen)'),</v>
      </c>
    </row>
    <row r="4269" spans="1:8" x14ac:dyDescent="0.25">
      <c r="A4269" s="9" t="s">
        <v>3707</v>
      </c>
      <c r="B4269" s="9" t="s">
        <v>1142</v>
      </c>
      <c r="C4269">
        <v>0</v>
      </c>
      <c r="D4269" t="s">
        <v>4080</v>
      </c>
      <c r="E4269">
        <v>2013</v>
      </c>
      <c r="F4269" s="9"/>
      <c r="H4269" s="20" t="str">
        <f t="shared" si="66"/>
        <v>(nextval('obj_part_id_seq'), (select id from obj_building_v where zip||'|'||street||'|'||name||'|'||volume = '9220|Sandbänkli 5|Verwaltungsgebäude|2139.00'), 'P60', 0, null, 2013,null),</v>
      </c>
    </row>
    <row r="4270" spans="1:8" x14ac:dyDescent="0.25">
      <c r="A4270" s="9" t="s">
        <v>3707</v>
      </c>
      <c r="B4270" s="9" t="s">
        <v>1143</v>
      </c>
      <c r="C4270">
        <v>0</v>
      </c>
      <c r="D4270" t="s">
        <v>4080</v>
      </c>
      <c r="E4270">
        <v>2013</v>
      </c>
      <c r="F4270" s="9"/>
      <c r="H4270" s="20" t="str">
        <f t="shared" si="66"/>
        <v>(nextval('obj_part_id_seq'), (select id from obj_building_v where zip||'|'||street||'|'||name||'|'||volume = '9220|Sandbänkli 5|Verwaltungsgebäude|2139.00'), 'P61', 0, null, 2013,null),</v>
      </c>
    </row>
    <row r="4271" spans="1:8" x14ac:dyDescent="0.25">
      <c r="A4271" s="9" t="s">
        <v>3707</v>
      </c>
      <c r="B4271" s="9" t="s">
        <v>1144</v>
      </c>
      <c r="C4271">
        <v>0</v>
      </c>
      <c r="D4271" t="s">
        <v>4080</v>
      </c>
      <c r="E4271">
        <v>2013</v>
      </c>
      <c r="F4271" s="9"/>
      <c r="H4271" s="20" t="str">
        <f t="shared" si="66"/>
        <v>(nextval('obj_part_id_seq'), (select id from obj_building_v where zip||'|'||street||'|'||name||'|'||volume = '9220|Sandbänkli 5|Verwaltungsgebäude|2139.00'), 'P62', 0, null, 2013,null),</v>
      </c>
    </row>
    <row r="4272" spans="1:8" x14ac:dyDescent="0.25">
      <c r="A4272" s="9" t="s">
        <v>3719</v>
      </c>
      <c r="B4272" s="9" t="s">
        <v>1127</v>
      </c>
      <c r="C4272">
        <v>25</v>
      </c>
      <c r="D4272">
        <v>90</v>
      </c>
      <c r="E4272">
        <v>2014</v>
      </c>
      <c r="F4272" s="9" t="s">
        <v>3720</v>
      </c>
      <c r="H4272" s="20" t="str">
        <f t="shared" si="66"/>
        <v>(nextval('obj_part_id_seq'), (select id from obj_building_v where zip||'|'||street||'|'||name||'|'||volume = '8022|Fraumünsterstrasse 8 und Stadthausquai 3,5,7|SNB|30260.00'), 'P48', 25, 90, 2014,'Beton, Mauerwerk, Treppen aus Naturstein und Beton im EG, beim Ausgang tw. beschädigt'),</v>
      </c>
    </row>
    <row r="4273" spans="1:8" x14ac:dyDescent="0.25">
      <c r="A4273" s="9" t="s">
        <v>3719</v>
      </c>
      <c r="B4273" s="9" t="s">
        <v>1129</v>
      </c>
      <c r="C4273">
        <v>0</v>
      </c>
      <c r="D4273" t="s">
        <v>4080</v>
      </c>
      <c r="E4273">
        <v>2014</v>
      </c>
      <c r="F4273" s="9"/>
      <c r="H4273" s="20" t="str">
        <f t="shared" si="66"/>
        <v>(nextval('obj_part_id_seq'), (select id from obj_building_v where zip||'|'||street||'|'||name||'|'||volume = '8022|Fraumünsterstrasse 8 und Stadthausquai 3,5,7|SNB|30260.00'), 'P49', 0, null, 2014,null),</v>
      </c>
    </row>
    <row r="4274" spans="1:8" x14ac:dyDescent="0.25">
      <c r="A4274" s="9" t="s">
        <v>3719</v>
      </c>
      <c r="B4274" s="9" t="s">
        <v>1097</v>
      </c>
      <c r="C4274">
        <v>4</v>
      </c>
      <c r="D4274">
        <v>90</v>
      </c>
      <c r="E4274">
        <v>2014</v>
      </c>
      <c r="F4274" s="9" t="s">
        <v>3721</v>
      </c>
      <c r="H4274" s="20" t="str">
        <f t="shared" si="66"/>
        <v>(nextval('obj_part_id_seq'), (select id from obj_building_v where zip||'|'||street||'|'||name||'|'||volume = '8022|Fraumünsterstrasse 8 und Stadthausquai 3,5,7|SNB|30260.00'), 'P2', 4, 90, 2014,'Kupferblechdächer mit Doppelstehpfalz, Schiefer- und Eternitschindeldächer, Glasdächer verschmutzt'),</v>
      </c>
    </row>
    <row r="4275" spans="1:8" x14ac:dyDescent="0.25">
      <c r="A4275" s="9" t="s">
        <v>3719</v>
      </c>
      <c r="B4275" s="9" t="s">
        <v>1099</v>
      </c>
      <c r="C4275">
        <v>1</v>
      </c>
      <c r="D4275">
        <v>90</v>
      </c>
      <c r="E4275">
        <v>2014</v>
      </c>
      <c r="F4275" s="9" t="s">
        <v>3722</v>
      </c>
      <c r="H4275" s="20" t="str">
        <f t="shared" si="66"/>
        <v>(nextval('obj_part_id_seq'), (select id from obj_building_v where zip||'|'||street||'|'||name||'|'||volume = '8022|Fraumünsterstrasse 8 und Stadthausquai 3,5,7|SNB|30260.00'), 'P3', 1, 90, 2014,'Dachterrassen mit Zementplatten'),</v>
      </c>
    </row>
    <row r="4276" spans="1:8" x14ac:dyDescent="0.25">
      <c r="A4276" s="9" t="s">
        <v>3719</v>
      </c>
      <c r="B4276" s="9" t="s">
        <v>1100</v>
      </c>
      <c r="C4276">
        <v>13</v>
      </c>
      <c r="D4276">
        <v>85</v>
      </c>
      <c r="E4276">
        <v>2014</v>
      </c>
      <c r="F4276" s="9" t="s">
        <v>3723</v>
      </c>
      <c r="H4276" s="20" t="str">
        <f t="shared" si="66"/>
        <v>(nextval('obj_part_id_seq'), (select id from obj_building_v where zip||'|'||street||'|'||name||'|'||volume = '8022|Fraumünsterstrasse 8 und Stadthausquai 3,5,7|SNB|30260.00'), 'P4', 13, 85, 2014,'Balustraden nicht absturzsicher (zu niedrig), Fassade aus Sandstein'),</v>
      </c>
    </row>
    <row r="4277" spans="1:8" x14ac:dyDescent="0.25">
      <c r="A4277" s="9" t="s">
        <v>3719</v>
      </c>
      <c r="B4277" s="9" t="s">
        <v>1102</v>
      </c>
      <c r="C4277">
        <v>8</v>
      </c>
      <c r="D4277">
        <v>80</v>
      </c>
      <c r="E4277">
        <v>2014</v>
      </c>
      <c r="F4277" s="9" t="s">
        <v>3724</v>
      </c>
      <c r="H4277" s="20" t="str">
        <f t="shared" si="66"/>
        <v>(nextval('obj_part_id_seq'), (select id from obj_building_v where zip||'|'||street||'|'||name||'|'||volume = '8022|Fraumünsterstrasse 8 und Stadthausquai 3,5,7|SNB|30260.00'), 'P5', 8, 80, 2014,'Metallfenster (''99), Holzmetallfenster (''07), Fenster zum Hof älter (''70er/''80er-Jahre), innere Verdunklung und Rafflamellen. Verglaste Aussentüre und tw. original erhaltene Türen.'),</v>
      </c>
    </row>
    <row r="4278" spans="1:8" x14ac:dyDescent="0.25">
      <c r="A4278" s="9" t="s">
        <v>3719</v>
      </c>
      <c r="B4278" s="9" t="s">
        <v>1164</v>
      </c>
      <c r="C4278">
        <v>9</v>
      </c>
      <c r="D4278">
        <v>80</v>
      </c>
      <c r="E4278">
        <v>2014</v>
      </c>
      <c r="F4278" s="9" t="s">
        <v>3725</v>
      </c>
      <c r="H4278" s="20" t="str">
        <f t="shared" si="66"/>
        <v>(nextval('obj_part_id_seq'), (select id from obj_building_v where zip||'|'||street||'|'||name||'|'||volume = '8022|Fraumünsterstrasse 8 und Stadthausquai 3,5,7|SNB|30260.00'), 'P50', 9, 80, 2014,'Beleuchtung tw. nicht mehr zeitgemäss, tw. schadhaft. Hauptverteilungen und Unterverteilungen sind intakt, keine FI-Schutzschalter vorhanden (entsprechen nicht den heutigen Normen), Absicherungen: ungenügende Reserven für weiteren Ausbau, Notlichtanlage'),</v>
      </c>
    </row>
    <row r="4279" spans="1:8" x14ac:dyDescent="0.25">
      <c r="A4279" s="9" t="s">
        <v>3719</v>
      </c>
      <c r="B4279" s="9" t="s">
        <v>1166</v>
      </c>
      <c r="C4279">
        <v>8</v>
      </c>
      <c r="D4279">
        <v>85</v>
      </c>
      <c r="E4279">
        <v>2014</v>
      </c>
      <c r="F4279" s="9" t="s">
        <v>3726</v>
      </c>
      <c r="H4279" s="20" t="str">
        <f t="shared" si="66"/>
        <v>(nextval('obj_part_id_seq'), (select id from obj_building_v where zip||'|'||street||'|'||name||'|'||volume = '8022|Fraumünsterstrasse 8 und Stadthausquai 3,5,7|SNB|30260.00'), 'P51', 8, 85, 2014,'Audio-, Brandmelde- und EDV-Anlagen (Server und Leitungen/Anschlüsse), Telefonie, Einbruchmeldeanlage (Intrusionsanlage), Zutrittskontrollsystem, Wächterfunk, Störmeldesystem, Evakuationsanlage, Videoüberwachungsanlage, Radio/TV, MSR'),</v>
      </c>
    </row>
    <row r="4280" spans="1:8" x14ac:dyDescent="0.25">
      <c r="A4280" s="9" t="s">
        <v>3719</v>
      </c>
      <c r="B4280" s="9" t="s">
        <v>1104</v>
      </c>
      <c r="C4280">
        <v>1</v>
      </c>
      <c r="D4280">
        <v>50</v>
      </c>
      <c r="E4280">
        <v>2014</v>
      </c>
      <c r="F4280" s="9" t="s">
        <v>3727</v>
      </c>
      <c r="H4280" s="20" t="str">
        <f t="shared" si="66"/>
        <v>(nextval('obj_part_id_seq'), (select id from obj_building_v where zip||'|'||street||'|'||name||'|'||volume = '8022|Fraumünsterstrasse 8 und Stadthausquai 3,5,7|SNB|30260.00'), 'P6', 1, 50, 2014,'Bivalente Oel-/Gasheizung (Oelheizung ''92)'),</v>
      </c>
    </row>
    <row r="4281" spans="1:8" x14ac:dyDescent="0.25">
      <c r="A4281" s="9" t="s">
        <v>3719</v>
      </c>
      <c r="B4281" s="9" t="s">
        <v>1106</v>
      </c>
      <c r="C4281">
        <v>2</v>
      </c>
      <c r="D4281">
        <v>90</v>
      </c>
      <c r="E4281">
        <v>2014</v>
      </c>
      <c r="F4281" s="9" t="s">
        <v>1107</v>
      </c>
      <c r="H4281" s="20" t="str">
        <f t="shared" si="66"/>
        <v>(nextval('obj_part_id_seq'), (select id from obj_building_v where zip||'|'||street||'|'||name||'|'||volume = '8022|Fraumünsterstrasse 8 und Stadthausquai 3,5,7|SNB|30260.00'), 'P7', 2, 90, 2014,'Radiatoren mit Thermostaten'),</v>
      </c>
    </row>
    <row r="4282" spans="1:8" x14ac:dyDescent="0.25">
      <c r="A4282" s="9" t="s">
        <v>3719</v>
      </c>
      <c r="B4282" s="9" t="s">
        <v>1403</v>
      </c>
      <c r="C4282">
        <v>2</v>
      </c>
      <c r="D4282">
        <v>85</v>
      </c>
      <c r="E4282">
        <v>2014</v>
      </c>
      <c r="F4282" s="9" t="s">
        <v>3728</v>
      </c>
      <c r="H4282" s="20" t="str">
        <f t="shared" si="66"/>
        <v>(nextval('obj_part_id_seq'), (select id from obj_building_v where zip||'|'||street||'|'||name||'|'||volume = '8022|Fraumünsterstrasse 8 und Stadthausquai 3,5,7|SNB|30260.00'), 'P52', 2, 85, 2014,'Entlüftung Hof defekt, Lüftungsanlage ca. 10-jährig, Ersatzteile für Steuerung nicht mehr erhältlich'),</v>
      </c>
    </row>
    <row r="4283" spans="1:8" x14ac:dyDescent="0.25">
      <c r="A4283" s="9" t="s">
        <v>3719</v>
      </c>
      <c r="B4283" s="9" t="s">
        <v>1404</v>
      </c>
      <c r="C4283">
        <v>2</v>
      </c>
      <c r="D4283">
        <v>85</v>
      </c>
      <c r="E4283">
        <v>2014</v>
      </c>
      <c r="F4283" s="9" t="s">
        <v>3729</v>
      </c>
      <c r="H4283" s="20" t="str">
        <f t="shared" si="66"/>
        <v>(nextval('obj_part_id_seq'), (select id from obj_building_v where zip||'|'||street||'|'||name||'|'||volume = '8022|Fraumünsterstrasse 8 und Stadthausquai 3,5,7|SNB|30260.00'), 'P53', 2, 85, 2014,'Lüftungskanäle und -gitter intakt, keine Mängel bekannt'),</v>
      </c>
    </row>
    <row r="4284" spans="1:8" x14ac:dyDescent="0.25">
      <c r="A4284" s="9" t="s">
        <v>3719</v>
      </c>
      <c r="B4284" s="9" t="s">
        <v>1108</v>
      </c>
      <c r="C4284">
        <v>4</v>
      </c>
      <c r="D4284">
        <v>90</v>
      </c>
      <c r="E4284">
        <v>2014</v>
      </c>
      <c r="F4284" s="9" t="s">
        <v>3730</v>
      </c>
      <c r="H4284" s="20" t="str">
        <f t="shared" si="66"/>
        <v>(nextval('obj_part_id_seq'), (select id from obj_building_v where zip||'|'||street||'|'||name||'|'||volume = '8022|Fraumünsterstrasse 8 und Stadthausquai 3,5,7|SNB|30260.00'), 'P8', 4, 90, 2014,'Leitungsnetze, Apparate und Armaturen'),</v>
      </c>
    </row>
    <row r="4285" spans="1:8" x14ac:dyDescent="0.25">
      <c r="A4285" s="9" t="s">
        <v>3719</v>
      </c>
      <c r="B4285" s="9" t="s">
        <v>1155</v>
      </c>
      <c r="C4285">
        <v>2</v>
      </c>
      <c r="D4285">
        <v>90</v>
      </c>
      <c r="E4285">
        <v>2014</v>
      </c>
      <c r="F4285" s="9" t="s">
        <v>3731</v>
      </c>
      <c r="H4285" s="20" t="str">
        <f t="shared" si="66"/>
        <v>(nextval('obj_part_id_seq'), (select id from obj_building_v where zip||'|'||street||'|'||name||'|'||volume = '8022|Fraumünsterstrasse 8 und Stadthausquai 3,5,7|SNB|30260.00'), 'P56', 2, 90, 2014,'Personenaufzüge alle mit inneren Lifttüren'),</v>
      </c>
    </row>
    <row r="4286" spans="1:8" x14ac:dyDescent="0.25">
      <c r="A4286" s="9" t="s">
        <v>3719</v>
      </c>
      <c r="B4286" s="9" t="s">
        <v>1138</v>
      </c>
      <c r="C4286">
        <v>13</v>
      </c>
      <c r="D4286">
        <v>80</v>
      </c>
      <c r="E4286">
        <v>2014</v>
      </c>
      <c r="F4286" s="9" t="s">
        <v>3732</v>
      </c>
      <c r="H4286" s="20" t="str">
        <f t="shared" si="66"/>
        <v>(nextval('obj_part_id_seq'), (select id from obj_building_v where zip||'|'||street||'|'||name||'|'||volume = '8022|Fraumünsterstrasse 8 und Stadthausquai 3,5,7|SNB|30260.00'), 'P57', 13, 80, 2014,'Innenwand UG: örtliche Abplatzungen des Putzes wegen aufsteigender Feuchtigkeit, innere Verglasungen (schadhaft: blind), Stuckdecken, Geländer (nicht absturzsicher), Archive, Einbauten aus Holz, Holzverkleidungen bei Fenstern tw. mit Rissen'),</v>
      </c>
    </row>
    <row r="4287" spans="1:8" x14ac:dyDescent="0.25">
      <c r="A4287" s="9" t="s">
        <v>3719</v>
      </c>
      <c r="B4287" s="9" t="s">
        <v>1140</v>
      </c>
      <c r="C4287">
        <v>6</v>
      </c>
      <c r="D4287">
        <v>85</v>
      </c>
      <c r="E4287">
        <v>2014</v>
      </c>
      <c r="F4287" s="9" t="s">
        <v>3733</v>
      </c>
      <c r="H4287" s="20" t="str">
        <f t="shared" si="66"/>
        <v>(nextval('obj_part_id_seq'), (select id from obj_building_v where zip||'|'||street||'|'||name||'|'||volume = '8022|Fraumünsterstrasse 8 und Stadthausquai 3,5,7|SNB|30260.00'), 'P58', 6, 85, 2014,'Eingang:Riss in der Gipswand, Fuge im Marmorboden im Foyer (vor 14 Jahren  Wasserschaden 15cm), mangelhafte Platten mit Fugen beim Ausgang WC, Büro: Dilatationsfuge im Parkett, Beim Durchgang auf Decke &amp; Boden Feuchtigkeits- und Schimmelpilzfl.'),</v>
      </c>
    </row>
    <row r="4288" spans="1:8" x14ac:dyDescent="0.25">
      <c r="A4288" s="9" t="s">
        <v>3719</v>
      </c>
      <c r="B4288" s="9" t="s">
        <v>1142</v>
      </c>
      <c r="C4288">
        <v>0</v>
      </c>
      <c r="D4288" t="s">
        <v>4080</v>
      </c>
      <c r="E4288">
        <v>2014</v>
      </c>
      <c r="F4288" s="9"/>
      <c r="H4288" s="20" t="str">
        <f t="shared" si="66"/>
        <v>(nextval('obj_part_id_seq'), (select id from obj_building_v where zip||'|'||street||'|'||name||'|'||volume = '8022|Fraumünsterstrasse 8 und Stadthausquai 3,5,7|SNB|30260.00'), 'P60', 0, null, 2014,null),</v>
      </c>
    </row>
    <row r="4289" spans="1:8" x14ac:dyDescent="0.25">
      <c r="A4289" s="9" t="s">
        <v>3719</v>
      </c>
      <c r="B4289" s="9" t="s">
        <v>1143</v>
      </c>
      <c r="C4289">
        <v>0</v>
      </c>
      <c r="D4289" t="s">
        <v>4080</v>
      </c>
      <c r="E4289">
        <v>2014</v>
      </c>
      <c r="F4289" s="9"/>
      <c r="H4289" s="20" t="str">
        <f t="shared" si="66"/>
        <v>(nextval('obj_part_id_seq'), (select id from obj_building_v where zip||'|'||street||'|'||name||'|'||volume = '8022|Fraumünsterstrasse 8 und Stadthausquai 3,5,7|SNB|30260.00'), 'P61', 0, null, 2014,null),</v>
      </c>
    </row>
    <row r="4290" spans="1:8" x14ac:dyDescent="0.25">
      <c r="A4290" s="9" t="s">
        <v>3719</v>
      </c>
      <c r="B4290" s="9" t="s">
        <v>1144</v>
      </c>
      <c r="C4290">
        <v>0</v>
      </c>
      <c r="D4290" t="s">
        <v>4080</v>
      </c>
      <c r="E4290">
        <v>2014</v>
      </c>
      <c r="F4290" s="9"/>
      <c r="H4290" s="20" t="str">
        <f t="shared" si="66"/>
        <v>(nextval('obj_part_id_seq'), (select id from obj_building_v where zip||'|'||street||'|'||name||'|'||volume = '8022|Fraumünsterstrasse 8 und Stadthausquai 3,5,7|SNB|30260.00'), 'P62', 0, null, 2014,null),</v>
      </c>
    </row>
    <row r="4291" spans="1:8" x14ac:dyDescent="0.25">
      <c r="A4291" s="9" t="s">
        <v>3734</v>
      </c>
      <c r="B4291" s="9" t="s">
        <v>1127</v>
      </c>
      <c r="C4291">
        <v>26</v>
      </c>
      <c r="D4291">
        <v>90</v>
      </c>
      <c r="E4291">
        <v>2019</v>
      </c>
      <c r="F4291" s="9" t="s">
        <v>1192</v>
      </c>
      <c r="H4291" s="20" t="str">
        <f t="shared" si="66"/>
        <v>(nextval('obj_part_id_seq'), (select id from obj_building_v where zip||'|'||street||'|'||name||'|'||volume = '4303|Violaweg 75|KIGA Violaweg|7344.00'), 'P48', 26, 90, 2019,'Stahlbeton'),</v>
      </c>
    </row>
    <row r="4292" spans="1:8" x14ac:dyDescent="0.25">
      <c r="A4292" s="9" t="s">
        <v>3734</v>
      </c>
      <c r="B4292" s="9" t="s">
        <v>1129</v>
      </c>
      <c r="C4292">
        <v>0</v>
      </c>
      <c r="D4292" t="s">
        <v>4080</v>
      </c>
      <c r="E4292">
        <v>2019</v>
      </c>
      <c r="F4292" s="9"/>
      <c r="H4292" s="20" t="str">
        <f t="shared" si="66"/>
        <v>(nextval('obj_part_id_seq'), (select id from obj_building_v where zip||'|'||street||'|'||name||'|'||volume = '4303|Violaweg 75|KIGA Violaweg|7344.00'), 'P49', 0, null, 2019,null),</v>
      </c>
    </row>
    <row r="4293" spans="1:8" x14ac:dyDescent="0.25">
      <c r="A4293" s="9" t="s">
        <v>3734</v>
      </c>
      <c r="B4293" s="9" t="s">
        <v>1097</v>
      </c>
      <c r="C4293">
        <v>0</v>
      </c>
      <c r="D4293" t="s">
        <v>4080</v>
      </c>
      <c r="E4293">
        <v>2019</v>
      </c>
      <c r="F4293" s="9"/>
      <c r="H4293" s="20" t="str">
        <f t="shared" ref="H4293:H4356" si="67">"(nextval('obj_part_id_seq'), (select id from obj_building_v where zip||'|'||street||'|'||name||'|'||volume = '"&amp;A4293&amp;"'), '"&amp;B4293&amp;"', "&amp;C4293&amp;", "&amp;D4293&amp;", "&amp;IF(ISBLANK(E4293),"null",E4293)&amp;","&amp;IF(ISBLANK(F4293),"null","'"&amp;F4293&amp;"'")&amp;"),"</f>
        <v>(nextval('obj_part_id_seq'), (select id from obj_building_v where zip||'|'||street||'|'||name||'|'||volume = '4303|Violaweg 75|KIGA Violaweg|7344.00'), 'P2', 0, null, 2019,null),</v>
      </c>
    </row>
    <row r="4294" spans="1:8" x14ac:dyDescent="0.25">
      <c r="A4294" s="9" t="s">
        <v>3734</v>
      </c>
      <c r="B4294" s="9" t="s">
        <v>1099</v>
      </c>
      <c r="C4294">
        <v>20</v>
      </c>
      <c r="D4294">
        <v>85</v>
      </c>
      <c r="E4294">
        <v>2019</v>
      </c>
      <c r="F4294" s="9"/>
      <c r="H4294" s="20" t="str">
        <f t="shared" si="67"/>
        <v>(nextval('obj_part_id_seq'), (select id from obj_building_v where zip||'|'||street||'|'||name||'|'||volume = '4303|Violaweg 75|KIGA Violaweg|7344.00'), 'P3', 20, 85, 2019,null),</v>
      </c>
    </row>
    <row r="4295" spans="1:8" x14ac:dyDescent="0.25">
      <c r="A4295" s="9" t="s">
        <v>3734</v>
      </c>
      <c r="B4295" s="9" t="s">
        <v>1100</v>
      </c>
      <c r="C4295">
        <v>8</v>
      </c>
      <c r="D4295">
        <v>80</v>
      </c>
      <c r="E4295">
        <v>2019</v>
      </c>
      <c r="F4295" s="9" t="s">
        <v>3735</v>
      </c>
      <c r="H4295" s="20" t="str">
        <f t="shared" si="67"/>
        <v>(nextval('obj_part_id_seq'), (select id from obj_building_v where zip||'|'||street||'|'||name||'|'||volume = '4303|Violaweg 75|KIGA Violaweg|7344.00'), 'P4', 8, 80, 2019,'Sichtbeton, Metalltür undicht'),</v>
      </c>
    </row>
    <row r="4296" spans="1:8" x14ac:dyDescent="0.25">
      <c r="A4296" s="9" t="s">
        <v>3734</v>
      </c>
      <c r="B4296" s="9" t="s">
        <v>1102</v>
      </c>
      <c r="C4296">
        <v>14</v>
      </c>
      <c r="D4296">
        <v>80</v>
      </c>
      <c r="E4296">
        <v>2019</v>
      </c>
      <c r="F4296" s="9" t="s">
        <v>3736</v>
      </c>
      <c r="H4296" s="20" t="str">
        <f t="shared" si="67"/>
        <v>(nextval('obj_part_id_seq'), (select id from obj_building_v where zip||'|'||street||'|'||name||'|'||volume = '4303|Violaweg 75|KIGA Violaweg|7344.00'), 'P5', 14, 80, 2019,'Metallfenster, Dichtungen mangelh., Rafflamellenstoren, Markise'),</v>
      </c>
    </row>
    <row r="4297" spans="1:8" x14ac:dyDescent="0.25">
      <c r="A4297" s="9" t="s">
        <v>3734</v>
      </c>
      <c r="B4297" s="9" t="s">
        <v>1110</v>
      </c>
      <c r="C4297">
        <v>4</v>
      </c>
      <c r="D4297">
        <v>80</v>
      </c>
      <c r="E4297">
        <v>2019</v>
      </c>
      <c r="F4297" s="9" t="s">
        <v>3737</v>
      </c>
      <c r="H4297" s="20" t="str">
        <f t="shared" si="67"/>
        <v>(nextval('obj_part_id_seq'), (select id from obj_building_v where zip||'|'||street||'|'||name||'|'||volume = '4303|Violaweg 75|KIGA Violaweg|7344.00'), 'P9', 4, 80, 2019,'alte Sicherungen, keine Fl'),</v>
      </c>
    </row>
    <row r="4298" spans="1:8" x14ac:dyDescent="0.25">
      <c r="A4298" s="9" t="s">
        <v>3734</v>
      </c>
      <c r="B4298" s="9" t="s">
        <v>1104</v>
      </c>
      <c r="C4298">
        <v>1</v>
      </c>
      <c r="D4298">
        <v>90</v>
      </c>
      <c r="E4298">
        <v>2019</v>
      </c>
      <c r="F4298" s="9" t="s">
        <v>1235</v>
      </c>
      <c r="H4298" s="20" t="str">
        <f t="shared" si="67"/>
        <v>(nextval('obj_part_id_seq'), (select id from obj_building_v where zip||'|'||street||'|'||name||'|'||volume = '4303|Violaweg 75|KIGA Violaweg|7344.00'), 'P6', 1, 90, 2019,'Fernwärme'),</v>
      </c>
    </row>
    <row r="4299" spans="1:8" x14ac:dyDescent="0.25">
      <c r="A4299" s="9" t="s">
        <v>3734</v>
      </c>
      <c r="B4299" s="9" t="s">
        <v>1106</v>
      </c>
      <c r="C4299">
        <v>3</v>
      </c>
      <c r="D4299">
        <v>90</v>
      </c>
      <c r="E4299">
        <v>2019</v>
      </c>
      <c r="F4299" s="9" t="s">
        <v>1669</v>
      </c>
      <c r="H4299" s="20" t="str">
        <f t="shared" si="67"/>
        <v>(nextval('obj_part_id_seq'), (select id from obj_building_v where zip||'|'||street||'|'||name||'|'||volume = '4303|Violaweg 75|KIGA Violaweg|7344.00'), 'P7', 3, 90, 2019,'Radiatoren mit Thermostat'),</v>
      </c>
    </row>
    <row r="4300" spans="1:8" x14ac:dyDescent="0.25">
      <c r="A4300" s="9" t="s">
        <v>3734</v>
      </c>
      <c r="B4300" s="9" t="s">
        <v>1135</v>
      </c>
      <c r="C4300">
        <v>1</v>
      </c>
      <c r="D4300">
        <v>80</v>
      </c>
      <c r="E4300">
        <v>2019</v>
      </c>
      <c r="F4300" s="9" t="s">
        <v>3159</v>
      </c>
      <c r="H4300" s="20" t="str">
        <f t="shared" si="67"/>
        <v>(nextval('obj_part_id_seq'), (select id from obj_building_v where zip||'|'||street||'|'||name||'|'||volume = '4303|Violaweg 75|KIGA Violaweg|7344.00'), 'P54', 1, 80, 2019,'Ältere Apparate und Armaturen, jedoch funktionsfähig'),</v>
      </c>
    </row>
    <row r="4301" spans="1:8" x14ac:dyDescent="0.25">
      <c r="A4301" s="9" t="s">
        <v>3734</v>
      </c>
      <c r="B4301" s="9" t="s">
        <v>1137</v>
      </c>
      <c r="C4301">
        <v>3</v>
      </c>
      <c r="D4301">
        <v>70</v>
      </c>
      <c r="E4301">
        <v>2019</v>
      </c>
      <c r="F4301" s="9" t="s">
        <v>3738</v>
      </c>
      <c r="H4301" s="20" t="str">
        <f t="shared" si="67"/>
        <v>(nextval('obj_part_id_seq'), (select id from obj_building_v where zip||'|'||street||'|'||name||'|'||volume = '4303|Violaweg 75|KIGA Violaweg|7344.00'), 'P55', 3, 70, 2019,'Leitungen rostig, Druck reduziert'),</v>
      </c>
    </row>
    <row r="4302" spans="1:8" x14ac:dyDescent="0.25">
      <c r="A4302" s="9" t="s">
        <v>3734</v>
      </c>
      <c r="B4302" s="9" t="s">
        <v>1138</v>
      </c>
      <c r="C4302">
        <v>17</v>
      </c>
      <c r="D4302">
        <v>80</v>
      </c>
      <c r="E4302">
        <v>2019</v>
      </c>
      <c r="F4302" s="9" t="s">
        <v>3739</v>
      </c>
      <c r="H4302" s="20" t="str">
        <f t="shared" si="67"/>
        <v>(nextval('obj_part_id_seq'), (select id from obj_building_v where zip||'|'||street||'|'||name||'|'||volume = '4303|Violaweg 75|KIGA Violaweg|7344.00'), 'P57', 17, 80, 2019,'Ältere Küche, Einbaukäste, Innentüren'),</v>
      </c>
    </row>
    <row r="4303" spans="1:8" x14ac:dyDescent="0.25">
      <c r="A4303" s="9" t="s">
        <v>3734</v>
      </c>
      <c r="B4303" s="9" t="s">
        <v>1140</v>
      </c>
      <c r="C4303">
        <v>3</v>
      </c>
      <c r="D4303">
        <v>80</v>
      </c>
      <c r="E4303">
        <v>2019</v>
      </c>
      <c r="F4303" s="9" t="s">
        <v>3740</v>
      </c>
      <c r="H4303" s="20" t="str">
        <f t="shared" si="67"/>
        <v>(nextval('obj_part_id_seq'), (select id from obj_building_v where zip||'|'||street||'|'||name||'|'||volume = '4303|Violaweg 75|KIGA Violaweg|7344.00'), 'P58', 3, 80, 2019,'B: Linol, Keramik, W: Täfer, Putz, Anstrich, Keramikpl., D: Täfer, Pavatex'),</v>
      </c>
    </row>
    <row r="4304" spans="1:8" x14ac:dyDescent="0.25">
      <c r="A4304" s="9" t="s">
        <v>3734</v>
      </c>
      <c r="B4304" s="9" t="s">
        <v>1142</v>
      </c>
      <c r="C4304">
        <v>0</v>
      </c>
      <c r="D4304" t="s">
        <v>4080</v>
      </c>
      <c r="E4304">
        <v>2019</v>
      </c>
      <c r="F4304" s="9"/>
      <c r="H4304" s="20" t="str">
        <f t="shared" si="67"/>
        <v>(nextval('obj_part_id_seq'), (select id from obj_building_v where zip||'|'||street||'|'||name||'|'||volume = '4303|Violaweg 75|KIGA Violaweg|7344.00'), 'P60', 0, null, 2019,null),</v>
      </c>
    </row>
    <row r="4305" spans="1:8" x14ac:dyDescent="0.25">
      <c r="A4305" s="9" t="s">
        <v>3734</v>
      </c>
      <c r="B4305" s="9" t="s">
        <v>1143</v>
      </c>
      <c r="C4305">
        <v>0</v>
      </c>
      <c r="D4305" t="s">
        <v>4080</v>
      </c>
      <c r="E4305">
        <v>2019</v>
      </c>
      <c r="F4305" s="9"/>
      <c r="H4305" s="20" t="str">
        <f t="shared" si="67"/>
        <v>(nextval('obj_part_id_seq'), (select id from obj_building_v where zip||'|'||street||'|'||name||'|'||volume = '4303|Violaweg 75|KIGA Violaweg|7344.00'), 'P61', 0, null, 2019,null),</v>
      </c>
    </row>
    <row r="4306" spans="1:8" x14ac:dyDescent="0.25">
      <c r="A4306" s="9" t="s">
        <v>3734</v>
      </c>
      <c r="B4306" s="9" t="s">
        <v>1144</v>
      </c>
      <c r="C4306">
        <v>0</v>
      </c>
      <c r="D4306" t="s">
        <v>4080</v>
      </c>
      <c r="E4306">
        <v>2019</v>
      </c>
      <c r="F4306" s="9"/>
      <c r="H4306" s="20" t="str">
        <f t="shared" si="67"/>
        <v>(nextval('obj_part_id_seq'), (select id from obj_building_v where zip||'|'||street||'|'||name||'|'||volume = '4303|Violaweg 75|KIGA Violaweg|7344.00'), 'P62', 0, null, 2019,null),</v>
      </c>
    </row>
    <row r="4307" spans="1:8" x14ac:dyDescent="0.25">
      <c r="A4307" s="9" t="s">
        <v>3741</v>
      </c>
      <c r="B4307" s="9" t="s">
        <v>1095</v>
      </c>
      <c r="C4307">
        <v>53</v>
      </c>
      <c r="D4307">
        <v>85</v>
      </c>
      <c r="E4307">
        <v>2019</v>
      </c>
      <c r="F4307" s="9" t="s">
        <v>3742</v>
      </c>
      <c r="H4307" s="20" t="str">
        <f t="shared" si="67"/>
        <v>(nextval('obj_part_id_seq'), (select id from obj_building_v where zip||'|'||street||'|'||name||'|'||volume = '4303|Stelliweg|Waldhütte|607.00'), 'P1', 53, 85, 2019,'Betonfundamente, Mauerwerk, Holzbau'),</v>
      </c>
    </row>
    <row r="4308" spans="1:8" x14ac:dyDescent="0.25">
      <c r="A4308" s="9" t="s">
        <v>3741</v>
      </c>
      <c r="B4308" s="9" t="s">
        <v>1097</v>
      </c>
      <c r="C4308">
        <v>14</v>
      </c>
      <c r="D4308">
        <v>85</v>
      </c>
      <c r="E4308">
        <v>2019</v>
      </c>
      <c r="F4308" s="9" t="s">
        <v>3743</v>
      </c>
      <c r="H4308" s="20" t="str">
        <f t="shared" si="67"/>
        <v>(nextval('obj_part_id_seq'), (select id from obj_building_v where zip||'|'||street||'|'||name||'|'||volume = '4303|Stelliweg|Waldhütte|607.00'), 'P2', 14, 85, 2019,'Bieberschwanzziegeldach'),</v>
      </c>
    </row>
    <row r="4309" spans="1:8" x14ac:dyDescent="0.25">
      <c r="A4309" s="9" t="s">
        <v>3741</v>
      </c>
      <c r="B4309" s="9" t="s">
        <v>1099</v>
      </c>
      <c r="C4309">
        <v>0</v>
      </c>
      <c r="D4309" t="s">
        <v>4080</v>
      </c>
      <c r="E4309">
        <v>2019</v>
      </c>
      <c r="F4309" s="9"/>
      <c r="H4309" s="20" t="str">
        <f t="shared" si="67"/>
        <v>(nextval('obj_part_id_seq'), (select id from obj_building_v where zip||'|'||street||'|'||name||'|'||volume = '4303|Stelliweg|Waldhütte|607.00'), 'P3', 0, null, 2019,null),</v>
      </c>
    </row>
    <row r="4310" spans="1:8" x14ac:dyDescent="0.25">
      <c r="A4310" s="9" t="s">
        <v>3741</v>
      </c>
      <c r="B4310" s="9" t="s">
        <v>1100</v>
      </c>
      <c r="C4310">
        <v>12</v>
      </c>
      <c r="D4310">
        <v>80</v>
      </c>
      <c r="E4310">
        <v>2019</v>
      </c>
      <c r="F4310" s="9" t="s">
        <v>1305</v>
      </c>
      <c r="H4310" s="20" t="str">
        <f t="shared" si="67"/>
        <v>(nextval('obj_part_id_seq'), (select id from obj_building_v where zip||'|'||street||'|'||name||'|'||volume = '4303|Stelliweg|Waldhütte|607.00'), 'P4', 12, 80, 2019,'Holz'),</v>
      </c>
    </row>
    <row r="4311" spans="1:8" x14ac:dyDescent="0.25">
      <c r="A4311" s="9" t="s">
        <v>3741</v>
      </c>
      <c r="B4311" s="9" t="s">
        <v>1102</v>
      </c>
      <c r="C4311">
        <v>4</v>
      </c>
      <c r="D4311">
        <v>80</v>
      </c>
      <c r="E4311">
        <v>2019</v>
      </c>
      <c r="F4311" s="9" t="s">
        <v>3744</v>
      </c>
      <c r="H4311" s="20" t="str">
        <f t="shared" si="67"/>
        <v>(nextval('obj_part_id_seq'), (select id from obj_building_v where zip||'|'||street||'|'||name||'|'||volume = '4303|Stelliweg|Waldhütte|607.00'), 'P5', 4, 80, 2019,'Holz Fenster (einfach verglast) und Türen, teilweise vergittert, Markise'),</v>
      </c>
    </row>
    <row r="4312" spans="1:8" x14ac:dyDescent="0.25">
      <c r="A4312" s="9" t="s">
        <v>3741</v>
      </c>
      <c r="B4312" s="9" t="s">
        <v>1104</v>
      </c>
      <c r="C4312">
        <v>4</v>
      </c>
      <c r="D4312">
        <v>80</v>
      </c>
      <c r="E4312">
        <v>2019</v>
      </c>
      <c r="F4312" s="9" t="s">
        <v>3745</v>
      </c>
      <c r="H4312" s="20" t="str">
        <f t="shared" si="67"/>
        <v>(nextval('obj_part_id_seq'), (select id from obj_building_v where zip||'|'||street||'|'||name||'|'||volume = '4303|Stelliweg|Waldhütte|607.00'), 'P6', 4, 80, 2019,'Feuerstelle'),</v>
      </c>
    </row>
    <row r="4313" spans="1:8" x14ac:dyDescent="0.25">
      <c r="A4313" s="9" t="s">
        <v>3741</v>
      </c>
      <c r="B4313" s="9" t="s">
        <v>1106</v>
      </c>
      <c r="C4313">
        <v>0</v>
      </c>
      <c r="D4313" t="s">
        <v>4080</v>
      </c>
      <c r="E4313">
        <v>2019</v>
      </c>
      <c r="F4313" s="9"/>
      <c r="H4313" s="20" t="str">
        <f t="shared" si="67"/>
        <v>(nextval('obj_part_id_seq'), (select id from obj_building_v where zip||'|'||street||'|'||name||'|'||volume = '4303|Stelliweg|Waldhütte|607.00'), 'P7', 0, null, 2019,null),</v>
      </c>
    </row>
    <row r="4314" spans="1:8" x14ac:dyDescent="0.25">
      <c r="A4314" s="9" t="s">
        <v>3741</v>
      </c>
      <c r="B4314" s="9" t="s">
        <v>1108</v>
      </c>
      <c r="C4314">
        <v>0</v>
      </c>
      <c r="D4314" t="s">
        <v>4080</v>
      </c>
      <c r="E4314">
        <v>2019</v>
      </c>
      <c r="F4314" s="9"/>
      <c r="H4314" s="20" t="str">
        <f t="shared" si="67"/>
        <v>(nextval('obj_part_id_seq'), (select id from obj_building_v where zip||'|'||street||'|'||name||'|'||volume = '4303|Stelliweg|Waldhütte|607.00'), 'P8', 0, null, 2019,null),</v>
      </c>
    </row>
    <row r="4315" spans="1:8" x14ac:dyDescent="0.25">
      <c r="A4315" s="9" t="s">
        <v>3741</v>
      </c>
      <c r="B4315" s="9" t="s">
        <v>1110</v>
      </c>
      <c r="C4315">
        <v>3</v>
      </c>
      <c r="D4315">
        <v>85</v>
      </c>
      <c r="E4315">
        <v>2019</v>
      </c>
      <c r="F4315" s="9" t="s">
        <v>1295</v>
      </c>
      <c r="H4315" s="20" t="str">
        <f t="shared" si="67"/>
        <v>(nextval('obj_part_id_seq'), (select id from obj_building_v where zip||'|'||street||'|'||name||'|'||volume = '4303|Stelliweg|Waldhütte|607.00'), 'P9', 3, 85, 2019,'Beleuchtung'),</v>
      </c>
    </row>
    <row r="4316" spans="1:8" x14ac:dyDescent="0.25">
      <c r="A4316" s="9" t="s">
        <v>3741</v>
      </c>
      <c r="B4316" s="9" t="s">
        <v>1112</v>
      </c>
      <c r="C4316">
        <v>0</v>
      </c>
      <c r="D4316" t="s">
        <v>4080</v>
      </c>
      <c r="E4316">
        <v>2019</v>
      </c>
      <c r="F4316" s="9"/>
      <c r="H4316" s="20" t="str">
        <f t="shared" si="67"/>
        <v>(nextval('obj_part_id_seq'), (select id from obj_building_v where zip||'|'||street||'|'||name||'|'||volume = '4303|Stelliweg|Waldhütte|607.00'), 'P10', 0, null, 2019,null),</v>
      </c>
    </row>
    <row r="4317" spans="1:8" x14ac:dyDescent="0.25">
      <c r="A4317" s="9" t="s">
        <v>3741</v>
      </c>
      <c r="B4317" s="9" t="s">
        <v>1114</v>
      </c>
      <c r="C4317">
        <v>10</v>
      </c>
      <c r="D4317">
        <v>85</v>
      </c>
      <c r="E4317">
        <v>2019</v>
      </c>
      <c r="F4317" s="9" t="s">
        <v>3746</v>
      </c>
      <c r="H4317" s="20" t="str">
        <f t="shared" si="67"/>
        <v>(nextval('obj_part_id_seq'), (select id from obj_building_v where zip||'|'||street||'|'||name||'|'||volume = '4303|Stelliweg|Waldhütte|607.00'), 'P11', 10, 85, 2019,'Boden:Verbundstein, Beton\nWand: Holz\nDecke:Holz'),</v>
      </c>
    </row>
    <row r="4318" spans="1:8" x14ac:dyDescent="0.25">
      <c r="A4318" s="9" t="s">
        <v>3741</v>
      </c>
      <c r="B4318" s="9" t="s">
        <v>1114</v>
      </c>
      <c r="C4318">
        <v>0</v>
      </c>
      <c r="D4318" t="s">
        <v>4080</v>
      </c>
      <c r="E4318">
        <v>2019</v>
      </c>
      <c r="F4318" s="9"/>
      <c r="H4318" s="20" t="str">
        <f t="shared" si="67"/>
        <v>(nextval('obj_part_id_seq'), (select id from obj_building_v where zip||'|'||street||'|'||name||'|'||volume = '4303|Stelliweg|Waldhütte|607.00'), 'P11', 0, null, 2019,null),</v>
      </c>
    </row>
    <row r="4319" spans="1:8" x14ac:dyDescent="0.25">
      <c r="A4319" s="9" t="s">
        <v>3741</v>
      </c>
      <c r="B4319" s="9" t="s">
        <v>1116</v>
      </c>
      <c r="C4319">
        <v>0</v>
      </c>
      <c r="D4319" t="s">
        <v>4080</v>
      </c>
      <c r="E4319">
        <v>2019</v>
      </c>
      <c r="F4319" s="9"/>
      <c r="H4319" s="20" t="str">
        <f t="shared" si="67"/>
        <v>(nextval('obj_part_id_seq'), (select id from obj_building_v where zip||'|'||street||'|'||name||'|'||volume = '4303|Stelliweg|Waldhütte|607.00'), 'P12', 0, null, 2019,null),</v>
      </c>
    </row>
    <row r="4320" spans="1:8" x14ac:dyDescent="0.25">
      <c r="A4320" s="9" t="s">
        <v>3747</v>
      </c>
      <c r="B4320" s="9" t="s">
        <v>1127</v>
      </c>
      <c r="C4320">
        <v>34</v>
      </c>
      <c r="D4320">
        <v>90</v>
      </c>
      <c r="E4320">
        <v>2019</v>
      </c>
      <c r="F4320" s="9" t="s">
        <v>1369</v>
      </c>
      <c r="H4320" s="20" t="str">
        <f t="shared" si="67"/>
        <v>(nextval('obj_part_id_seq'), (select id from obj_building_v where zip||'|'||street||'|'||name||'|'||volume = '8153|Katzenrütistrasse 4|Sekundarschulhaus Rümlang|15732.00'), 'P48', 34, 90, 2019,'Stahlbeton, Mauerwerk'),</v>
      </c>
    </row>
    <row r="4321" spans="1:8" x14ac:dyDescent="0.25">
      <c r="A4321" s="9" t="s">
        <v>3747</v>
      </c>
      <c r="B4321" s="9" t="s">
        <v>1129</v>
      </c>
      <c r="C4321">
        <v>0</v>
      </c>
      <c r="D4321" t="s">
        <v>4080</v>
      </c>
      <c r="E4321">
        <v>2019</v>
      </c>
      <c r="F4321" s="9"/>
      <c r="H4321" s="20" t="str">
        <f t="shared" si="67"/>
        <v>(nextval('obj_part_id_seq'), (select id from obj_building_v where zip||'|'||street||'|'||name||'|'||volume = '8153|Katzenrütistrasse 4|Sekundarschulhaus Rümlang|15732.00'), 'P49', 0, null, 2019,null),</v>
      </c>
    </row>
    <row r="4322" spans="1:8" x14ac:dyDescent="0.25">
      <c r="A4322" s="9" t="s">
        <v>3747</v>
      </c>
      <c r="B4322" s="9" t="s">
        <v>1097</v>
      </c>
      <c r="C4322">
        <v>0</v>
      </c>
      <c r="D4322" t="s">
        <v>4080</v>
      </c>
      <c r="E4322">
        <v>2019</v>
      </c>
      <c r="F4322" s="9"/>
      <c r="H4322" s="20" t="str">
        <f t="shared" si="67"/>
        <v>(nextval('obj_part_id_seq'), (select id from obj_building_v where zip||'|'||street||'|'||name||'|'||volume = '8153|Katzenrütistrasse 4|Sekundarschulhaus Rümlang|15732.00'), 'P2', 0, null, 2019,null),</v>
      </c>
    </row>
    <row r="4323" spans="1:8" x14ac:dyDescent="0.25">
      <c r="A4323" s="9" t="s">
        <v>3747</v>
      </c>
      <c r="B4323" s="9" t="s">
        <v>1099</v>
      </c>
      <c r="C4323">
        <v>6</v>
      </c>
      <c r="D4323">
        <v>90</v>
      </c>
      <c r="E4323">
        <v>2019</v>
      </c>
      <c r="F4323" s="9" t="s">
        <v>3748</v>
      </c>
      <c r="H4323" s="20" t="str">
        <f t="shared" si="67"/>
        <v>(nextval('obj_part_id_seq'), (select id from obj_building_v where zip||'|'||street||'|'||name||'|'||volume = '8153|Katzenrütistrasse 4|Sekundarschulhaus Rümlang|15732.00'), 'P3', 6, 90, 2019,'Kiesklebedach, Blechdach über Chemiezimmer, Dachaufbau 1976/1977, Oblichtkuppeln'),</v>
      </c>
    </row>
    <row r="4324" spans="1:8" x14ac:dyDescent="0.25">
      <c r="A4324" s="9" t="s">
        <v>3747</v>
      </c>
      <c r="B4324" s="9" t="s">
        <v>1100</v>
      </c>
      <c r="C4324">
        <v>10</v>
      </c>
      <c r="D4324">
        <v>85</v>
      </c>
      <c r="E4324">
        <v>2019</v>
      </c>
      <c r="F4324" s="9" t="s">
        <v>3749</v>
      </c>
      <c r="H4324" s="20" t="str">
        <f t="shared" si="67"/>
        <v>(nextval('obj_part_id_seq'), (select id from obj_building_v where zip||'|'||street||'|'||name||'|'||volume = '8153|Katzenrütistrasse 4|Sekundarschulhaus Rümlang|15732.00'), 'P4', 10, 85, 2019,'Mauerwerk verputzt, im Sockelbereich vermoost'),</v>
      </c>
    </row>
    <row r="4325" spans="1:8" x14ac:dyDescent="0.25">
      <c r="A4325" s="9" t="s">
        <v>3747</v>
      </c>
      <c r="B4325" s="9" t="s">
        <v>1102</v>
      </c>
      <c r="C4325">
        <v>9</v>
      </c>
      <c r="D4325">
        <v>80</v>
      </c>
      <c r="E4325">
        <v>2019</v>
      </c>
      <c r="F4325" s="9" t="s">
        <v>3750</v>
      </c>
      <c r="H4325" s="20" t="str">
        <f t="shared" si="67"/>
        <v>(nextval('obj_part_id_seq'), (select id from obj_building_v where zip||'|'||street||'|'||name||'|'||volume = '8153|Katzenrütistrasse 4|Sekundarschulhaus Rümlang|15732.00'), 'P5', 9, 80, 2019,'Holz-/Metall-Fenster 3-fach-IV mit Beschichtung, im Obergeschoss 2-fach Verglasung 2004, Metall-Fenster im Computerzimmer (2015), fehlendes Sicherheitsglas, im Budget enthalten, wird in 1-2 Jahren ersetzt, Eingangstüre aus Glas'),</v>
      </c>
    </row>
    <row r="4326" spans="1:8" x14ac:dyDescent="0.25">
      <c r="A4326" s="9" t="s">
        <v>3747</v>
      </c>
      <c r="B4326" s="9" t="s">
        <v>1164</v>
      </c>
      <c r="C4326">
        <v>6</v>
      </c>
      <c r="D4326">
        <v>80</v>
      </c>
      <c r="E4326">
        <v>2019</v>
      </c>
      <c r="F4326" s="9" t="s">
        <v>3751</v>
      </c>
      <c r="H4326" s="20" t="str">
        <f t="shared" si="67"/>
        <v>(nextval('obj_part_id_seq'), (select id from obj_building_v where zip||'|'||street||'|'||name||'|'||volume = '8153|Katzenrütistrasse 4|Sekundarschulhaus Rümlang|15732.00'), 'P50', 6, 80, 2019,'alte Keramiksicherungen'),</v>
      </c>
    </row>
    <row r="4327" spans="1:8" x14ac:dyDescent="0.25">
      <c r="A4327" s="9" t="s">
        <v>3747</v>
      </c>
      <c r="B4327" s="9" t="s">
        <v>1166</v>
      </c>
      <c r="C4327">
        <v>1</v>
      </c>
      <c r="D4327">
        <v>85</v>
      </c>
      <c r="E4327">
        <v>2019</v>
      </c>
      <c r="F4327" s="9" t="s">
        <v>3752</v>
      </c>
      <c r="H4327" s="20" t="str">
        <f t="shared" si="67"/>
        <v>(nextval('obj_part_id_seq'), (select id from obj_building_v where zip||'|'||street||'|'||name||'|'||volume = '8153|Katzenrütistrasse 4|Sekundarschulhaus Rümlang|15732.00'), 'P51', 1, 85, 2019,'EDV, ältere Beleuchtung im Werkzimmer, aber ausreichend, fehlender FI-Schutz, wurde bei einer kürzlicher Kontrolle bereits aufgenommen'),</v>
      </c>
    </row>
    <row r="4328" spans="1:8" x14ac:dyDescent="0.25">
      <c r="A4328" s="9" t="s">
        <v>3747</v>
      </c>
      <c r="B4328" s="9" t="s">
        <v>1104</v>
      </c>
      <c r="C4328">
        <v>1</v>
      </c>
      <c r="D4328">
        <v>90</v>
      </c>
      <c r="E4328">
        <v>2019</v>
      </c>
      <c r="F4328" s="9" t="s">
        <v>3753</v>
      </c>
      <c r="H4328" s="20" t="str">
        <f t="shared" si="67"/>
        <v>(nextval('obj_part_id_seq'), (select id from obj_building_v where zip||'|'||street||'|'||name||'|'||volume = '8153|Katzenrütistrasse 4|Sekundarschulhaus Rümlang|15732.00'), 'P6', 1, 90, 2019,'Fernwärme (vom Nachbargebäude)'),</v>
      </c>
    </row>
    <row r="4329" spans="1:8" x14ac:dyDescent="0.25">
      <c r="A4329" s="9" t="s">
        <v>3747</v>
      </c>
      <c r="B4329" s="9" t="s">
        <v>1106</v>
      </c>
      <c r="C4329">
        <v>2</v>
      </c>
      <c r="D4329">
        <v>85</v>
      </c>
      <c r="E4329">
        <v>2019</v>
      </c>
      <c r="F4329" s="9" t="s">
        <v>2438</v>
      </c>
      <c r="H4329" s="20" t="str">
        <f t="shared" si="67"/>
        <v>(nextval('obj_part_id_seq'), (select id from obj_building_v where zip||'|'||street||'|'||name||'|'||volume = '8153|Katzenrütistrasse 4|Sekundarschulhaus Rümlang|15732.00'), 'P7', 2, 85, 2019,'Heizkörper mit Thermostaten'),</v>
      </c>
    </row>
    <row r="4330" spans="1:8" x14ac:dyDescent="0.25">
      <c r="A4330" s="9" t="s">
        <v>3747</v>
      </c>
      <c r="B4330" s="9" t="s">
        <v>1403</v>
      </c>
      <c r="C4330">
        <v>3</v>
      </c>
      <c r="D4330">
        <v>80</v>
      </c>
      <c r="E4330">
        <v>2019</v>
      </c>
      <c r="F4330" s="9" t="s">
        <v>3754</v>
      </c>
      <c r="H4330" s="20" t="str">
        <f t="shared" si="67"/>
        <v>(nextval('obj_part_id_seq'), (select id from obj_building_v where zip||'|'||street||'|'||name||'|'||volume = '8153|Katzenrütistrasse 4|Sekundarschulhaus Rümlang|15732.00'), 'P52', 3, 80, 2019,'Lüftungen wurden alle abgehängt ausser die für den Computerraum (neue Lüftung ca. 2j. alt) und das Musikzimmer'),</v>
      </c>
    </row>
    <row r="4331" spans="1:8" x14ac:dyDescent="0.25">
      <c r="A4331" s="9" t="s">
        <v>3747</v>
      </c>
      <c r="B4331" s="9" t="s">
        <v>1404</v>
      </c>
      <c r="C4331">
        <v>3</v>
      </c>
      <c r="D4331">
        <v>80</v>
      </c>
      <c r="E4331">
        <v>2019</v>
      </c>
      <c r="F4331" s="9"/>
      <c r="H4331" s="20" t="str">
        <f t="shared" si="67"/>
        <v>(nextval('obj_part_id_seq'), (select id from obj_building_v where zip||'|'||street||'|'||name||'|'||volume = '8153|Katzenrütistrasse 4|Sekundarschulhaus Rümlang|15732.00'), 'P53', 3, 80, 2019,null),</v>
      </c>
    </row>
    <row r="4332" spans="1:8" x14ac:dyDescent="0.25">
      <c r="A4332" s="9" t="s">
        <v>3747</v>
      </c>
      <c r="B4332" s="9" t="s">
        <v>1108</v>
      </c>
      <c r="C4332">
        <v>4</v>
      </c>
      <c r="D4332">
        <v>80</v>
      </c>
      <c r="E4332">
        <v>2019</v>
      </c>
      <c r="F4332" s="9" t="s">
        <v>3755</v>
      </c>
      <c r="H4332" s="20" t="str">
        <f t="shared" si="67"/>
        <v>(nextval('obj_part_id_seq'), (select id from obj_building_v where zip||'|'||street||'|'||name||'|'||volume = '8153|Katzenrütistrasse 4|Sekundarschulhaus Rümlang|15732.00'), 'P8', 4, 80, 2019,'Geringer Druck, ältere K/W-Wasser Leitungen, im neuem Teil der Schule Druck genügend, Warmwasser-Boiler, undichte Heizleitung'),</v>
      </c>
    </row>
    <row r="4333" spans="1:8" x14ac:dyDescent="0.25">
      <c r="A4333" s="9" t="s">
        <v>3747</v>
      </c>
      <c r="B4333" s="9" t="s">
        <v>1155</v>
      </c>
      <c r="C4333">
        <v>0</v>
      </c>
      <c r="D4333" t="s">
        <v>4080</v>
      </c>
      <c r="E4333">
        <v>2019</v>
      </c>
      <c r="F4333" s="9"/>
      <c r="H4333" s="20" t="str">
        <f t="shared" si="67"/>
        <v>(nextval('obj_part_id_seq'), (select id from obj_building_v where zip||'|'||street||'|'||name||'|'||volume = '8153|Katzenrütistrasse 4|Sekundarschulhaus Rümlang|15732.00'), 'P56', 0, null, 2019,null),</v>
      </c>
    </row>
    <row r="4334" spans="1:8" x14ac:dyDescent="0.25">
      <c r="A4334" s="9" t="s">
        <v>3747</v>
      </c>
      <c r="B4334" s="9" t="s">
        <v>1138</v>
      </c>
      <c r="C4334">
        <v>12</v>
      </c>
      <c r="D4334">
        <v>85</v>
      </c>
      <c r="E4334">
        <v>2019</v>
      </c>
      <c r="F4334" s="9" t="s">
        <v>3756</v>
      </c>
      <c r="H4334" s="20" t="str">
        <f t="shared" si="67"/>
        <v>(nextval('obj_part_id_seq'), (select id from obj_building_v where zip||'|'||street||'|'||name||'|'||volume = '8153|Katzenrütistrasse 4|Sekundarschulhaus Rümlang|15732.00'), 'P57', 12, 85, 2019,'Innentüren aus Glas, Treppengeländer nur 90 cm, Einbauschränke, Garderoben, Teeküche Lehrerzimmer inkl. Herd'),</v>
      </c>
    </row>
    <row r="4335" spans="1:8" x14ac:dyDescent="0.25">
      <c r="A4335" s="9" t="s">
        <v>3747</v>
      </c>
      <c r="B4335" s="9" t="s">
        <v>1140</v>
      </c>
      <c r="C4335">
        <v>9</v>
      </c>
      <c r="D4335">
        <v>85</v>
      </c>
      <c r="E4335">
        <v>2019</v>
      </c>
      <c r="F4335" s="9" t="s">
        <v>3757</v>
      </c>
      <c r="H4335" s="20" t="str">
        <f t="shared" si="67"/>
        <v>(nextval('obj_part_id_seq'), (select id from obj_building_v where zip||'|'||street||'|'||name||'|'||volume = '8153|Katzenrütistrasse 4|Sekundarschulhaus Rümlang|15732.00'), 'P58', 9, 85, 2019,'Boden: Kunststein, Linol in Schulzimmer, PU-Platten im OG, Teppich im Lehrerzimmer, älterer Boden im Werkzimmer, Parkett im Computerzimmer\nWand: Putz gestrichen \nDecke: Spritzputz (allenfalls asbesthaltig), Akustik, Heraklith'),</v>
      </c>
    </row>
    <row r="4336" spans="1:8" x14ac:dyDescent="0.25">
      <c r="A4336" s="9" t="s">
        <v>3747</v>
      </c>
      <c r="B4336" s="9" t="s">
        <v>1142</v>
      </c>
      <c r="C4336">
        <v>0</v>
      </c>
      <c r="D4336" t="s">
        <v>4080</v>
      </c>
      <c r="E4336">
        <v>2019</v>
      </c>
      <c r="F4336" s="9"/>
      <c r="H4336" s="20" t="str">
        <f t="shared" si="67"/>
        <v>(nextval('obj_part_id_seq'), (select id from obj_building_v where zip||'|'||street||'|'||name||'|'||volume = '8153|Katzenrütistrasse 4|Sekundarschulhaus Rümlang|15732.00'), 'P60', 0, null, 2019,null),</v>
      </c>
    </row>
    <row r="4337" spans="1:8" x14ac:dyDescent="0.25">
      <c r="A4337" s="9" t="s">
        <v>3747</v>
      </c>
      <c r="B4337" s="9" t="s">
        <v>1143</v>
      </c>
      <c r="C4337">
        <v>0</v>
      </c>
      <c r="D4337" t="s">
        <v>4080</v>
      </c>
      <c r="E4337">
        <v>2019</v>
      </c>
      <c r="F4337" s="9"/>
      <c r="H4337" s="20" t="str">
        <f t="shared" si="67"/>
        <v>(nextval('obj_part_id_seq'), (select id from obj_building_v where zip||'|'||street||'|'||name||'|'||volume = '8153|Katzenrütistrasse 4|Sekundarschulhaus Rümlang|15732.00'), 'P61', 0, null, 2019,null),</v>
      </c>
    </row>
    <row r="4338" spans="1:8" x14ac:dyDescent="0.25">
      <c r="A4338" s="9" t="s">
        <v>3747</v>
      </c>
      <c r="B4338" s="9" t="s">
        <v>1144</v>
      </c>
      <c r="C4338">
        <v>0</v>
      </c>
      <c r="D4338" t="s">
        <v>4080</v>
      </c>
      <c r="E4338">
        <v>2019</v>
      </c>
      <c r="F4338" s="9"/>
      <c r="H4338" s="20" t="str">
        <f t="shared" si="67"/>
        <v>(nextval('obj_part_id_seq'), (select id from obj_building_v where zip||'|'||street||'|'||name||'|'||volume = '8153|Katzenrütistrasse 4|Sekundarschulhaus Rümlang|15732.00'), 'P62', 0, null, 2019,null),</v>
      </c>
    </row>
    <row r="4339" spans="1:8" x14ac:dyDescent="0.25">
      <c r="A4339" s="9" t="s">
        <v>3758</v>
      </c>
      <c r="B4339" s="9" t="s">
        <v>1127</v>
      </c>
      <c r="C4339">
        <v>40</v>
      </c>
      <c r="D4339">
        <v>90</v>
      </c>
      <c r="E4339">
        <v>2019</v>
      </c>
      <c r="F4339" s="9" t="s">
        <v>3759</v>
      </c>
      <c r="H4339" s="20" t="str">
        <f t="shared" si="67"/>
        <v>(nextval('obj_part_id_seq'), (select id from obj_building_v where zip||'|'||street||'|'||name||'|'||volume = '8153|Katzenrütistrasse bei 6|Primarschulhaus Rümlang inkl. Turnhalle|14846.00'), 'P48', 40, 90, 2019,'Mauerwerk, Stahlbeton und Stahlträger im Gemeindesaal'),</v>
      </c>
    </row>
    <row r="4340" spans="1:8" x14ac:dyDescent="0.25">
      <c r="A4340" s="9" t="s">
        <v>3758</v>
      </c>
      <c r="B4340" s="9" t="s">
        <v>1129</v>
      </c>
      <c r="C4340">
        <v>0</v>
      </c>
      <c r="D4340" t="s">
        <v>4080</v>
      </c>
      <c r="E4340">
        <v>2019</v>
      </c>
      <c r="F4340" s="9"/>
      <c r="H4340" s="20" t="str">
        <f t="shared" si="67"/>
        <v>(nextval('obj_part_id_seq'), (select id from obj_building_v where zip||'|'||street||'|'||name||'|'||volume = '8153|Katzenrütistrasse bei 6|Primarschulhaus Rümlang inkl. Turnhalle|14846.00'), 'P49', 0, null, 2019,null),</v>
      </c>
    </row>
    <row r="4341" spans="1:8" x14ac:dyDescent="0.25">
      <c r="A4341" s="9" t="s">
        <v>3758</v>
      </c>
      <c r="B4341" s="9" t="s">
        <v>1097</v>
      </c>
      <c r="C4341">
        <v>8</v>
      </c>
      <c r="D4341">
        <v>90</v>
      </c>
      <c r="E4341">
        <v>2019</v>
      </c>
      <c r="F4341" s="9" t="s">
        <v>3760</v>
      </c>
      <c r="H4341" s="20" t="str">
        <f t="shared" si="67"/>
        <v>(nextval('obj_part_id_seq'), (select id from obj_building_v where zip||'|'||street||'|'||name||'|'||volume = '8153|Katzenrütistrasse bei 6|Primarschulhaus Rümlang inkl. Turnhalle|14846.00'), 'P2', 8, 90, 2019,'Ziegeldach, wurde renoviert, Dachraum trocken'),</v>
      </c>
    </row>
    <row r="4342" spans="1:8" x14ac:dyDescent="0.25">
      <c r="A4342" s="9" t="s">
        <v>3758</v>
      </c>
      <c r="B4342" s="9" t="s">
        <v>1099</v>
      </c>
      <c r="C4342">
        <v>0</v>
      </c>
      <c r="D4342" t="s">
        <v>4080</v>
      </c>
      <c r="E4342">
        <v>2019</v>
      </c>
      <c r="F4342" s="9"/>
      <c r="H4342" s="20" t="str">
        <f t="shared" si="67"/>
        <v>(nextval('obj_part_id_seq'), (select id from obj_building_v where zip||'|'||street||'|'||name||'|'||volume = '8153|Katzenrütistrasse bei 6|Primarschulhaus Rümlang inkl. Turnhalle|14846.00'), 'P3', 0, null, 2019,null),</v>
      </c>
    </row>
    <row r="4343" spans="1:8" x14ac:dyDescent="0.25">
      <c r="A4343" s="9" t="s">
        <v>3758</v>
      </c>
      <c r="B4343" s="9" t="s">
        <v>1100</v>
      </c>
      <c r="C4343">
        <v>7</v>
      </c>
      <c r="D4343">
        <v>90</v>
      </c>
      <c r="E4343">
        <v>2019</v>
      </c>
      <c r="F4343" s="9" t="s">
        <v>2050</v>
      </c>
      <c r="H4343" s="20" t="str">
        <f t="shared" si="67"/>
        <v>(nextval('obj_part_id_seq'), (select id from obj_building_v where zip||'|'||street||'|'||name||'|'||volume = '8153|Katzenrütistrasse bei 6|Primarschulhaus Rümlang inkl. Turnhalle|14846.00'), 'P4', 7, 90, 2019,'Mauerwerk verputzt'),</v>
      </c>
    </row>
    <row r="4344" spans="1:8" x14ac:dyDescent="0.25">
      <c r="A4344" s="9" t="s">
        <v>3758</v>
      </c>
      <c r="B4344" s="9" t="s">
        <v>1102</v>
      </c>
      <c r="C4344">
        <v>10</v>
      </c>
      <c r="D4344">
        <v>85</v>
      </c>
      <c r="E4344">
        <v>2019</v>
      </c>
      <c r="F4344" s="9" t="s">
        <v>3761</v>
      </c>
      <c r="H4344" s="20" t="str">
        <f t="shared" si="67"/>
        <v>(nextval('obj_part_id_seq'), (select id from obj_building_v where zip||'|'||street||'|'||name||'|'||volume = '8153|Katzenrütistrasse bei 6|Primarschulhaus Rümlang inkl. Turnhalle|14846.00'), 'P5', 10, 85, 2019,'Holzfenster im Geräterraum, Kunststoff 2-fach-IV 1997, Holzfenster im WC (2005/2007)'),</v>
      </c>
    </row>
    <row r="4345" spans="1:8" x14ac:dyDescent="0.25">
      <c r="A4345" s="9" t="s">
        <v>3758</v>
      </c>
      <c r="B4345" s="9" t="s">
        <v>1164</v>
      </c>
      <c r="C4345">
        <v>6</v>
      </c>
      <c r="D4345">
        <v>80</v>
      </c>
      <c r="E4345">
        <v>2019</v>
      </c>
      <c r="F4345" s="9" t="s">
        <v>3762</v>
      </c>
      <c r="H4345" s="20" t="str">
        <f t="shared" si="67"/>
        <v>(nextval('obj_part_id_seq'), (select id from obj_building_v where zip||'|'||street||'|'||name||'|'||volume = '8153|Katzenrütistrasse bei 6|Primarschulhaus Rümlang inkl. Turnhalle|14846.00'), 'P50', 6, 80, 2019,'Fehlende FI-Schalter, Bühnenbeleuchtung, Turnhallenbeleuchtung, allg. Beleuchtung'),</v>
      </c>
    </row>
    <row r="4346" spans="1:8" x14ac:dyDescent="0.25">
      <c r="A4346" s="9" t="s">
        <v>3758</v>
      </c>
      <c r="B4346" s="9" t="s">
        <v>1166</v>
      </c>
      <c r="C4346">
        <v>1</v>
      </c>
      <c r="D4346">
        <v>90</v>
      </c>
      <c r="E4346">
        <v>2019</v>
      </c>
      <c r="F4346" s="9" t="s">
        <v>3763</v>
      </c>
      <c r="H4346" s="20" t="str">
        <f t="shared" si="67"/>
        <v>(nextval('obj_part_id_seq'), (select id from obj_building_v where zip||'|'||street||'|'||name||'|'||volume = '8153|Katzenrütistrasse bei 6|Primarschulhaus Rümlang inkl. Turnhalle|14846.00'), 'P51', 1, 90, 2019,'Gasmelde-Anlage'),</v>
      </c>
    </row>
    <row r="4347" spans="1:8" x14ac:dyDescent="0.25">
      <c r="A4347" s="9" t="s">
        <v>3758</v>
      </c>
      <c r="B4347" s="9" t="s">
        <v>1104</v>
      </c>
      <c r="C4347">
        <v>1</v>
      </c>
      <c r="D4347">
        <v>80</v>
      </c>
      <c r="E4347">
        <v>2019</v>
      </c>
      <c r="F4347" s="9" t="s">
        <v>3764</v>
      </c>
      <c r="H4347" s="20" t="str">
        <f t="shared" si="67"/>
        <v>(nextval('obj_part_id_seq'), (select id from obj_building_v where zip||'|'||street||'|'||name||'|'||volume = '8153|Katzenrütistrasse bei 6|Primarschulhaus Rümlang inkl. Turnhalle|14846.00'), 'P6', 1, 80, 2019,'Gasheizung ca 10-jährig'),</v>
      </c>
    </row>
    <row r="4348" spans="1:8" x14ac:dyDescent="0.25">
      <c r="A4348" s="9" t="s">
        <v>3758</v>
      </c>
      <c r="B4348" s="9" t="s">
        <v>1106</v>
      </c>
      <c r="C4348">
        <v>3</v>
      </c>
      <c r="D4348">
        <v>85</v>
      </c>
      <c r="E4348">
        <v>2019</v>
      </c>
      <c r="F4348" s="9" t="s">
        <v>1107</v>
      </c>
      <c r="H4348" s="20" t="str">
        <f t="shared" si="67"/>
        <v>(nextval('obj_part_id_seq'), (select id from obj_building_v where zip||'|'||street||'|'||name||'|'||volume = '8153|Katzenrütistrasse bei 6|Primarschulhaus Rümlang inkl. Turnhalle|14846.00'), 'P7', 3, 85, 2019,'Radiatoren mit Thermostaten'),</v>
      </c>
    </row>
    <row r="4349" spans="1:8" x14ac:dyDescent="0.25">
      <c r="A4349" s="9" t="s">
        <v>3758</v>
      </c>
      <c r="B4349" s="9" t="s">
        <v>1108</v>
      </c>
      <c r="C4349">
        <v>4</v>
      </c>
      <c r="D4349">
        <v>80</v>
      </c>
      <c r="E4349">
        <v>2019</v>
      </c>
      <c r="F4349" s="9" t="s">
        <v>3765</v>
      </c>
      <c r="H4349" s="20" t="str">
        <f t="shared" si="67"/>
        <v>(nextval('obj_part_id_seq'), (select id from obj_building_v where zip||'|'||street||'|'||name||'|'||volume = '8153|Katzenrütistrasse bei 6|Primarschulhaus Rümlang inkl. Turnhalle|14846.00'), 'P8', 4, 80, 2019,'Problem mit Warmwasser-Zuleitung in der Küche,\ngenügend Druck vorhanden, Duschen in der Garderobe'),</v>
      </c>
    </row>
    <row r="4350" spans="1:8" x14ac:dyDescent="0.25">
      <c r="A4350" s="9" t="s">
        <v>3758</v>
      </c>
      <c r="B4350" s="9" t="s">
        <v>1138</v>
      </c>
      <c r="C4350">
        <v>11</v>
      </c>
      <c r="D4350">
        <v>85</v>
      </c>
      <c r="E4350">
        <v>2019</v>
      </c>
      <c r="F4350" s="9" t="s">
        <v>3766</v>
      </c>
      <c r="H4350" s="20" t="str">
        <f t="shared" si="67"/>
        <v>(nextval('obj_part_id_seq'), (select id from obj_building_v where zip||'|'||street||'|'||name||'|'||volume = '8153|Katzenrütistrasse bei 6|Primarschulhaus Rümlang inkl. Turnhalle|14846.00'), 'P57', 11, 85, 2019,'Innereverglasung, Treppenlift, Garderoben, Einbauschränke, Küche mit gewerb. Geschirrspüler, Industrieküche im Schulgebäude, Küchenapparate, Treppengeländer 90 cm mit 14cm Abstände zw. den Stäben'),</v>
      </c>
    </row>
    <row r="4351" spans="1:8" x14ac:dyDescent="0.25">
      <c r="A4351" s="9" t="s">
        <v>3758</v>
      </c>
      <c r="B4351" s="9" t="s">
        <v>1140</v>
      </c>
      <c r="C4351">
        <v>8</v>
      </c>
      <c r="D4351">
        <v>90</v>
      </c>
      <c r="E4351">
        <v>2019</v>
      </c>
      <c r="F4351" s="9" t="s">
        <v>3767</v>
      </c>
      <c r="H4351" s="20" t="str">
        <f t="shared" si="67"/>
        <v>(nextval('obj_part_id_seq'), (select id from obj_building_v where zip||'|'||street||'|'||name||'|'||volume = '8153|Katzenrütistrasse bei 6|Primarschulhaus Rümlang inkl. Turnhalle|14846.00'), 'P58', 8, 90, 2019,'Boden: Turnhalle: neu vor ca 5j. (auf bestehendem Boden aufgebaut), Korkbelag, Keramik, Porphyrplatten, Linol\nWand: Betonsteine, eingefärbt, in Schulräumen verputzt\nDecke: Metall, Akustikdecken'),</v>
      </c>
    </row>
    <row r="4352" spans="1:8" x14ac:dyDescent="0.25">
      <c r="A4352" s="9" t="s">
        <v>3758</v>
      </c>
      <c r="B4352" s="9" t="s">
        <v>1142</v>
      </c>
      <c r="C4352">
        <v>0</v>
      </c>
      <c r="D4352" t="s">
        <v>4080</v>
      </c>
      <c r="E4352">
        <v>2019</v>
      </c>
      <c r="F4352" s="9"/>
      <c r="H4352" s="20" t="str">
        <f t="shared" si="67"/>
        <v>(nextval('obj_part_id_seq'), (select id from obj_building_v where zip||'|'||street||'|'||name||'|'||volume = '8153|Katzenrütistrasse bei 6|Primarschulhaus Rümlang inkl. Turnhalle|14846.00'), 'P60', 0, null, 2019,null),</v>
      </c>
    </row>
    <row r="4353" spans="1:8" x14ac:dyDescent="0.25">
      <c r="A4353" s="9" t="s">
        <v>3758</v>
      </c>
      <c r="B4353" s="9" t="s">
        <v>1143</v>
      </c>
      <c r="C4353">
        <v>1</v>
      </c>
      <c r="D4353">
        <v>90</v>
      </c>
      <c r="E4353">
        <v>2019</v>
      </c>
      <c r="F4353" s="9" t="s">
        <v>3768</v>
      </c>
      <c r="H4353" s="20" t="str">
        <f t="shared" si="67"/>
        <v>(nextval('obj_part_id_seq'), (select id from obj_building_v where zip||'|'||street||'|'||name||'|'||volume = '8153|Katzenrütistrasse bei 6|Primarschulhaus Rümlang inkl. Turnhalle|14846.00'), 'P61', 1, 90, 2019,'Warenaufzug'),</v>
      </c>
    </row>
    <row r="4354" spans="1:8" x14ac:dyDescent="0.25">
      <c r="A4354" s="9" t="s">
        <v>3758</v>
      </c>
      <c r="B4354" s="9" t="s">
        <v>1144</v>
      </c>
      <c r="C4354">
        <v>0</v>
      </c>
      <c r="D4354" t="s">
        <v>4080</v>
      </c>
      <c r="E4354">
        <v>2019</v>
      </c>
      <c r="F4354" s="9"/>
      <c r="H4354" s="20" t="str">
        <f t="shared" si="67"/>
        <v>(nextval('obj_part_id_seq'), (select id from obj_building_v where zip||'|'||street||'|'||name||'|'||volume = '8153|Katzenrütistrasse bei 6|Primarschulhaus Rümlang inkl. Turnhalle|14846.00'), 'P62', 0, null, 2019,null),</v>
      </c>
    </row>
    <row r="4355" spans="1:8" x14ac:dyDescent="0.25">
      <c r="A4355" s="9" t="s">
        <v>3769</v>
      </c>
      <c r="B4355" s="9" t="s">
        <v>1127</v>
      </c>
      <c r="C4355">
        <v>40</v>
      </c>
      <c r="D4355">
        <v>85</v>
      </c>
      <c r="E4355">
        <v>2020</v>
      </c>
      <c r="F4355" s="9" t="s">
        <v>1369</v>
      </c>
      <c r="H4355" s="20" t="str">
        <f t="shared" si="67"/>
        <v>(nextval('obj_part_id_seq'), (select id from obj_building_v where zip||'|'||street||'|'||name||'|'||volume = '8556|Kirchstrasse 12a|Sekundarschulgebäude|18276.00'), 'P48', 40, 85, 2020,'Stahlbeton, Mauerwerk'),</v>
      </c>
    </row>
    <row r="4356" spans="1:8" x14ac:dyDescent="0.25">
      <c r="A4356" s="9" t="s">
        <v>3769</v>
      </c>
      <c r="B4356" s="9" t="s">
        <v>1129</v>
      </c>
      <c r="C4356">
        <v>0</v>
      </c>
      <c r="D4356" t="s">
        <v>4080</v>
      </c>
      <c r="E4356">
        <v>2020</v>
      </c>
      <c r="F4356" s="9"/>
      <c r="H4356" s="20" t="str">
        <f t="shared" si="67"/>
        <v>(nextval('obj_part_id_seq'), (select id from obj_building_v where zip||'|'||street||'|'||name||'|'||volume = '8556|Kirchstrasse 12a|Sekundarschulgebäude|18276.00'), 'P49', 0, null, 2020,null),</v>
      </c>
    </row>
    <row r="4357" spans="1:8" x14ac:dyDescent="0.25">
      <c r="A4357" s="9" t="s">
        <v>3769</v>
      </c>
      <c r="B4357" s="9" t="s">
        <v>1097</v>
      </c>
      <c r="C4357">
        <v>4</v>
      </c>
      <c r="D4357">
        <v>80</v>
      </c>
      <c r="E4357">
        <v>2020</v>
      </c>
      <c r="F4357" s="9" t="s">
        <v>3770</v>
      </c>
      <c r="H4357" s="20" t="str">
        <f t="shared" ref="H4357:H4420" si="68">"(nextval('obj_part_id_seq'), (select id from obj_building_v where zip||'|'||street||'|'||name||'|'||volume = '"&amp;A4357&amp;"'), '"&amp;B4357&amp;"', "&amp;C4357&amp;", "&amp;D4357&amp;", "&amp;IF(ISBLANK(E4357),"null",E4357)&amp;","&amp;IF(ISBLANK(F4357),"null","'"&amp;F4357&amp;"'")&amp;"),"</f>
        <v>(nextval('obj_part_id_seq'), (select id from obj_building_v where zip||'|'||street||'|'||name||'|'||volume = '8556|Kirchstrasse 12a|Sekundarschulgebäude|18276.00'), 'P2', 4, 80, 2020,'Schmetterlingsdach mit Fachwerk aus Holz und Eindeckung aus Blech, Ablauf teilweise defekt, Wassereintritt'),</v>
      </c>
    </row>
    <row r="4358" spans="1:8" x14ac:dyDescent="0.25">
      <c r="A4358" s="9" t="s">
        <v>3769</v>
      </c>
      <c r="B4358" s="9" t="s">
        <v>1099</v>
      </c>
      <c r="C4358">
        <v>4</v>
      </c>
      <c r="D4358">
        <v>85</v>
      </c>
      <c r="E4358">
        <v>2020</v>
      </c>
      <c r="F4358" s="9" t="s">
        <v>3771</v>
      </c>
      <c r="H4358" s="20" t="str">
        <f t="shared" si="68"/>
        <v>(nextval('obj_part_id_seq'), (select id from obj_building_v where zip||'|'||street||'|'||name||'|'||volume = '8556|Kirchstrasse 12a|Sekundarschulgebäude|18276.00'), 'P3', 4, 85, 2020,'Kiesklebedach, neues Glas Unterdach bei der Einganstür'),</v>
      </c>
    </row>
    <row r="4359" spans="1:8" x14ac:dyDescent="0.25">
      <c r="A4359" s="9" t="s">
        <v>3769</v>
      </c>
      <c r="B4359" s="9" t="s">
        <v>1100</v>
      </c>
      <c r="C4359">
        <v>7</v>
      </c>
      <c r="D4359">
        <v>80</v>
      </c>
      <c r="E4359">
        <v>2020</v>
      </c>
      <c r="F4359" s="9" t="s">
        <v>3772</v>
      </c>
      <c r="H4359" s="20" t="str">
        <f t="shared" si="68"/>
        <v>(nextval('obj_part_id_seq'), (select id from obj_building_v where zip||'|'||street||'|'||name||'|'||volume = '8556|Kirchstrasse 12a|Sekundarschulgebäude|18276.00'), 'P4', 7, 80, 2020,'Mauerwerk verputzt, teilweise vermoost'),</v>
      </c>
    </row>
    <row r="4360" spans="1:8" x14ac:dyDescent="0.25">
      <c r="A4360" s="9" t="s">
        <v>3769</v>
      </c>
      <c r="B4360" s="9" t="s">
        <v>1102</v>
      </c>
      <c r="C4360">
        <v>10</v>
      </c>
      <c r="D4360">
        <v>80</v>
      </c>
      <c r="E4360">
        <v>2020</v>
      </c>
      <c r="F4360" s="9" t="s">
        <v>3773</v>
      </c>
      <c r="H4360" s="20" t="str">
        <f t="shared" si="68"/>
        <v>(nextval('obj_part_id_seq'), (select id from obj_building_v where zip||'|'||street||'|'||name||'|'||volume = '8556|Kirchstrasse 12a|Sekundarschulgebäude|18276.00'), 'P5', 10, 80, 2020,'Eingangstür aus Metal und Glas, manuelle Rollläden, Mittagsraum: Fenster defekt'),</v>
      </c>
    </row>
    <row r="4361" spans="1:8" x14ac:dyDescent="0.25">
      <c r="A4361" s="9" t="s">
        <v>3769</v>
      </c>
      <c r="B4361" s="9" t="s">
        <v>1164</v>
      </c>
      <c r="C4361">
        <v>6</v>
      </c>
      <c r="D4361">
        <v>85</v>
      </c>
      <c r="E4361">
        <v>2020</v>
      </c>
      <c r="F4361" s="9" t="s">
        <v>3774</v>
      </c>
      <c r="H4361" s="20" t="str">
        <f t="shared" si="68"/>
        <v>(nextval('obj_part_id_seq'), (select id from obj_building_v where zip||'|'||street||'|'||name||'|'||volume = '8556|Kirchstrasse 12a|Sekundarschulgebäude|18276.00'), 'P50', 6, 85, 2020,'Genügende Absicherungen, Teilweise alte Beleuchtung, Notlichtanlage'),</v>
      </c>
    </row>
    <row r="4362" spans="1:8" x14ac:dyDescent="0.25">
      <c r="A4362" s="9" t="s">
        <v>3769</v>
      </c>
      <c r="B4362" s="9" t="s">
        <v>1166</v>
      </c>
      <c r="C4362">
        <v>1</v>
      </c>
      <c r="D4362">
        <v>85</v>
      </c>
      <c r="E4362">
        <v>2020</v>
      </c>
      <c r="F4362" s="9" t="s">
        <v>3775</v>
      </c>
      <c r="H4362" s="20" t="str">
        <f t="shared" si="68"/>
        <v>(nextval('obj_part_id_seq'), (select id from obj_building_v where zip||'|'||street||'|'||name||'|'||volume = '8556|Kirchstrasse 12a|Sekundarschulgebäude|18276.00'), 'P51', 1, 85, 2020,'Steuerung Notlichtanlage, Server'),</v>
      </c>
    </row>
    <row r="4363" spans="1:8" x14ac:dyDescent="0.25">
      <c r="A4363" s="9" t="s">
        <v>3769</v>
      </c>
      <c r="B4363" s="9" t="s">
        <v>1104</v>
      </c>
      <c r="C4363">
        <v>1</v>
      </c>
      <c r="D4363">
        <v>90</v>
      </c>
      <c r="E4363">
        <v>2020</v>
      </c>
      <c r="F4363" s="9" t="s">
        <v>3776</v>
      </c>
      <c r="H4363" s="20" t="str">
        <f t="shared" si="68"/>
        <v>(nextval('obj_part_id_seq'), (select id from obj_building_v where zip||'|'||street||'|'||name||'|'||volume = '8556|Kirchstrasse 12a|Sekundarschulgebäude|18276.00'), 'P6', 1, 90, 2020,'Fernwärme von Holzschnitzelheizung (bei Turnhalle/Werkzentrum), tw. Gasheizung Werkzentrum. Eigentumsverhältnisse unklar (Pol. Gemeinde oder Schulgemeinde?)'),</v>
      </c>
    </row>
    <row r="4364" spans="1:8" x14ac:dyDescent="0.25">
      <c r="A4364" s="9" t="s">
        <v>3769</v>
      </c>
      <c r="B4364" s="9" t="s">
        <v>1106</v>
      </c>
      <c r="C4364">
        <v>3</v>
      </c>
      <c r="D4364">
        <v>85</v>
      </c>
      <c r="E4364">
        <v>2020</v>
      </c>
      <c r="F4364" s="9" t="s">
        <v>1107</v>
      </c>
      <c r="H4364" s="20" t="str">
        <f t="shared" si="68"/>
        <v>(nextval('obj_part_id_seq'), (select id from obj_building_v where zip||'|'||street||'|'||name||'|'||volume = '8556|Kirchstrasse 12a|Sekundarschulgebäude|18276.00'), 'P7', 3, 85, 2020,'Radiatoren mit Thermostaten'),</v>
      </c>
    </row>
    <row r="4365" spans="1:8" x14ac:dyDescent="0.25">
      <c r="A4365" s="9" t="s">
        <v>3769</v>
      </c>
      <c r="B4365" s="9" t="s">
        <v>1108</v>
      </c>
      <c r="C4365">
        <v>4</v>
      </c>
      <c r="D4365">
        <v>85</v>
      </c>
      <c r="E4365">
        <v>2020</v>
      </c>
      <c r="F4365" s="9" t="s">
        <v>3777</v>
      </c>
      <c r="H4365" s="20" t="str">
        <f t="shared" si="68"/>
        <v>(nextval('obj_part_id_seq'), (select id from obj_building_v where zip||'|'||street||'|'||name||'|'||volume = '8556|Kirchstrasse 12a|Sekundarschulgebäude|18276.00'), 'P8', 4, 85, 2020,'Waschmaschine, Chromstahlleitungen, Entkalkungsanlage, teilweise wenig Druck beim WC'),</v>
      </c>
    </row>
    <row r="4366" spans="1:8" x14ac:dyDescent="0.25">
      <c r="A4366" s="9" t="s">
        <v>3769</v>
      </c>
      <c r="B4366" s="9" t="s">
        <v>1138</v>
      </c>
      <c r="C4366">
        <v>11</v>
      </c>
      <c r="D4366">
        <v>85</v>
      </c>
      <c r="E4366">
        <v>2020</v>
      </c>
      <c r="F4366" s="9" t="s">
        <v>3778</v>
      </c>
      <c r="H4366" s="20" t="str">
        <f t="shared" si="68"/>
        <v>(nextval('obj_part_id_seq'), (select id from obj_building_v where zip||'|'||street||'|'||name||'|'||volume = '8556|Kirchstrasse 12a|Sekundarschulgebäude|18276.00'), 'P57', 11, 85, 2020,'Garderobe, Innere Verglasung, Treppengeländer aus Metall, Einbauschränke, Küche beim Mittagstisch, Schulküche, Küchengeräte wurden ersetzt'),</v>
      </c>
    </row>
    <row r="4367" spans="1:8" x14ac:dyDescent="0.25">
      <c r="A4367" s="9" t="s">
        <v>3769</v>
      </c>
      <c r="B4367" s="9" t="s">
        <v>1140</v>
      </c>
      <c r="C4367">
        <v>8</v>
      </c>
      <c r="D4367">
        <v>80</v>
      </c>
      <c r="E4367">
        <v>2020</v>
      </c>
      <c r="F4367" s="9" t="s">
        <v>3779</v>
      </c>
      <c r="H4367" s="20" t="str">
        <f t="shared" si="68"/>
        <v>(nextval('obj_part_id_seq'), (select id from obj_building_v where zip||'|'||street||'|'||name||'|'||volume = '8556|Kirchstrasse 12a|Sekundarschulgebäude|18276.00'), 'P58', 8, 80, 2020,'Boden: Teppich im Eingang, Linol, Parkett (tw. beschädigt aufgrund Wassereintritts), \nWand: Holz, Beton, Putz, KS und Beton im UG\nDecke: Beton, Täfer'),</v>
      </c>
    </row>
    <row r="4368" spans="1:8" x14ac:dyDescent="0.25">
      <c r="A4368" s="9" t="s">
        <v>3769</v>
      </c>
      <c r="B4368" s="9" t="s">
        <v>1142</v>
      </c>
      <c r="C4368">
        <v>0</v>
      </c>
      <c r="D4368" t="s">
        <v>4080</v>
      </c>
      <c r="E4368">
        <v>2020</v>
      </c>
      <c r="F4368" s="9"/>
      <c r="H4368" s="20" t="str">
        <f t="shared" si="68"/>
        <v>(nextval('obj_part_id_seq'), (select id from obj_building_v where zip||'|'||street||'|'||name||'|'||volume = '8556|Kirchstrasse 12a|Sekundarschulgebäude|18276.00'), 'P60', 0, null, 2020,null),</v>
      </c>
    </row>
    <row r="4369" spans="1:8" x14ac:dyDescent="0.25">
      <c r="A4369" s="9" t="s">
        <v>3769</v>
      </c>
      <c r="B4369" s="9" t="s">
        <v>1143</v>
      </c>
      <c r="C4369">
        <v>1</v>
      </c>
      <c r="D4369">
        <v>90</v>
      </c>
      <c r="E4369">
        <v>2020</v>
      </c>
      <c r="F4369" s="9" t="s">
        <v>3371</v>
      </c>
      <c r="H4369" s="20" t="str">
        <f t="shared" si="68"/>
        <v>(nextval('obj_part_id_seq'), (select id from obj_building_v where zip||'|'||street||'|'||name||'|'||volume = '8556|Kirchstrasse 12a|Sekundarschulgebäude|18276.00'), 'P61', 1, 90, 2020,'Personenaufzug'),</v>
      </c>
    </row>
    <row r="4370" spans="1:8" x14ac:dyDescent="0.25">
      <c r="A4370" s="9" t="s">
        <v>3769</v>
      </c>
      <c r="B4370" s="9" t="s">
        <v>1144</v>
      </c>
      <c r="C4370">
        <v>0</v>
      </c>
      <c r="D4370" t="s">
        <v>4080</v>
      </c>
      <c r="E4370">
        <v>2020</v>
      </c>
      <c r="F4370" s="9"/>
      <c r="H4370" s="20" t="str">
        <f t="shared" si="68"/>
        <v>(nextval('obj_part_id_seq'), (select id from obj_building_v where zip||'|'||street||'|'||name||'|'||volume = '8556|Kirchstrasse 12a|Sekundarschulgebäude|18276.00'), 'P62', 0, null, 2020,null),</v>
      </c>
    </row>
    <row r="4371" spans="1:8" x14ac:dyDescent="0.25">
      <c r="A4371" s="9" t="s">
        <v>3780</v>
      </c>
      <c r="B4371" s="9" t="s">
        <v>1127</v>
      </c>
      <c r="C4371">
        <v>41</v>
      </c>
      <c r="D4371">
        <v>85</v>
      </c>
      <c r="E4371">
        <v>2020</v>
      </c>
      <c r="F4371" s="9" t="s">
        <v>1787</v>
      </c>
      <c r="H4371" s="20" t="str">
        <f t="shared" si="68"/>
        <v>(nextval('obj_part_id_seq'), (select id from obj_building_v where zip||'|'||street||'|'||name||'|'||volume = '8556|Schulstrasse 7|Primarschule Raperswilen, Altbau inkl. Whg|2834.00'), 'P48', 41, 85, 2020,'Mauerwerk mit Holzbalkendecken'),</v>
      </c>
    </row>
    <row r="4372" spans="1:8" x14ac:dyDescent="0.25">
      <c r="A4372" s="9" t="s">
        <v>3780</v>
      </c>
      <c r="B4372" s="9" t="s">
        <v>1129</v>
      </c>
      <c r="C4372">
        <v>0</v>
      </c>
      <c r="D4372" t="s">
        <v>4080</v>
      </c>
      <c r="E4372">
        <v>2020</v>
      </c>
      <c r="F4372" s="9"/>
      <c r="H4372" s="20" t="str">
        <f t="shared" si="68"/>
        <v>(nextval('obj_part_id_seq'), (select id from obj_building_v where zip||'|'||street||'|'||name||'|'||volume = '8556|Schulstrasse 7|Primarschule Raperswilen, Altbau inkl. Whg|2834.00'), 'P49', 0, null, 2020,null),</v>
      </c>
    </row>
    <row r="4373" spans="1:8" x14ac:dyDescent="0.25">
      <c r="A4373" s="9" t="s">
        <v>3780</v>
      </c>
      <c r="B4373" s="9" t="s">
        <v>1097</v>
      </c>
      <c r="C4373">
        <v>8</v>
      </c>
      <c r="D4373">
        <v>90</v>
      </c>
      <c r="E4373">
        <v>2020</v>
      </c>
      <c r="F4373" s="9" t="s">
        <v>3781</v>
      </c>
      <c r="H4373" s="20" t="str">
        <f t="shared" si="68"/>
        <v>(nextval('obj_part_id_seq'), (select id from obj_building_v where zip||'|'||street||'|'||name||'|'||volume = '8556|Schulstrasse 7|Primarschule Raperswilen, Altbau inkl. Whg|2834.00'), 'P2', 8, 90, 2020,'Falzziegel, leicht vermoost, Dachraum Isoliert'),</v>
      </c>
    </row>
    <row r="4374" spans="1:8" x14ac:dyDescent="0.25">
      <c r="A4374" s="9" t="s">
        <v>3780</v>
      </c>
      <c r="B4374" s="9" t="s">
        <v>1099</v>
      </c>
      <c r="C4374">
        <v>0</v>
      </c>
      <c r="D4374" t="s">
        <v>4080</v>
      </c>
      <c r="E4374">
        <v>2020</v>
      </c>
      <c r="F4374" s="9"/>
      <c r="H4374" s="20" t="str">
        <f t="shared" si="68"/>
        <v>(nextval('obj_part_id_seq'), (select id from obj_building_v where zip||'|'||street||'|'||name||'|'||volume = '8556|Schulstrasse 7|Primarschule Raperswilen, Altbau inkl. Whg|2834.00'), 'P3', 0, null, 2020,null),</v>
      </c>
    </row>
    <row r="4375" spans="1:8" x14ac:dyDescent="0.25">
      <c r="A4375" s="9" t="s">
        <v>3780</v>
      </c>
      <c r="B4375" s="9" t="s">
        <v>1100</v>
      </c>
      <c r="C4375">
        <v>7</v>
      </c>
      <c r="D4375">
        <v>85</v>
      </c>
      <c r="E4375">
        <v>2020</v>
      </c>
      <c r="F4375" s="9" t="s">
        <v>3782</v>
      </c>
      <c r="H4375" s="20" t="str">
        <f t="shared" si="68"/>
        <v>(nextval('obj_part_id_seq'), (select id from obj_building_v where zip||'|'||street||'|'||name||'|'||volume = '8556|Schulstrasse 7|Primarschule Raperswilen, Altbau inkl. Whg|2834.00'), 'P4', 7, 85, 2020,'Mauerwerk verputzt, Sockel und Gewände aus Naturstein'),</v>
      </c>
    </row>
    <row r="4376" spans="1:8" x14ac:dyDescent="0.25">
      <c r="A4376" s="9" t="s">
        <v>3780</v>
      </c>
      <c r="B4376" s="9" t="s">
        <v>1102</v>
      </c>
      <c r="C4376">
        <v>10</v>
      </c>
      <c r="D4376">
        <v>85</v>
      </c>
      <c r="E4376">
        <v>2020</v>
      </c>
      <c r="F4376" s="9" t="s">
        <v>3783</v>
      </c>
      <c r="H4376" s="20" t="str">
        <f t="shared" si="68"/>
        <v>(nextval('obj_part_id_seq'), (select id from obj_building_v where zip||'|'||street||'|'||name||'|'||volume = '8556|Schulstrasse 7|Primarschule Raperswilen, Altbau inkl. Whg|2834.00'), 'P5', 10, 85, 2020,'Holzfenster April ''89, Gitter vor Glasfüllungen (Eingangstür), Aluläden'),</v>
      </c>
    </row>
    <row r="4377" spans="1:8" x14ac:dyDescent="0.25">
      <c r="A4377" s="9" t="s">
        <v>3780</v>
      </c>
      <c r="B4377" s="9" t="s">
        <v>1164</v>
      </c>
      <c r="C4377">
        <v>6</v>
      </c>
      <c r="D4377">
        <v>90</v>
      </c>
      <c r="E4377">
        <v>2020</v>
      </c>
      <c r="F4377" s="9" t="s">
        <v>3784</v>
      </c>
      <c r="H4377" s="20" t="str">
        <f t="shared" si="68"/>
        <v>(nextval('obj_part_id_seq'), (select id from obj_building_v where zip||'|'||street||'|'||name||'|'||volume = '8556|Schulstrasse 7|Primarschule Raperswilen, Altbau inkl. Whg|2834.00'), 'P50', 6, 90, 2020,'EDV, FI-Schutzschalter vorh.'),</v>
      </c>
    </row>
    <row r="4378" spans="1:8" x14ac:dyDescent="0.25">
      <c r="A4378" s="9" t="s">
        <v>3780</v>
      </c>
      <c r="B4378" s="9" t="s">
        <v>1166</v>
      </c>
      <c r="C4378">
        <v>1</v>
      </c>
      <c r="D4378">
        <v>90</v>
      </c>
      <c r="E4378">
        <v>2020</v>
      </c>
      <c r="F4378" s="9"/>
      <c r="H4378" s="20" t="str">
        <f t="shared" si="68"/>
        <v>(nextval('obj_part_id_seq'), (select id from obj_building_v where zip||'|'||street||'|'||name||'|'||volume = '8556|Schulstrasse 7|Primarschule Raperswilen, Altbau inkl. Whg|2834.00'), 'P51', 1, 90, 2020,null),</v>
      </c>
    </row>
    <row r="4379" spans="1:8" x14ac:dyDescent="0.25">
      <c r="A4379" s="9" t="s">
        <v>3780</v>
      </c>
      <c r="B4379" s="9" t="s">
        <v>1104</v>
      </c>
      <c r="C4379">
        <v>1</v>
      </c>
      <c r="D4379">
        <v>80</v>
      </c>
      <c r="E4379">
        <v>2020</v>
      </c>
      <c r="F4379" s="9" t="s">
        <v>3785</v>
      </c>
      <c r="H4379" s="20" t="str">
        <f t="shared" si="68"/>
        <v>(nextval('obj_part_id_seq'), (select id from obj_building_v where zip||'|'||street||'|'||name||'|'||volume = '8556|Schulstrasse 7|Primarschule Raperswilen, Altbau inkl. Whg|2834.00'), 'P6', 1, 80, 2020,'Holzpelletheizung, Boiler'),</v>
      </c>
    </row>
    <row r="4380" spans="1:8" x14ac:dyDescent="0.25">
      <c r="A4380" s="9" t="s">
        <v>3780</v>
      </c>
      <c r="B4380" s="9" t="s">
        <v>1106</v>
      </c>
      <c r="C4380">
        <v>3</v>
      </c>
      <c r="D4380">
        <v>85</v>
      </c>
      <c r="E4380">
        <v>2020</v>
      </c>
      <c r="F4380" s="9" t="s">
        <v>1107</v>
      </c>
      <c r="H4380" s="20" t="str">
        <f t="shared" si="68"/>
        <v>(nextval('obj_part_id_seq'), (select id from obj_building_v where zip||'|'||street||'|'||name||'|'||volume = '8556|Schulstrasse 7|Primarschule Raperswilen, Altbau inkl. Whg|2834.00'), 'P7', 3, 85, 2020,'Radiatoren mit Thermostaten'),</v>
      </c>
    </row>
    <row r="4381" spans="1:8" x14ac:dyDescent="0.25">
      <c r="A4381" s="9" t="s">
        <v>3780</v>
      </c>
      <c r="B4381" s="9" t="s">
        <v>1108</v>
      </c>
      <c r="C4381">
        <v>4</v>
      </c>
      <c r="D4381">
        <v>85</v>
      </c>
      <c r="E4381">
        <v>2020</v>
      </c>
      <c r="F4381" s="9" t="s">
        <v>2202</v>
      </c>
      <c r="H4381" s="20" t="str">
        <f t="shared" si="68"/>
        <v>(nextval('obj_part_id_seq'), (select id from obj_building_v where zip||'|'||street||'|'||name||'|'||volume = '8556|Schulstrasse 7|Primarschule Raperswilen, Altbau inkl. Whg|2834.00'), 'P8', 4, 85, 2020,'Genügender Druck vorhanden'),</v>
      </c>
    </row>
    <row r="4382" spans="1:8" x14ac:dyDescent="0.25">
      <c r="A4382" s="9" t="s">
        <v>3780</v>
      </c>
      <c r="B4382" s="9" t="s">
        <v>1138</v>
      </c>
      <c r="C4382">
        <v>11</v>
      </c>
      <c r="D4382">
        <v>85</v>
      </c>
      <c r="E4382">
        <v>2020</v>
      </c>
      <c r="F4382" s="9" t="s">
        <v>3786</v>
      </c>
      <c r="H4382" s="20" t="str">
        <f t="shared" si="68"/>
        <v>(nextval('obj_part_id_seq'), (select id from obj_building_v where zip||'|'||street||'|'||name||'|'||volume = '8556|Schulstrasse 7|Primarschule Raperswilen, Altbau inkl. Whg|2834.00'), 'P57', 11, 85, 2020,'Einbauschränke, Fenstersims aus Holz (Arbeitssims), Teeküche, Garderoben, Wohnungsküche mit Geschirrspüler, Holzrahmentüren'),</v>
      </c>
    </row>
    <row r="4383" spans="1:8" x14ac:dyDescent="0.25">
      <c r="A4383" s="9" t="s">
        <v>3780</v>
      </c>
      <c r="B4383" s="9" t="s">
        <v>1140</v>
      </c>
      <c r="C4383">
        <v>8</v>
      </c>
      <c r="D4383">
        <v>80</v>
      </c>
      <c r="E4383">
        <v>2020</v>
      </c>
      <c r="F4383" s="9" t="s">
        <v>3787</v>
      </c>
      <c r="H4383" s="20" t="str">
        <f t="shared" si="68"/>
        <v>(nextval('obj_part_id_seq'), (select id from obj_building_v where zip||'|'||street||'|'||name||'|'||volume = '8556|Schulstrasse 7|Primarschule Raperswilen, Altbau inkl. Whg|2834.00'), 'P58', 8, 80, 2020,'Boden: Klinker, Parkett, Naturstein, Keramik\nDecke: Holztäfer, Holzbalken (tw. beschädigt)\nWand: Putz, Glasfasertapeten, Rauhfasertapeten, Keramik'),</v>
      </c>
    </row>
    <row r="4384" spans="1:8" x14ac:dyDescent="0.25">
      <c r="A4384" s="9" t="s">
        <v>3780</v>
      </c>
      <c r="B4384" s="9" t="s">
        <v>1142</v>
      </c>
      <c r="C4384">
        <v>0</v>
      </c>
      <c r="D4384" t="s">
        <v>4080</v>
      </c>
      <c r="E4384">
        <v>2020</v>
      </c>
      <c r="F4384" s="9"/>
      <c r="H4384" s="20" t="str">
        <f t="shared" si="68"/>
        <v>(nextval('obj_part_id_seq'), (select id from obj_building_v where zip||'|'||street||'|'||name||'|'||volume = '8556|Schulstrasse 7|Primarschule Raperswilen, Altbau inkl. Whg|2834.00'), 'P60', 0, null, 2020,null),</v>
      </c>
    </row>
    <row r="4385" spans="1:8" x14ac:dyDescent="0.25">
      <c r="A4385" s="9" t="s">
        <v>3780</v>
      </c>
      <c r="B4385" s="9" t="s">
        <v>1143</v>
      </c>
      <c r="C4385">
        <v>0</v>
      </c>
      <c r="D4385" t="s">
        <v>4080</v>
      </c>
      <c r="E4385">
        <v>2020</v>
      </c>
      <c r="F4385" s="9"/>
      <c r="H4385" s="20" t="str">
        <f t="shared" si="68"/>
        <v>(nextval('obj_part_id_seq'), (select id from obj_building_v where zip||'|'||street||'|'||name||'|'||volume = '8556|Schulstrasse 7|Primarschule Raperswilen, Altbau inkl. Whg|2834.00'), 'P61', 0, null, 2020,null),</v>
      </c>
    </row>
    <row r="4386" spans="1:8" x14ac:dyDescent="0.25">
      <c r="A4386" s="9" t="s">
        <v>3780</v>
      </c>
      <c r="B4386" s="9" t="s">
        <v>1144</v>
      </c>
      <c r="C4386">
        <v>0</v>
      </c>
      <c r="D4386" t="s">
        <v>4080</v>
      </c>
      <c r="E4386">
        <v>2020</v>
      </c>
      <c r="F4386" s="9"/>
      <c r="H4386" s="20" t="str">
        <f t="shared" si="68"/>
        <v>(nextval('obj_part_id_seq'), (select id from obj_building_v where zip||'|'||street||'|'||name||'|'||volume = '8556|Schulstrasse 7|Primarschule Raperswilen, Altbau inkl. Whg|2834.00'), 'P62', 0, null, 2020,null),</v>
      </c>
    </row>
    <row r="4387" spans="1:8" x14ac:dyDescent="0.25">
      <c r="A4387" s="9" t="s">
        <v>3788</v>
      </c>
      <c r="B4387" s="9" t="s">
        <v>1127</v>
      </c>
      <c r="C4387">
        <v>30</v>
      </c>
      <c r="D4387">
        <v>80</v>
      </c>
      <c r="E4387">
        <v>2021</v>
      </c>
      <c r="F4387" s="9" t="s">
        <v>3789</v>
      </c>
      <c r="H4387" s="20" t="str">
        <f t="shared" si="68"/>
        <v>(nextval('obj_part_id_seq'), (select id from obj_building_v where zip||'|'||street||'|'||name||'|'||volume = '5318|Hauptstrasse 46|EFH|670.00'), 'P48', 30, 80, 2021,'Mauerwerk, Brandmauer tw. aus Bruchsteinmauerwerk, Holzbalkendecken (auch über UG), im UG tw. Feuchtigkeitsspuren sichtbar (Schimmelpilzbildung)'),</v>
      </c>
    </row>
    <row r="4388" spans="1:8" x14ac:dyDescent="0.25">
      <c r="A4388" s="9" t="s">
        <v>3788</v>
      </c>
      <c r="B4388" s="9" t="s">
        <v>1129</v>
      </c>
      <c r="C4388">
        <v>0</v>
      </c>
      <c r="D4388" t="s">
        <v>4080</v>
      </c>
      <c r="E4388">
        <v>2021</v>
      </c>
      <c r="F4388" s="9"/>
      <c r="H4388" s="20" t="str">
        <f t="shared" si="68"/>
        <v>(nextval('obj_part_id_seq'), (select id from obj_building_v where zip||'|'||street||'|'||name||'|'||volume = '5318|Hauptstrasse 46|EFH|670.00'), 'P49', 0, null, 2021,null),</v>
      </c>
    </row>
    <row r="4389" spans="1:8" x14ac:dyDescent="0.25">
      <c r="A4389" s="9" t="s">
        <v>3788</v>
      </c>
      <c r="B4389" s="9" t="s">
        <v>1097</v>
      </c>
      <c r="C4389">
        <v>13</v>
      </c>
      <c r="D4389">
        <v>85</v>
      </c>
      <c r="E4389">
        <v>2021</v>
      </c>
      <c r="F4389" s="9" t="s">
        <v>3790</v>
      </c>
      <c r="H4389" s="20" t="str">
        <f t="shared" si="68"/>
        <v>(nextval('obj_part_id_seq'), (select id from obj_building_v where zip||'|'||street||'|'||name||'|'||volume = '5318|Hauptstrasse 46|EFH|670.00'), 'P2', 13, 85, 2021,'Ziegeldach mit Gaupe, Dachuntersichten aus Holz ungestrichen, Dachraum trocken, einseitig Unterdach aus Holzwerkstoffplatten, Dachflächenfenster'),</v>
      </c>
    </row>
    <row r="4390" spans="1:8" x14ac:dyDescent="0.25">
      <c r="A4390" s="9" t="s">
        <v>3788</v>
      </c>
      <c r="B4390" s="9" t="s">
        <v>1099</v>
      </c>
      <c r="C4390">
        <v>0</v>
      </c>
      <c r="D4390" t="s">
        <v>4080</v>
      </c>
      <c r="E4390">
        <v>2021</v>
      </c>
      <c r="F4390" s="9"/>
      <c r="H4390" s="20" t="str">
        <f t="shared" si="68"/>
        <v>(nextval('obj_part_id_seq'), (select id from obj_building_v where zip||'|'||street||'|'||name||'|'||volume = '5318|Hauptstrasse 46|EFH|670.00'), 'P3', 0, null, 2021,null),</v>
      </c>
    </row>
    <row r="4391" spans="1:8" x14ac:dyDescent="0.25">
      <c r="A4391" s="9" t="s">
        <v>3788</v>
      </c>
      <c r="B4391" s="9" t="s">
        <v>1100</v>
      </c>
      <c r="C4391">
        <v>8</v>
      </c>
      <c r="D4391">
        <v>70</v>
      </c>
      <c r="E4391">
        <v>2021</v>
      </c>
      <c r="F4391" s="9" t="s">
        <v>3791</v>
      </c>
      <c r="H4391" s="20" t="str">
        <f t="shared" si="68"/>
        <v>(nextval('obj_part_id_seq'), (select id from obj_building_v where zip||'|'||street||'|'||name||'|'||volume = '5318|Hauptstrasse 46|EFH|670.00'), 'P4', 8, 70, 2021,'Mauerwerk, verputzt, auf Strassenseite mit Kletterpflanze bewachsen, verschmutzt, hofseitig im Sockelbereich Verschmutzungen, Gewände aus Naturstein, Isolation ungenügend, Laubengang hofseitig aus Holz'),</v>
      </c>
    </row>
    <row r="4392" spans="1:8" x14ac:dyDescent="0.25">
      <c r="A4392" s="9" t="s">
        <v>3788</v>
      </c>
      <c r="B4392" s="9" t="s">
        <v>1102</v>
      </c>
      <c r="C4392">
        <v>13</v>
      </c>
      <c r="D4392">
        <v>85</v>
      </c>
      <c r="E4392">
        <v>2021</v>
      </c>
      <c r="F4392" s="9" t="s">
        <v>3792</v>
      </c>
      <c r="H4392" s="20" t="str">
        <f t="shared" si="68"/>
        <v>(nextval('obj_part_id_seq'), (select id from obj_building_v where zip||'|'||street||'|'||name||'|'||volume = '5318|Hauptstrasse 46|EFH|670.00'), 'P5', 13, 85, 2021,'Kunststofffenster und Holzfenster ''08, Holzfenster 1/90 im Wohnzimmer, im DG Holzfenster mit Doppelverglasung, gekittet und verschraubt'),</v>
      </c>
    </row>
    <row r="4393" spans="1:8" x14ac:dyDescent="0.25">
      <c r="A4393" s="9" t="s">
        <v>3788</v>
      </c>
      <c r="B4393" s="9" t="s">
        <v>1110</v>
      </c>
      <c r="C4393">
        <v>3</v>
      </c>
      <c r="D4393">
        <v>70</v>
      </c>
      <c r="E4393">
        <v>2021</v>
      </c>
      <c r="F4393" s="9" t="s">
        <v>3793</v>
      </c>
      <c r="H4393" s="20" t="str">
        <f t="shared" si="68"/>
        <v>(nextval('obj_part_id_seq'), (select id from obj_building_v where zip||'|'||street||'|'||name||'|'||volume = '5318|Hauptstrasse 46|EFH|670.00'), 'P9', 3, 70, 2021,'Alte Keramiksicherungen vorh., Grundplatte vermutlich asbesthaltig, keine FI-Schutzschalter vorhanden'),</v>
      </c>
    </row>
    <row r="4394" spans="1:8" x14ac:dyDescent="0.25">
      <c r="A4394" s="9" t="s">
        <v>3788</v>
      </c>
      <c r="B4394" s="9" t="s">
        <v>1104</v>
      </c>
      <c r="C4394">
        <v>4</v>
      </c>
      <c r="D4394">
        <v>70</v>
      </c>
      <c r="E4394">
        <v>2021</v>
      </c>
      <c r="F4394" s="9" t="s">
        <v>3794</v>
      </c>
      <c r="H4394" s="20" t="str">
        <f t="shared" si="68"/>
        <v>(nextval('obj_part_id_seq'), (select id from obj_building_v where zip||'|'||street||'|'||name||'|'||volume = '5318|Hauptstrasse 46|EFH|670.00'), 'P6', 4, 70, 2021,'Elektrospeicheröfen mit Thermostaten, Elektroboiler (defekt), Kachelofen (1956) in gutem Zustand'),</v>
      </c>
    </row>
    <row r="4395" spans="1:8" x14ac:dyDescent="0.25">
      <c r="A4395" s="9" t="s">
        <v>3788</v>
      </c>
      <c r="B4395" s="9" t="s">
        <v>1106</v>
      </c>
      <c r="C4395">
        <v>3</v>
      </c>
      <c r="D4395">
        <v>80</v>
      </c>
      <c r="E4395">
        <v>2021</v>
      </c>
      <c r="F4395" s="9" t="s">
        <v>3795</v>
      </c>
      <c r="H4395" s="20" t="str">
        <f t="shared" si="68"/>
        <v>(nextval('obj_part_id_seq'), (select id from obj_building_v where zip||'|'||street||'|'||name||'|'||volume = '5318|Hauptstrasse 46|EFH|670.00'), 'P7', 3, 80, 2021,'Elektroöfen'),</v>
      </c>
    </row>
    <row r="4396" spans="1:8" x14ac:dyDescent="0.25">
      <c r="A4396" s="9" t="s">
        <v>3788</v>
      </c>
      <c r="B4396" s="9" t="s">
        <v>1135</v>
      </c>
      <c r="C4396">
        <v>2</v>
      </c>
      <c r="D4396">
        <v>80</v>
      </c>
      <c r="E4396">
        <v>2021</v>
      </c>
      <c r="F4396" s="9" t="s">
        <v>3796</v>
      </c>
      <c r="H4396" s="20" t="str">
        <f t="shared" si="68"/>
        <v>(nextval('obj_part_id_seq'), (select id from obj_building_v where zip||'|'||street||'|'||name||'|'||volume = '5318|Hauptstrasse 46|EFH|670.00'), 'P54', 2, 80, 2021,'Bad, WC: ältere Apparate und Armaturen, jedoch funktionstüchtig, WM'),</v>
      </c>
    </row>
    <row r="4397" spans="1:8" x14ac:dyDescent="0.25">
      <c r="A4397" s="9" t="s">
        <v>3788</v>
      </c>
      <c r="B4397" s="9" t="s">
        <v>1137</v>
      </c>
      <c r="C4397">
        <v>4</v>
      </c>
      <c r="D4397">
        <v>80</v>
      </c>
      <c r="E4397">
        <v>2021</v>
      </c>
      <c r="F4397" s="9" t="s">
        <v>3797</v>
      </c>
      <c r="H4397" s="20" t="str">
        <f t="shared" si="68"/>
        <v>(nextval('obj_part_id_seq'), (select id from obj_building_v where zip||'|'||street||'|'||name||'|'||volume = '5318|Hauptstrasse 46|EFH|670.00'), 'P55', 4, 80, 2021,'Wasser läuft ungehindert ab, Druck genügend, Leitungen wurden tw. erneuert'),</v>
      </c>
    </row>
    <row r="4398" spans="1:8" x14ac:dyDescent="0.25">
      <c r="A4398" s="9" t="s">
        <v>3788</v>
      </c>
      <c r="B4398" s="9" t="s">
        <v>1138</v>
      </c>
      <c r="C4398">
        <v>10</v>
      </c>
      <c r="D4398">
        <v>80</v>
      </c>
      <c r="E4398">
        <v>2021</v>
      </c>
      <c r="F4398" s="9" t="s">
        <v>3798</v>
      </c>
      <c r="H4398" s="20" t="str">
        <f t="shared" si="68"/>
        <v>(nextval('obj_part_id_seq'), (select id from obj_building_v where zip||'|'||street||'|'||name||'|'||volume = '5318|Hauptstrasse 46|EFH|670.00'), 'P57', 10, 80, 2021,'Innentüren aus Holz, Wohnungstür und Innentür mit Kathedralglaseinsatz, Holzschiebetür im EG, Geländer aus Holz (Sicherheit ungenügend), Fenstersimse und Vorhangbretter aus Holz, tw. mit Keramikplättchen (Simse)'),</v>
      </c>
    </row>
    <row r="4399" spans="1:8" x14ac:dyDescent="0.25">
      <c r="A4399" s="9" t="s">
        <v>3788</v>
      </c>
      <c r="B4399" s="9" t="s">
        <v>1140</v>
      </c>
      <c r="C4399">
        <v>6</v>
      </c>
      <c r="D4399">
        <v>80</v>
      </c>
      <c r="E4399">
        <v>2021</v>
      </c>
      <c r="F4399" s="9" t="s">
        <v>3799</v>
      </c>
      <c r="H4399" s="20" t="str">
        <f t="shared" si="68"/>
        <v>(nextval('obj_part_id_seq'), (select id from obj_building_v where zip||'|'||street||'|'||name||'|'||volume = '5318|Hauptstrasse 46|EFH|670.00'), 'P58', 6, 80, 2021,'B: PVC, Laminat, Holzriemen, Porphyrpl.\nW: Täfer, tw. gestrichen, Putz, gestrichen, Holztafeln, Keramikpl.\nD: Täfer, Kassettendecken, gestrichen (örtlich grössere Risse vorhanden), Pavatex, verputzt, gestrichen'),</v>
      </c>
    </row>
    <row r="4400" spans="1:8" x14ac:dyDescent="0.25">
      <c r="A4400" s="9" t="s">
        <v>3788</v>
      </c>
      <c r="B4400" s="9" t="s">
        <v>1157</v>
      </c>
      <c r="C4400">
        <v>4</v>
      </c>
      <c r="D4400">
        <v>80</v>
      </c>
      <c r="E4400">
        <v>2021</v>
      </c>
      <c r="F4400" s="9" t="s">
        <v>3800</v>
      </c>
      <c r="H4400" s="20" t="str">
        <f t="shared" si="68"/>
        <v>(nextval('obj_part_id_seq'), (select id from obj_building_v where zip||'|'||street||'|'||name||'|'||volume = '5318|Hauptstrasse 46|EFH|670.00'), 'P59', 4, 80, 2021,'Glaskeramikherd kombiniert mit Holzofen, Chromstahlbecken, Backofen, ältere Küchenmöbel'),</v>
      </c>
    </row>
    <row r="4401" spans="1:8" x14ac:dyDescent="0.25">
      <c r="A4401" s="9" t="s">
        <v>3788</v>
      </c>
      <c r="B4401" s="9" t="s">
        <v>1142</v>
      </c>
      <c r="C4401">
        <v>0</v>
      </c>
      <c r="D4401" t="s">
        <v>4080</v>
      </c>
      <c r="E4401">
        <v>2021</v>
      </c>
      <c r="F4401" s="9"/>
      <c r="H4401" s="20" t="str">
        <f t="shared" si="68"/>
        <v>(nextval('obj_part_id_seq'), (select id from obj_building_v where zip||'|'||street||'|'||name||'|'||volume = '5318|Hauptstrasse 46|EFH|670.00'), 'P60', 0, null, 2021,null),</v>
      </c>
    </row>
    <row r="4402" spans="1:8" x14ac:dyDescent="0.25">
      <c r="A4402" s="9" t="s">
        <v>3788</v>
      </c>
      <c r="B4402" s="9" t="s">
        <v>1143</v>
      </c>
      <c r="C4402">
        <v>0</v>
      </c>
      <c r="D4402" t="s">
        <v>4080</v>
      </c>
      <c r="E4402">
        <v>2021</v>
      </c>
      <c r="F4402" s="9"/>
      <c r="H4402" s="20" t="str">
        <f t="shared" si="68"/>
        <v>(nextval('obj_part_id_seq'), (select id from obj_building_v where zip||'|'||street||'|'||name||'|'||volume = '5318|Hauptstrasse 46|EFH|670.00'), 'P61', 0, null, 2021,null),</v>
      </c>
    </row>
    <row r="4403" spans="1:8" x14ac:dyDescent="0.25">
      <c r="A4403" s="9" t="s">
        <v>3788</v>
      </c>
      <c r="B4403" s="9" t="s">
        <v>1144</v>
      </c>
      <c r="C4403">
        <v>0</v>
      </c>
      <c r="D4403" t="s">
        <v>4080</v>
      </c>
      <c r="E4403">
        <v>2021</v>
      </c>
      <c r="F4403" s="9"/>
      <c r="H4403" s="20" t="str">
        <f t="shared" si="68"/>
        <v>(nextval('obj_part_id_seq'), (select id from obj_building_v where zip||'|'||street||'|'||name||'|'||volume = '5318|Hauptstrasse 46|EFH|670.00'), 'P62', 0, null, 2021,null),</v>
      </c>
    </row>
    <row r="4404" spans="1:8" x14ac:dyDescent="0.25">
      <c r="A4404" s="9" t="s">
        <v>3801</v>
      </c>
      <c r="B4404" s="9" t="s">
        <v>1127</v>
      </c>
      <c r="C4404">
        <v>35</v>
      </c>
      <c r="D4404">
        <v>85</v>
      </c>
      <c r="E4404">
        <v>2021</v>
      </c>
      <c r="F4404" s="9" t="s">
        <v>3802</v>
      </c>
      <c r="H4404" s="20" t="str">
        <f t="shared" si="68"/>
        <v>(nextval('obj_part_id_seq'), (select id from obj_building_v where zip||'|'||street||'|'||name||'|'||volume = '5318|Hauptstrasse 108|MFH|842.00'), 'P48', 35, 85, 2021,'Mauerwerk, Stahlbeton, KS-MW im UG, Kellerdecke isoliert'),</v>
      </c>
    </row>
    <row r="4405" spans="1:8" x14ac:dyDescent="0.25">
      <c r="A4405" s="9" t="s">
        <v>3801</v>
      </c>
      <c r="B4405" s="9" t="s">
        <v>1129</v>
      </c>
      <c r="C4405">
        <v>0</v>
      </c>
      <c r="D4405" t="s">
        <v>4080</v>
      </c>
      <c r="E4405">
        <v>2021</v>
      </c>
      <c r="F4405" s="9"/>
      <c r="H4405" s="20" t="str">
        <f t="shared" si="68"/>
        <v>(nextval('obj_part_id_seq'), (select id from obj_building_v where zip||'|'||street||'|'||name||'|'||volume = '5318|Hauptstrasse 108|MFH|842.00'), 'P49', 0, null, 2021,null),</v>
      </c>
    </row>
    <row r="4406" spans="1:8" x14ac:dyDescent="0.25">
      <c r="A4406" s="9" t="s">
        <v>3801</v>
      </c>
      <c r="B4406" s="9" t="s">
        <v>1097</v>
      </c>
      <c r="C4406">
        <v>10</v>
      </c>
      <c r="D4406">
        <v>85</v>
      </c>
      <c r="E4406">
        <v>2021</v>
      </c>
      <c r="F4406" s="9" t="s">
        <v>3803</v>
      </c>
      <c r="H4406" s="20" t="str">
        <f t="shared" si="68"/>
        <v>(nextval('obj_part_id_seq'), (select id from obj_building_v where zip||'|'||street||'|'||name||'|'||volume = '5318|Hauptstrasse 108|MFH|842.00'), 'P2', 10, 85, 2021,'Ziegeldach mit Gaupe, Dachuntersichten aus Holz ungestrichen, Dachraum trocken, Unterdach aus Holz oder Holzwerkstoffen, Isolation, Dachflächenfenster'),</v>
      </c>
    </row>
    <row r="4407" spans="1:8" x14ac:dyDescent="0.25">
      <c r="A4407" s="9" t="s">
        <v>3801</v>
      </c>
      <c r="B4407" s="9" t="s">
        <v>1099</v>
      </c>
      <c r="C4407">
        <v>0</v>
      </c>
      <c r="D4407" t="s">
        <v>4080</v>
      </c>
      <c r="E4407">
        <v>2021</v>
      </c>
      <c r="F4407" s="9"/>
      <c r="H4407" s="20" t="str">
        <f t="shared" si="68"/>
        <v>(nextval('obj_part_id_seq'), (select id from obj_building_v where zip||'|'||street||'|'||name||'|'||volume = '5318|Hauptstrasse 108|MFH|842.00'), 'P3', 0, null, 2021,null),</v>
      </c>
    </row>
    <row r="4408" spans="1:8" x14ac:dyDescent="0.25">
      <c r="A4408" s="9" t="s">
        <v>3801</v>
      </c>
      <c r="B4408" s="9" t="s">
        <v>1100</v>
      </c>
      <c r="C4408">
        <v>7</v>
      </c>
      <c r="D4408">
        <v>85</v>
      </c>
      <c r="E4408">
        <v>2021</v>
      </c>
      <c r="F4408" s="9" t="s">
        <v>3804</v>
      </c>
      <c r="H4408" s="20" t="str">
        <f t="shared" si="68"/>
        <v>(nextval('obj_part_id_seq'), (select id from obj_building_v where zip||'|'||street||'|'||name||'|'||volume = '5318|Hauptstrasse 108|MFH|842.00'), 'P4', 7, 85, 2021,'Mauerwerk, verputzt, Gewände aus Naturstein, Dämmung ungenügend (bauphysikalische Probeme*), Balkone aus Stahlbeton mit Metallgeländern'),</v>
      </c>
    </row>
    <row r="4409" spans="1:8" x14ac:dyDescent="0.25">
      <c r="A4409" s="9" t="s">
        <v>3801</v>
      </c>
      <c r="B4409" s="9" t="s">
        <v>1102</v>
      </c>
      <c r="C4409">
        <v>11</v>
      </c>
      <c r="D4409">
        <v>80</v>
      </c>
      <c r="E4409">
        <v>2021</v>
      </c>
      <c r="F4409" s="9" t="s">
        <v>3805</v>
      </c>
      <c r="H4409" s="20" t="str">
        <f t="shared" si="68"/>
        <v>(nextval('obj_part_id_seq'), (select id from obj_building_v where zip||'|'||street||'|'||name||'|'||volume = '5318|Hauptstrasse 108|MFH|842.00'), 'P5', 11, 80, 2021,'Holzfenster (83/84) mit Sprossen, Holzläden, 1 Rolladen, Aussentüre aus Holz, Dichtungen bei Fenstertüre defekt, Kunststofffenster im UG, Garagentor mit Holzfüllung'),</v>
      </c>
    </row>
    <row r="4410" spans="1:8" x14ac:dyDescent="0.25">
      <c r="A4410" s="9" t="s">
        <v>3801</v>
      </c>
      <c r="B4410" s="9" t="s">
        <v>1110</v>
      </c>
      <c r="C4410">
        <v>4</v>
      </c>
      <c r="D4410">
        <v>80</v>
      </c>
      <c r="E4410">
        <v>2021</v>
      </c>
      <c r="F4410" s="9" t="s">
        <v>3806</v>
      </c>
      <c r="H4410" s="20" t="str">
        <f t="shared" si="68"/>
        <v>(nextval('obj_part_id_seq'), (select id from obj_building_v where zip||'|'||street||'|'||name||'|'||volume = '5318|Hauptstrasse 108|MFH|842.00'), 'P9', 4, 80, 2021,'Etwas schwach abgesichert'),</v>
      </c>
    </row>
    <row r="4411" spans="1:8" x14ac:dyDescent="0.25">
      <c r="A4411" s="9" t="s">
        <v>3801</v>
      </c>
      <c r="B4411" s="9" t="s">
        <v>1104</v>
      </c>
      <c r="C4411">
        <v>2</v>
      </c>
      <c r="D4411">
        <v>70</v>
      </c>
      <c r="E4411">
        <v>2021</v>
      </c>
      <c r="F4411" s="9" t="s">
        <v>3807</v>
      </c>
      <c r="H4411" s="20" t="str">
        <f t="shared" si="68"/>
        <v>(nextval('obj_part_id_seq'), (select id from obj_building_v where zip||'|'||street||'|'||name||'|'||volume = '5318|Hauptstrasse 108|MFH|842.00'), 'P6', 2, 70, 2021,'Elektroheizung, Holz- und Kachelöfen, Elektro-Boiler'),</v>
      </c>
    </row>
    <row r="4412" spans="1:8" x14ac:dyDescent="0.25">
      <c r="A4412" s="9" t="s">
        <v>3801</v>
      </c>
      <c r="B4412" s="9" t="s">
        <v>1106</v>
      </c>
      <c r="C4412">
        <v>3</v>
      </c>
      <c r="D4412">
        <v>80</v>
      </c>
      <c r="E4412">
        <v>2021</v>
      </c>
      <c r="F4412" s="9" t="s">
        <v>3808</v>
      </c>
      <c r="H4412" s="20" t="str">
        <f t="shared" si="68"/>
        <v>(nextval('obj_part_id_seq'), (select id from obj_building_v where zip||'|'||street||'|'||name||'|'||volume = '5318|Hauptstrasse 108|MFH|842.00'), 'P7', 3, 80, 2021,'Elektro-(Speicher-)öfen, Bad ist nicht beheizt.'),</v>
      </c>
    </row>
    <row r="4413" spans="1:8" x14ac:dyDescent="0.25">
      <c r="A4413" s="9" t="s">
        <v>3801</v>
      </c>
      <c r="B4413" s="9" t="s">
        <v>1135</v>
      </c>
      <c r="C4413">
        <v>3</v>
      </c>
      <c r="D4413">
        <v>80</v>
      </c>
      <c r="E4413">
        <v>2021</v>
      </c>
      <c r="F4413" s="9" t="s">
        <v>3809</v>
      </c>
      <c r="H4413" s="20" t="str">
        <f t="shared" si="68"/>
        <v>(nextval('obj_part_id_seq'), (select id from obj_building_v where zip||'|'||street||'|'||name||'|'||volume = '5318|Hauptstrasse 108|MFH|842.00'), 'P54', 3, 80, 2021,'Armaturen mit Mischventilen, Apparate alt, aber funktiontüchtig, WM/WT im UG'),</v>
      </c>
    </row>
    <row r="4414" spans="1:8" x14ac:dyDescent="0.25">
      <c r="A4414" s="9" t="s">
        <v>3801</v>
      </c>
      <c r="B4414" s="9" t="s">
        <v>1137</v>
      </c>
      <c r="C4414">
        <v>4</v>
      </c>
      <c r="D4414">
        <v>80</v>
      </c>
      <c r="E4414">
        <v>2021</v>
      </c>
      <c r="F4414" s="9" t="s">
        <v>3810</v>
      </c>
      <c r="H4414" s="20" t="str">
        <f t="shared" si="68"/>
        <v>(nextval('obj_part_id_seq'), (select id from obj_building_v where zip||'|'||street||'|'||name||'|'||volume = '5318|Hauptstrasse 108|MFH|842.00'), 'P55', 4, 80, 2021,'Genügender Druck vorhanden, Wasser kann ungehindert ablaufen, Abwasserleitung ungenügend isoliert (friert im Winter ein), Leitungen aus Messing und verzinkte Leitungen, tw. unisolisert'),</v>
      </c>
    </row>
    <row r="4415" spans="1:8" x14ac:dyDescent="0.25">
      <c r="A4415" s="9" t="s">
        <v>3801</v>
      </c>
      <c r="B4415" s="9" t="s">
        <v>1155</v>
      </c>
      <c r="C4415">
        <v>0</v>
      </c>
      <c r="D4415" t="s">
        <v>4080</v>
      </c>
      <c r="E4415">
        <v>2021</v>
      </c>
      <c r="F4415" s="9"/>
      <c r="H4415" s="20" t="str">
        <f t="shared" si="68"/>
        <v>(nextval('obj_part_id_seq'), (select id from obj_building_v where zip||'|'||street||'|'||name||'|'||volume = '5318|Hauptstrasse 108|MFH|842.00'), 'P56', 0, null, 2021,null),</v>
      </c>
    </row>
    <row r="4416" spans="1:8" x14ac:dyDescent="0.25">
      <c r="A4416" s="9" t="s">
        <v>3801</v>
      </c>
      <c r="B4416" s="9" t="s">
        <v>1138</v>
      </c>
      <c r="C4416">
        <v>9</v>
      </c>
      <c r="D4416">
        <v>85</v>
      </c>
      <c r="E4416">
        <v>2021</v>
      </c>
      <c r="F4416" s="9" t="s">
        <v>3811</v>
      </c>
      <c r="H4416" s="20" t="str">
        <f t="shared" si="68"/>
        <v>(nextval('obj_part_id_seq'), (select id from obj_building_v where zip||'|'||street||'|'||name||'|'||volume = '5318|Hauptstrasse 108|MFH|842.00'), 'P57', 9, 85, 2021,'Innentüren aus Holz, Wohnungstür aus Holz mit Kathedralglaseinsatz, Fenstersimse, Vorhangbretter, Badezimmer-Einbaumöbel, Geländer aus Holz'),</v>
      </c>
    </row>
    <row r="4417" spans="1:8" x14ac:dyDescent="0.25">
      <c r="A4417" s="9" t="s">
        <v>3801</v>
      </c>
      <c r="B4417" s="9" t="s">
        <v>1140</v>
      </c>
      <c r="C4417">
        <v>8</v>
      </c>
      <c r="D4417">
        <v>80</v>
      </c>
      <c r="E4417">
        <v>2021</v>
      </c>
      <c r="F4417" s="9" t="s">
        <v>3812</v>
      </c>
      <c r="H4417" s="20" t="str">
        <f t="shared" si="68"/>
        <v>(nextval('obj_part_id_seq'), (select id from obj_building_v where zip||'|'||street||'|'||name||'|'||volume = '5318|Hauptstrasse 108|MFH|842.00'), 'P58', 8, 80, 2021,'B: Keramikplatten, Holz, Laminat, Hartbeton in Garage\nD: Täfer, im EG und OG verputzt, im UG Beton gestrichen\nW: Putz/Abrieb, gestrichen, Keramikplatten, tw. Täfer, im tw. UG KS roh'),</v>
      </c>
    </row>
    <row r="4418" spans="1:8" x14ac:dyDescent="0.25">
      <c r="A4418" s="9" t="s">
        <v>3801</v>
      </c>
      <c r="B4418" s="9" t="s">
        <v>1157</v>
      </c>
      <c r="C4418">
        <v>4</v>
      </c>
      <c r="D4418">
        <v>80</v>
      </c>
      <c r="E4418">
        <v>2021</v>
      </c>
      <c r="F4418" s="9" t="s">
        <v>3813</v>
      </c>
      <c r="H4418" s="20" t="str">
        <f t="shared" si="68"/>
        <v>(nextval('obj_part_id_seq'), (select id from obj_building_v where zip||'|'||street||'|'||name||'|'||volume = '5318|Hauptstrasse 108|MFH|842.00'), 'P59', 4, 80, 2021,'Küche älter, jedoch funktionstüchtig, mit Elektro- und Holzherd und Chromstahlbecken'),</v>
      </c>
    </row>
    <row r="4419" spans="1:8" x14ac:dyDescent="0.25">
      <c r="A4419" s="9" t="s">
        <v>3801</v>
      </c>
      <c r="B4419" s="9" t="s">
        <v>1142</v>
      </c>
      <c r="C4419">
        <v>0</v>
      </c>
      <c r="D4419" t="s">
        <v>4080</v>
      </c>
      <c r="E4419">
        <v>2021</v>
      </c>
      <c r="F4419" s="9"/>
      <c r="H4419" s="20" t="str">
        <f t="shared" si="68"/>
        <v>(nextval('obj_part_id_seq'), (select id from obj_building_v where zip||'|'||street||'|'||name||'|'||volume = '5318|Hauptstrasse 108|MFH|842.00'), 'P60', 0, null, 2021,null),</v>
      </c>
    </row>
    <row r="4420" spans="1:8" x14ac:dyDescent="0.25">
      <c r="A4420" s="9" t="s">
        <v>3801</v>
      </c>
      <c r="B4420" s="9" t="s">
        <v>1143</v>
      </c>
      <c r="C4420">
        <v>0</v>
      </c>
      <c r="D4420" t="s">
        <v>4080</v>
      </c>
      <c r="E4420">
        <v>2021</v>
      </c>
      <c r="F4420" s="9"/>
      <c r="H4420" s="20" t="str">
        <f t="shared" si="68"/>
        <v>(nextval('obj_part_id_seq'), (select id from obj_building_v where zip||'|'||street||'|'||name||'|'||volume = '5318|Hauptstrasse 108|MFH|842.00'), 'P61', 0, null, 2021,null),</v>
      </c>
    </row>
    <row r="4421" spans="1:8" x14ac:dyDescent="0.25">
      <c r="A4421" s="9" t="s">
        <v>3801</v>
      </c>
      <c r="B4421" s="9" t="s">
        <v>1144</v>
      </c>
      <c r="C4421">
        <v>0</v>
      </c>
      <c r="D4421" t="s">
        <v>4080</v>
      </c>
      <c r="E4421">
        <v>2021</v>
      </c>
      <c r="F4421" s="9"/>
      <c r="H4421" s="20" t="str">
        <f t="shared" ref="H4421:H4484" si="69">"(nextval('obj_part_id_seq'), (select id from obj_building_v where zip||'|'||street||'|'||name||'|'||volume = '"&amp;A4421&amp;"'), '"&amp;B4421&amp;"', "&amp;C4421&amp;", "&amp;D4421&amp;", "&amp;IF(ISBLANK(E4421),"null",E4421)&amp;","&amp;IF(ISBLANK(F4421),"null","'"&amp;F4421&amp;"'")&amp;"),"</f>
        <v>(nextval('obj_part_id_seq'), (select id from obj_building_v where zip||'|'||street||'|'||name||'|'||volume = '5318|Hauptstrasse 108|MFH|842.00'), 'P62', 0, null, 2021,null),</v>
      </c>
    </row>
    <row r="4422" spans="1:8" x14ac:dyDescent="0.25">
      <c r="A4422" s="9" t="s">
        <v>3814</v>
      </c>
      <c r="B4422" s="9" t="s">
        <v>1127</v>
      </c>
      <c r="C4422">
        <v>20</v>
      </c>
      <c r="D4422">
        <v>90</v>
      </c>
      <c r="E4422">
        <v>2021</v>
      </c>
      <c r="F4422" s="9" t="s">
        <v>3815</v>
      </c>
      <c r="H4422" s="20" t="str">
        <f t="shared" si="69"/>
        <v>(nextval('obj_part_id_seq'), (select id from obj_building_v where zip||'|'||street||'|'||name||'|'||volume = '5318|Mitteldorf 45|Scheune|1294.00'), 'P48', 20, 90, 2021,'Mauerwerk, Kalksandstein (im An-/Umbau)'),</v>
      </c>
    </row>
    <row r="4423" spans="1:8" x14ac:dyDescent="0.25">
      <c r="A4423" s="9" t="s">
        <v>3814</v>
      </c>
      <c r="B4423" s="9" t="s">
        <v>1129</v>
      </c>
      <c r="C4423">
        <v>24</v>
      </c>
      <c r="D4423">
        <v>85</v>
      </c>
      <c r="E4423">
        <v>2021</v>
      </c>
      <c r="F4423" s="9" t="s">
        <v>3816</v>
      </c>
      <c r="H4423" s="20" t="str">
        <f t="shared" si="69"/>
        <v>(nextval('obj_part_id_seq'), (select id from obj_building_v where zip||'|'||street||'|'||name||'|'||volume = '5318|Mitteldorf 45|Scheune|1294.00'), 'P49', 24, 85, 2021,'Holzständerbau, Holzstütze und -balken'),</v>
      </c>
    </row>
    <row r="4424" spans="1:8" x14ac:dyDescent="0.25">
      <c r="A4424" s="9" t="s">
        <v>3814</v>
      </c>
      <c r="B4424" s="9" t="s">
        <v>1097</v>
      </c>
      <c r="C4424">
        <v>19</v>
      </c>
      <c r="D4424">
        <v>85</v>
      </c>
      <c r="E4424">
        <v>2021</v>
      </c>
      <c r="F4424" s="9" t="s">
        <v>3817</v>
      </c>
      <c r="H4424" s="20" t="str">
        <f t="shared" si="69"/>
        <v>(nextval('obj_part_id_seq'), (select id from obj_building_v where zip||'|'||street||'|'||name||'|'||volume = '5318|Mitteldorf 45|Scheune|1294.00'), 'P2', 19, 85, 2021,'Ziegeldach ca. 5-jährig tw. mit Glasziegel, Unterdach aus Pavatex'),</v>
      </c>
    </row>
    <row r="4425" spans="1:8" x14ac:dyDescent="0.25">
      <c r="A4425" s="9" t="s">
        <v>3814</v>
      </c>
      <c r="B4425" s="9" t="s">
        <v>1099</v>
      </c>
      <c r="C4425">
        <v>0</v>
      </c>
      <c r="D4425" t="s">
        <v>4080</v>
      </c>
      <c r="E4425">
        <v>2021</v>
      </c>
      <c r="F4425" s="9"/>
      <c r="H4425" s="20" t="str">
        <f t="shared" si="69"/>
        <v>(nextval('obj_part_id_seq'), (select id from obj_building_v where zip||'|'||street||'|'||name||'|'||volume = '5318|Mitteldorf 45|Scheune|1294.00'), 'P3', 0, null, 2021,null),</v>
      </c>
    </row>
    <row r="4426" spans="1:8" x14ac:dyDescent="0.25">
      <c r="A4426" s="9" t="s">
        <v>3814</v>
      </c>
      <c r="B4426" s="9" t="s">
        <v>1100</v>
      </c>
      <c r="C4426">
        <v>11</v>
      </c>
      <c r="D4426">
        <v>80</v>
      </c>
      <c r="E4426">
        <v>2021</v>
      </c>
      <c r="F4426" s="9" t="s">
        <v>3818</v>
      </c>
      <c r="H4426" s="20" t="str">
        <f t="shared" si="69"/>
        <v>(nextval('obj_part_id_seq'), (select id from obj_building_v where zip||'|'||street||'|'||name||'|'||volume = '5318|Mitteldorf 45|Scheune|1294.00'), 'P4', 11, 80, 2021,'Klinker-Sichtmauerwerk, tw. KS-Sichtmauerwerk, Betongewände, tw. Welleternit, Holz'),</v>
      </c>
    </row>
    <row r="4427" spans="1:8" x14ac:dyDescent="0.25">
      <c r="A4427" s="9" t="s">
        <v>3814</v>
      </c>
      <c r="B4427" s="9" t="s">
        <v>1102</v>
      </c>
      <c r="C4427">
        <v>7</v>
      </c>
      <c r="D4427">
        <v>80</v>
      </c>
      <c r="E4427">
        <v>2021</v>
      </c>
      <c r="F4427" s="9" t="s">
        <v>3819</v>
      </c>
      <c r="H4427" s="20" t="str">
        <f t="shared" si="69"/>
        <v>(nextval('obj_part_id_seq'), (select id from obj_building_v where zip||'|'||street||'|'||name||'|'||volume = '5318|Mitteldorf 45|Scheune|1294.00'), 'P5', 7, 80, 2021,'Holzfenster, -türe und -tore, Kunststofffenster mit Doppel-IV, Aussentüre ~93/94, Fenster Stirnfassade aus Well-PVC, Holzfenster tw. mit Drahtgitterglas'),</v>
      </c>
    </row>
    <row r="4428" spans="1:8" x14ac:dyDescent="0.25">
      <c r="A4428" s="9" t="s">
        <v>3814</v>
      </c>
      <c r="B4428" s="9" t="s">
        <v>1110</v>
      </c>
      <c r="C4428">
        <v>6</v>
      </c>
      <c r="D4428">
        <v>85</v>
      </c>
      <c r="E4428">
        <v>2021</v>
      </c>
      <c r="F4428" s="9" t="s">
        <v>3820</v>
      </c>
      <c r="H4428" s="20" t="str">
        <f t="shared" si="69"/>
        <v>(nextval('obj_part_id_seq'), (select id from obj_building_v where zip||'|'||street||'|'||name||'|'||volume = '5318|Mitteldorf 45|Scheune|1294.00'), 'P9', 6, 85, 2021,'Ausreichende Absicherung, keine FI-Schutzschalter vorh., Aufputz-Montage, auch im Aussenbereich, Beleuchtung mit FL-Leuchten'),</v>
      </c>
    </row>
    <row r="4429" spans="1:8" x14ac:dyDescent="0.25">
      <c r="A4429" s="9" t="s">
        <v>3814</v>
      </c>
      <c r="B4429" s="9" t="s">
        <v>1104</v>
      </c>
      <c r="C4429">
        <v>0</v>
      </c>
      <c r="D4429" t="s">
        <v>4080</v>
      </c>
      <c r="E4429">
        <v>2021</v>
      </c>
      <c r="F4429" s="9"/>
      <c r="H4429" s="20" t="str">
        <f t="shared" si="69"/>
        <v>(nextval('obj_part_id_seq'), (select id from obj_building_v where zip||'|'||street||'|'||name||'|'||volume = '5318|Mitteldorf 45|Scheune|1294.00'), 'P6', 0, null, 2021,null),</v>
      </c>
    </row>
    <row r="4430" spans="1:8" x14ac:dyDescent="0.25">
      <c r="A4430" s="9" t="s">
        <v>3814</v>
      </c>
      <c r="B4430" s="9" t="s">
        <v>1106</v>
      </c>
      <c r="C4430">
        <v>0</v>
      </c>
      <c r="D4430" t="s">
        <v>4080</v>
      </c>
      <c r="E4430">
        <v>2021</v>
      </c>
      <c r="F4430" s="9"/>
      <c r="H4430" s="20" t="str">
        <f t="shared" si="69"/>
        <v>(nextval('obj_part_id_seq'), (select id from obj_building_v where zip||'|'||street||'|'||name||'|'||volume = '5318|Mitteldorf 45|Scheune|1294.00'), 'P7', 0, null, 2021,null),</v>
      </c>
    </row>
    <row r="4431" spans="1:8" x14ac:dyDescent="0.25">
      <c r="A4431" s="9" t="s">
        <v>3814</v>
      </c>
      <c r="B4431" s="9" t="s">
        <v>1108</v>
      </c>
      <c r="C4431">
        <v>2</v>
      </c>
      <c r="D4431">
        <v>70</v>
      </c>
      <c r="E4431">
        <v>2021</v>
      </c>
      <c r="F4431" s="9" t="s">
        <v>3821</v>
      </c>
      <c r="H4431" s="20" t="str">
        <f t="shared" si="69"/>
        <v>(nextval('obj_part_id_seq'), (select id from obj_building_v where zip||'|'||street||'|'||name||'|'||volume = '5318|Mitteldorf 45|Scheune|1294.00'), 'P8', 2, 70, 2021,'Wasserleitung gekappt,  Abwasserleitungen (Jauchegrube vorh.)'),</v>
      </c>
    </row>
    <row r="4432" spans="1:8" x14ac:dyDescent="0.25">
      <c r="A4432" s="9" t="s">
        <v>3814</v>
      </c>
      <c r="B4432" s="9" t="s">
        <v>1112</v>
      </c>
      <c r="C4432">
        <v>0</v>
      </c>
      <c r="D4432" t="s">
        <v>4080</v>
      </c>
      <c r="E4432">
        <v>2021</v>
      </c>
      <c r="F4432" s="9"/>
      <c r="H4432" s="20" t="str">
        <f t="shared" si="69"/>
        <v>(nextval('obj_part_id_seq'), (select id from obj_building_v where zip||'|'||street||'|'||name||'|'||volume = '5318|Mitteldorf 45|Scheune|1294.00'), 'P10', 0, null, 2021,null),</v>
      </c>
    </row>
    <row r="4433" spans="1:8" x14ac:dyDescent="0.25">
      <c r="A4433" s="9" t="s">
        <v>3814</v>
      </c>
      <c r="B4433" s="9" t="s">
        <v>1138</v>
      </c>
      <c r="C4433">
        <v>8</v>
      </c>
      <c r="D4433">
        <v>90</v>
      </c>
      <c r="E4433">
        <v>2021</v>
      </c>
      <c r="F4433" s="9" t="s">
        <v>3822</v>
      </c>
      <c r="H4433" s="20" t="str">
        <f t="shared" si="69"/>
        <v>(nextval('obj_part_id_seq'), (select id from obj_building_v where zip||'|'||street||'|'||name||'|'||volume = '5318|Mitteldorf 45|Scheune|1294.00'), 'P57', 8, 90, 2021,'Innenwände und Fenstersimse aus Holz, Leitern, Bretterboden'),</v>
      </c>
    </row>
    <row r="4434" spans="1:8" x14ac:dyDescent="0.25">
      <c r="A4434" s="9" t="s">
        <v>3814</v>
      </c>
      <c r="B4434" s="9" t="s">
        <v>1140</v>
      </c>
      <c r="C4434">
        <v>3</v>
      </c>
      <c r="D4434">
        <v>85</v>
      </c>
      <c r="E4434">
        <v>2021</v>
      </c>
      <c r="F4434" s="9" t="s">
        <v>3823</v>
      </c>
      <c r="H4434" s="20" t="str">
        <f t="shared" si="69"/>
        <v>(nextval('obj_part_id_seq'), (select id from obj_building_v where zip||'|'||street||'|'||name||'|'||volume = '5318|Mitteldorf 45|Scheune|1294.00'), 'P58', 3, 85, 2021,'B: Zementböden, Ziegel\nW: verputzt, gestrichen\nD: roh (Holz)'),</v>
      </c>
    </row>
    <row r="4435" spans="1:8" x14ac:dyDescent="0.25">
      <c r="A4435" s="9" t="s">
        <v>3814</v>
      </c>
      <c r="B4435" s="9" t="s">
        <v>1142</v>
      </c>
      <c r="C4435">
        <v>0</v>
      </c>
      <c r="D4435" t="s">
        <v>4080</v>
      </c>
      <c r="E4435">
        <v>2021</v>
      </c>
      <c r="F4435" s="9"/>
      <c r="H4435" s="20" t="str">
        <f t="shared" si="69"/>
        <v>(nextval('obj_part_id_seq'), (select id from obj_building_v where zip||'|'||street||'|'||name||'|'||volume = '5318|Mitteldorf 45|Scheune|1294.00'), 'P60', 0, null, 2021,null),</v>
      </c>
    </row>
    <row r="4436" spans="1:8" x14ac:dyDescent="0.25">
      <c r="A4436" s="9" t="s">
        <v>3814</v>
      </c>
      <c r="B4436" s="9" t="s">
        <v>1143</v>
      </c>
      <c r="C4436">
        <v>0</v>
      </c>
      <c r="D4436" t="s">
        <v>4080</v>
      </c>
      <c r="E4436">
        <v>2021</v>
      </c>
      <c r="F4436" s="9"/>
      <c r="H4436" s="20" t="str">
        <f t="shared" si="69"/>
        <v>(nextval('obj_part_id_seq'), (select id from obj_building_v where zip||'|'||street||'|'||name||'|'||volume = '5318|Mitteldorf 45|Scheune|1294.00'), 'P61', 0, null, 2021,null),</v>
      </c>
    </row>
    <row r="4437" spans="1:8" x14ac:dyDescent="0.25">
      <c r="A4437" s="9" t="s">
        <v>3814</v>
      </c>
      <c r="B4437" s="9" t="s">
        <v>1144</v>
      </c>
      <c r="C4437">
        <v>0</v>
      </c>
      <c r="D4437" t="s">
        <v>4080</v>
      </c>
      <c r="E4437">
        <v>2021</v>
      </c>
      <c r="F4437" s="9"/>
      <c r="H4437" s="20" t="str">
        <f t="shared" si="69"/>
        <v>(nextval('obj_part_id_seq'), (select id from obj_building_v where zip||'|'||street||'|'||name||'|'||volume = '5318|Mitteldorf 45|Scheune|1294.00'), 'P62', 0, null, 2021,null),</v>
      </c>
    </row>
    <row r="4438" spans="1:8" x14ac:dyDescent="0.25">
      <c r="A4438" s="9" t="s">
        <v>3824</v>
      </c>
      <c r="B4438" s="9" t="s">
        <v>1095</v>
      </c>
      <c r="C4438">
        <v>34</v>
      </c>
      <c r="D4438">
        <v>85</v>
      </c>
      <c r="E4438">
        <v>2021</v>
      </c>
      <c r="F4438" s="9" t="s">
        <v>3825</v>
      </c>
      <c r="H4438" s="20" t="str">
        <f t="shared" si="69"/>
        <v>(nextval('obj_part_id_seq'), (select id from obj_building_v where zip||'|'||street||'|'||name||'|'||volume = '5318|Mitteldorf 47|Schopf mit Garage|668.00'), 'P1', 34, 85, 2021,'Mauerwerk, Holzbalkendecke'),</v>
      </c>
    </row>
    <row r="4439" spans="1:8" x14ac:dyDescent="0.25">
      <c r="A4439" s="9" t="s">
        <v>3824</v>
      </c>
      <c r="B4439" s="9" t="s">
        <v>1097</v>
      </c>
      <c r="C4439">
        <v>8</v>
      </c>
      <c r="D4439">
        <v>85</v>
      </c>
      <c r="E4439">
        <v>2021</v>
      </c>
      <c r="F4439" s="9" t="s">
        <v>3826</v>
      </c>
      <c r="H4439" s="20" t="str">
        <f t="shared" si="69"/>
        <v>(nextval('obj_part_id_seq'), (select id from obj_building_v where zip||'|'||street||'|'||name||'|'||volume = '5318|Mitteldorf 47|Schopf mit Garage|668.00'), 'P2', 8, 85, 2021,'Biberschwanz- und Falzziegel ohne Unterdach, Dachraum durchlüftet, Holzwerk trocken'),</v>
      </c>
    </row>
    <row r="4440" spans="1:8" x14ac:dyDescent="0.25">
      <c r="A4440" s="9" t="s">
        <v>3824</v>
      </c>
      <c r="B4440" s="9" t="s">
        <v>1099</v>
      </c>
      <c r="C4440">
        <v>0</v>
      </c>
      <c r="D4440" t="s">
        <v>4080</v>
      </c>
      <c r="E4440">
        <v>2021</v>
      </c>
      <c r="F4440" s="9"/>
      <c r="H4440" s="20" t="str">
        <f t="shared" si="69"/>
        <v>(nextval('obj_part_id_seq'), (select id from obj_building_v where zip||'|'||street||'|'||name||'|'||volume = '5318|Mitteldorf 47|Schopf mit Garage|668.00'), 'P3', 0, null, 2021,null),</v>
      </c>
    </row>
    <row r="4441" spans="1:8" x14ac:dyDescent="0.25">
      <c r="A4441" s="9" t="s">
        <v>3824</v>
      </c>
      <c r="B4441" s="9" t="s">
        <v>1100</v>
      </c>
      <c r="C4441">
        <v>8</v>
      </c>
      <c r="D4441">
        <v>80</v>
      </c>
      <c r="E4441">
        <v>2021</v>
      </c>
      <c r="F4441" s="9" t="s">
        <v>3827</v>
      </c>
      <c r="H4441" s="20" t="str">
        <f t="shared" si="69"/>
        <v>(nextval('obj_part_id_seq'), (select id from obj_building_v where zip||'|'||street||'|'||name||'|'||volume = '5318|Mitteldorf 47|Schopf mit Garage|668.00'), 'P4', 8, 80, 2021,'Mauerwerk, verputzt, gestrichen, tw. ungestrichen, Holz, Laube aus Holz, Aussentreppe aus Holz, gedeckt'),</v>
      </c>
    </row>
    <row r="4442" spans="1:8" x14ac:dyDescent="0.25">
      <c r="A4442" s="9" t="s">
        <v>3824</v>
      </c>
      <c r="B4442" s="9" t="s">
        <v>1102</v>
      </c>
      <c r="C4442">
        <v>8</v>
      </c>
      <c r="D4442">
        <v>80</v>
      </c>
      <c r="E4442">
        <v>2021</v>
      </c>
      <c r="F4442" s="9" t="s">
        <v>3828</v>
      </c>
      <c r="H4442" s="20" t="str">
        <f t="shared" si="69"/>
        <v>(nextval('obj_part_id_seq'), (select id from obj_building_v where zip||'|'||street||'|'||name||'|'||volume = '5318|Mitteldorf 47|Schopf mit Garage|668.00'), 'P5', 8, 80, 2021,'Aussentüren und Tore aus Holz, Kunststoff- und Holzfenster, Garagentor aus Holz (''80er)'),</v>
      </c>
    </row>
    <row r="4443" spans="1:8" x14ac:dyDescent="0.25">
      <c r="A4443" s="9" t="s">
        <v>3824</v>
      </c>
      <c r="B4443" s="9" t="s">
        <v>1104</v>
      </c>
      <c r="C4443">
        <v>0</v>
      </c>
      <c r="D4443" t="s">
        <v>4080</v>
      </c>
      <c r="E4443">
        <v>2021</v>
      </c>
      <c r="F4443" s="9"/>
      <c r="H4443" s="20" t="str">
        <f t="shared" si="69"/>
        <v>(nextval('obj_part_id_seq'), (select id from obj_building_v where zip||'|'||street||'|'||name||'|'||volume = '5318|Mitteldorf 47|Schopf mit Garage|668.00'), 'P6', 0, null, 2021,null),</v>
      </c>
    </row>
    <row r="4444" spans="1:8" x14ac:dyDescent="0.25">
      <c r="A4444" s="9" t="s">
        <v>3824</v>
      </c>
      <c r="B4444" s="9" t="s">
        <v>1106</v>
      </c>
      <c r="C4444">
        <v>0</v>
      </c>
      <c r="D4444" t="s">
        <v>4080</v>
      </c>
      <c r="E4444">
        <v>2021</v>
      </c>
      <c r="F4444" s="9"/>
      <c r="H4444" s="20" t="str">
        <f t="shared" si="69"/>
        <v>(nextval('obj_part_id_seq'), (select id from obj_building_v where zip||'|'||street||'|'||name||'|'||volume = '5318|Mitteldorf 47|Schopf mit Garage|668.00'), 'P7', 0, null, 2021,null),</v>
      </c>
    </row>
    <row r="4445" spans="1:8" x14ac:dyDescent="0.25">
      <c r="A4445" s="9" t="s">
        <v>3824</v>
      </c>
      <c r="B4445" s="9" t="s">
        <v>1108</v>
      </c>
      <c r="C4445">
        <v>9</v>
      </c>
      <c r="D4445">
        <v>80</v>
      </c>
      <c r="E4445">
        <v>2021</v>
      </c>
      <c r="F4445" s="9" t="s">
        <v>3829</v>
      </c>
      <c r="H4445" s="20" t="str">
        <f t="shared" si="69"/>
        <v>(nextval('obj_part_id_seq'), (select id from obj_building_v where zip||'|'||street||'|'||name||'|'||volume = '5318|Mitteldorf 47|Schopf mit Garage|668.00'), 'P8', 9, 80, 2021,'Abwasser an Kanalisation angeschlossen, Leitung muss im Winter entleert werden (Frostgefahr), WC'),</v>
      </c>
    </row>
    <row r="4446" spans="1:8" x14ac:dyDescent="0.25">
      <c r="A4446" s="9" t="s">
        <v>3824</v>
      </c>
      <c r="B4446" s="9" t="s">
        <v>1110</v>
      </c>
      <c r="C4446">
        <v>6</v>
      </c>
      <c r="D4446">
        <v>70</v>
      </c>
      <c r="E4446">
        <v>2021</v>
      </c>
      <c r="F4446" s="9" t="s">
        <v>3830</v>
      </c>
      <c r="H4446" s="20" t="str">
        <f t="shared" si="69"/>
        <v>(nextval('obj_part_id_seq'), (select id from obj_building_v where zip||'|'||street||'|'||name||'|'||volume = '5318|Mitteldorf 47|Schopf mit Garage|668.00'), 'P9', 6, 70, 2021,'Anschluss vom Nachbargebäude, Beleuchtung'),</v>
      </c>
    </row>
    <row r="4447" spans="1:8" x14ac:dyDescent="0.25">
      <c r="A4447" s="9" t="s">
        <v>3824</v>
      </c>
      <c r="B4447" s="9" t="s">
        <v>1112</v>
      </c>
      <c r="C4447">
        <v>0</v>
      </c>
      <c r="D4447" t="s">
        <v>4080</v>
      </c>
      <c r="E4447">
        <v>2021</v>
      </c>
      <c r="F4447" s="9"/>
      <c r="H4447" s="20" t="str">
        <f t="shared" si="69"/>
        <v>(nextval('obj_part_id_seq'), (select id from obj_building_v where zip||'|'||street||'|'||name||'|'||volume = '5318|Mitteldorf 47|Schopf mit Garage|668.00'), 'P10', 0, null, 2021,null),</v>
      </c>
    </row>
    <row r="4448" spans="1:8" x14ac:dyDescent="0.25">
      <c r="A4448" s="9" t="s">
        <v>3824</v>
      </c>
      <c r="B4448" s="9" t="s">
        <v>1114</v>
      </c>
      <c r="C4448">
        <v>27</v>
      </c>
      <c r="D4448">
        <v>90</v>
      </c>
      <c r="E4448">
        <v>2021</v>
      </c>
      <c r="F4448" s="9" t="s">
        <v>3831</v>
      </c>
      <c r="H4448" s="20" t="str">
        <f t="shared" si="69"/>
        <v>(nextval('obj_part_id_seq'), (select id from obj_building_v where zip||'|'||street||'|'||name||'|'||volume = '5318|Mitteldorf 47|Schopf mit Garage|668.00'), 'P11', 27, 90, 2021,'B: Zementboden, Ziegel, im WC Porphyrpl.\nW: Holz, roh, tw. verputzt und gestrichen\nD: Gips, Holz roh'),</v>
      </c>
    </row>
    <row r="4449" spans="1:8" x14ac:dyDescent="0.25">
      <c r="A4449" s="9" t="s">
        <v>3824</v>
      </c>
      <c r="B4449" s="9" t="s">
        <v>1114</v>
      </c>
      <c r="C4449">
        <v>0</v>
      </c>
      <c r="D4449">
        <v>85</v>
      </c>
      <c r="E4449">
        <v>2021</v>
      </c>
      <c r="F4449" s="9"/>
      <c r="H4449" s="20" t="str">
        <f t="shared" si="69"/>
        <v>(nextval('obj_part_id_seq'), (select id from obj_building_v where zip||'|'||street||'|'||name||'|'||volume = '5318|Mitteldorf 47|Schopf mit Garage|668.00'), 'P11', 0, 85, 2021,null),</v>
      </c>
    </row>
    <row r="4450" spans="1:8" x14ac:dyDescent="0.25">
      <c r="A4450" s="9" t="s">
        <v>3824</v>
      </c>
      <c r="B4450" s="9" t="s">
        <v>1116</v>
      </c>
      <c r="C4450">
        <v>0</v>
      </c>
      <c r="D4450" t="s">
        <v>4080</v>
      </c>
      <c r="E4450">
        <v>2021</v>
      </c>
      <c r="F4450" s="9"/>
      <c r="H4450" s="20" t="str">
        <f t="shared" si="69"/>
        <v>(nextval('obj_part_id_seq'), (select id from obj_building_v where zip||'|'||street||'|'||name||'|'||volume = '5318|Mitteldorf 47|Schopf mit Garage|668.00'), 'P12', 0, null, 2021,null),</v>
      </c>
    </row>
    <row r="4451" spans="1:8" x14ac:dyDescent="0.25">
      <c r="A4451" s="9" t="s">
        <v>3832</v>
      </c>
      <c r="B4451" s="9" t="s">
        <v>1127</v>
      </c>
      <c r="C4451">
        <v>34</v>
      </c>
      <c r="D4451">
        <v>90</v>
      </c>
      <c r="E4451">
        <v>2019</v>
      </c>
      <c r="F4451" s="9" t="s">
        <v>3833</v>
      </c>
      <c r="H4451" s="20" t="str">
        <f t="shared" si="69"/>
        <v>(nextval('obj_part_id_seq'), (select id from obj_building_v where zip||'|'||street||'|'||name||'|'||volume = '4303|Guggeregge 1|Werkhof|4728.00'), 'P48', 34, 90, 2019,'Stahlbeton und Holzkonstruktion, KS Wände, Stahlstützen'),</v>
      </c>
    </row>
    <row r="4452" spans="1:8" x14ac:dyDescent="0.25">
      <c r="A4452" s="9" t="s">
        <v>3832</v>
      </c>
      <c r="B4452" s="9" t="s">
        <v>1129</v>
      </c>
      <c r="C4452">
        <v>0</v>
      </c>
      <c r="D4452" t="s">
        <v>4080</v>
      </c>
      <c r="E4452">
        <v>2019</v>
      </c>
      <c r="F4452" s="9"/>
      <c r="H4452" s="20" t="str">
        <f t="shared" si="69"/>
        <v>(nextval('obj_part_id_seq'), (select id from obj_building_v where zip||'|'||street||'|'||name||'|'||volume = '4303|Guggeregge 1|Werkhof|4728.00'), 'P49', 0, null, 2019,null),</v>
      </c>
    </row>
    <row r="4453" spans="1:8" x14ac:dyDescent="0.25">
      <c r="A4453" s="9" t="s">
        <v>3832</v>
      </c>
      <c r="B4453" s="9" t="s">
        <v>1097</v>
      </c>
      <c r="C4453">
        <v>7</v>
      </c>
      <c r="D4453">
        <v>90</v>
      </c>
      <c r="E4453">
        <v>2019</v>
      </c>
      <c r="F4453" s="9" t="s">
        <v>3834</v>
      </c>
      <c r="H4453" s="20" t="str">
        <f t="shared" si="69"/>
        <v>(nextval('obj_part_id_seq'), (select id from obj_building_v where zip||'|'||street||'|'||name||'|'||volume = '4303|Guggeregge 1|Werkhof|4728.00'), 'P2', 7, 90, 2019,'Kiesdach mit leichtem, zweiseitigem Gefälle (über Holzbinder), extensiv begrünt, Lichtkuppeln aus Kunststoff, Vordach aus Blech'),</v>
      </c>
    </row>
    <row r="4454" spans="1:8" x14ac:dyDescent="0.25">
      <c r="A4454" s="9" t="s">
        <v>3832</v>
      </c>
      <c r="B4454" s="9" t="s">
        <v>1099</v>
      </c>
      <c r="C4454">
        <v>0</v>
      </c>
      <c r="D4454" t="s">
        <v>4080</v>
      </c>
      <c r="E4454">
        <v>2019</v>
      </c>
      <c r="F4454" s="9"/>
      <c r="H4454" s="20" t="str">
        <f t="shared" si="69"/>
        <v>(nextval('obj_part_id_seq'), (select id from obj_building_v where zip||'|'||street||'|'||name||'|'||volume = '4303|Guggeregge 1|Werkhof|4728.00'), 'P3', 0, null, 2019,null),</v>
      </c>
    </row>
    <row r="4455" spans="1:8" x14ac:dyDescent="0.25">
      <c r="A4455" s="9" t="s">
        <v>3832</v>
      </c>
      <c r="B4455" s="9" t="s">
        <v>1100</v>
      </c>
      <c r="C4455">
        <v>6</v>
      </c>
      <c r="D4455">
        <v>85</v>
      </c>
      <c r="E4455">
        <v>2019</v>
      </c>
      <c r="F4455" s="9" t="s">
        <v>3835</v>
      </c>
      <c r="H4455" s="20" t="str">
        <f t="shared" si="69"/>
        <v>(nextval('obj_part_id_seq'), (select id from obj_building_v where zip||'|'||street||'|'||name||'|'||volume = '4303|Guggeregge 1|Werkhof|4728.00'), 'P4', 6, 85, 2019,'Sichtbeton und Holz'),</v>
      </c>
    </row>
    <row r="4456" spans="1:8" x14ac:dyDescent="0.25">
      <c r="A4456" s="9" t="s">
        <v>3832</v>
      </c>
      <c r="B4456" s="9" t="s">
        <v>1102</v>
      </c>
      <c r="C4456">
        <v>15</v>
      </c>
      <c r="D4456">
        <v>90</v>
      </c>
      <c r="E4456">
        <v>2019</v>
      </c>
      <c r="F4456" s="9" t="s">
        <v>3836</v>
      </c>
      <c r="H4456" s="20" t="str">
        <f t="shared" si="69"/>
        <v>(nextval('obj_part_id_seq'), (select id from obj_building_v where zip||'|'||street||'|'||name||'|'||volume = '4303|Guggeregge 1|Werkhof|4728.00'), 'P5', 15, 90, 2019,'Holz, Metall, 3-fach-Verglasung, Aussentüre: Kunststoff, Metall. Bei Wasserversorgung Fenster: Kunststoff, Rafflamellenstoren, Sektionaltore'),</v>
      </c>
    </row>
    <row r="4457" spans="1:8" x14ac:dyDescent="0.25">
      <c r="A4457" s="9" t="s">
        <v>3832</v>
      </c>
      <c r="B4457" s="9" t="s">
        <v>1110</v>
      </c>
      <c r="C4457">
        <v>9</v>
      </c>
      <c r="D4457">
        <v>90</v>
      </c>
      <c r="E4457">
        <v>2019</v>
      </c>
      <c r="F4457" s="9" t="s">
        <v>3837</v>
      </c>
      <c r="H4457" s="20" t="str">
        <f t="shared" si="69"/>
        <v>(nextval('obj_part_id_seq'), (select id from obj_building_v where zip||'|'||street||'|'||name||'|'||volume = '4303|Guggeregge 1|Werkhof|4728.00'), 'P9', 9, 90, 2019,'Brandmeldeanlage, Photovoltaikanlage, FI-Schutzschalter und 400V-Anschlüsse vorh., Beleuchtung'),</v>
      </c>
    </row>
    <row r="4458" spans="1:8" x14ac:dyDescent="0.25">
      <c r="A4458" s="9" t="s">
        <v>3832</v>
      </c>
      <c r="B4458" s="9" t="s">
        <v>1104</v>
      </c>
      <c r="C4458">
        <v>2</v>
      </c>
      <c r="D4458">
        <v>90</v>
      </c>
      <c r="E4458">
        <v>2019</v>
      </c>
      <c r="F4458" s="9" t="s">
        <v>3838</v>
      </c>
      <c r="H4458" s="20" t="str">
        <f t="shared" si="69"/>
        <v>(nextval('obj_part_id_seq'), (select id from obj_building_v where zip||'|'||street||'|'||name||'|'||volume = '4303|Guggeregge 1|Werkhof|4728.00'), 'P6', 2, 90, 2019,'Heizlüftung, Gastherme (3.2010), Kleiderwärmeschrank/-trocknung'),</v>
      </c>
    </row>
    <row r="4459" spans="1:8" x14ac:dyDescent="0.25">
      <c r="A4459" s="9" t="s">
        <v>3832</v>
      </c>
      <c r="B4459" s="9" t="s">
        <v>1106</v>
      </c>
      <c r="C4459">
        <v>4</v>
      </c>
      <c r="D4459">
        <v>90</v>
      </c>
      <c r="E4459">
        <v>2019</v>
      </c>
      <c r="F4459" s="9" t="s">
        <v>3839</v>
      </c>
      <c r="H4459" s="20" t="str">
        <f t="shared" si="69"/>
        <v>(nextval('obj_part_id_seq'), (select id from obj_building_v where zip||'|'||street||'|'||name||'|'||volume = '4303|Guggeregge 1|Werkhof|4728.00'), 'P7', 4, 90, 2019,'Radiatoren und Heizlüftung'),</v>
      </c>
    </row>
    <row r="4460" spans="1:8" x14ac:dyDescent="0.25">
      <c r="A4460" s="9" t="s">
        <v>3832</v>
      </c>
      <c r="B4460" s="9" t="s">
        <v>1403</v>
      </c>
      <c r="C4460">
        <v>3</v>
      </c>
      <c r="D4460">
        <v>90</v>
      </c>
      <c r="E4460">
        <v>2019</v>
      </c>
      <c r="F4460" s="9" t="s">
        <v>3840</v>
      </c>
      <c r="H4460" s="20" t="str">
        <f t="shared" si="69"/>
        <v>(nextval('obj_part_id_seq'), (select id from obj_building_v where zip||'|'||street||'|'||name||'|'||volume = '4303|Guggeregge 1|Werkhof|4728.00'), 'P52', 3, 90, 2019,'Entlüftung Erweiterungsbau'),</v>
      </c>
    </row>
    <row r="4461" spans="1:8" x14ac:dyDescent="0.25">
      <c r="A4461" s="9" t="s">
        <v>3832</v>
      </c>
      <c r="B4461" s="9" t="s">
        <v>1404</v>
      </c>
      <c r="C4461">
        <v>3</v>
      </c>
      <c r="D4461">
        <v>90</v>
      </c>
      <c r="E4461">
        <v>2019</v>
      </c>
      <c r="F4461" s="9" t="s">
        <v>3840</v>
      </c>
      <c r="H4461" s="20" t="str">
        <f t="shared" si="69"/>
        <v>(nextval('obj_part_id_seq'), (select id from obj_building_v where zip||'|'||street||'|'||name||'|'||volume = '4303|Guggeregge 1|Werkhof|4728.00'), 'P53', 3, 90, 2019,'Entlüftung Erweiterungsbau'),</v>
      </c>
    </row>
    <row r="4462" spans="1:8" x14ac:dyDescent="0.25">
      <c r="A4462" s="9" t="s">
        <v>3832</v>
      </c>
      <c r="B4462" s="9" t="s">
        <v>1108</v>
      </c>
      <c r="C4462">
        <v>4</v>
      </c>
      <c r="D4462">
        <v>90</v>
      </c>
      <c r="E4462">
        <v>2019</v>
      </c>
      <c r="F4462" s="9" t="s">
        <v>3841</v>
      </c>
      <c r="H4462" s="20" t="str">
        <f t="shared" si="69"/>
        <v>(nextval('obj_part_id_seq'), (select id from obj_building_v where zip||'|'||street||'|'||name||'|'||volume = '4303|Guggeregge 1|Werkhof|4728.00'), 'P8', 4, 90, 2019,'Regenwassertank, Leitungen: genügend Druck vorhanden, Oelabscheider'),</v>
      </c>
    </row>
    <row r="4463" spans="1:8" x14ac:dyDescent="0.25">
      <c r="A4463" s="9" t="s">
        <v>3832</v>
      </c>
      <c r="B4463" s="9" t="s">
        <v>1155</v>
      </c>
      <c r="C4463">
        <v>0</v>
      </c>
      <c r="D4463" t="s">
        <v>4080</v>
      </c>
      <c r="E4463">
        <v>2019</v>
      </c>
      <c r="F4463" s="9"/>
      <c r="H4463" s="20" t="str">
        <f t="shared" si="69"/>
        <v>(nextval('obj_part_id_seq'), (select id from obj_building_v where zip||'|'||street||'|'||name||'|'||volume = '4303|Guggeregge 1|Werkhof|4728.00'), 'P56', 0, null, 2019,null),</v>
      </c>
    </row>
    <row r="4464" spans="1:8" x14ac:dyDescent="0.25">
      <c r="A4464" s="9" t="s">
        <v>3832</v>
      </c>
      <c r="B4464" s="9" t="s">
        <v>1138</v>
      </c>
      <c r="C4464">
        <v>8</v>
      </c>
      <c r="D4464">
        <v>90</v>
      </c>
      <c r="E4464">
        <v>2019</v>
      </c>
      <c r="F4464" s="9" t="s">
        <v>3842</v>
      </c>
      <c r="H4464" s="20" t="str">
        <f t="shared" si="69"/>
        <v>(nextval('obj_part_id_seq'), (select id from obj_building_v where zip||'|'||street||'|'||name||'|'||volume = '4303|Guggeregge 1|Werkhof|4728.00'), 'P57', 8, 90, 2019,'Innere Verglasungen, Metallgeländer, Einbaukästen, WC-Trennwände, Innentüren'),</v>
      </c>
    </row>
    <row r="4465" spans="1:8" x14ac:dyDescent="0.25">
      <c r="A4465" s="9" t="s">
        <v>3832</v>
      </c>
      <c r="B4465" s="9" t="s">
        <v>1140</v>
      </c>
      <c r="C4465">
        <v>5</v>
      </c>
      <c r="D4465">
        <v>90</v>
      </c>
      <c r="E4465">
        <v>2019</v>
      </c>
      <c r="F4465" s="9" t="s">
        <v>3843</v>
      </c>
      <c r="H4465" s="20" t="str">
        <f t="shared" si="69"/>
        <v>(nextval('obj_part_id_seq'), (select id from obj_building_v where zip||'|'||street||'|'||name||'|'||volume = '4303|Guggeregge 1|Werkhof|4728.00'), 'P58', 5, 90, 2019,'Boden: Keramik, Kunststein, Linol, Hartbeton (leichte Risse). Wand: Abrieb, Heraklith-Platten, Gips (einzelne Risse)'),</v>
      </c>
    </row>
    <row r="4466" spans="1:8" x14ac:dyDescent="0.25">
      <c r="A4466" s="9" t="s">
        <v>3832</v>
      </c>
      <c r="B4466" s="9" t="s">
        <v>1142</v>
      </c>
      <c r="C4466">
        <v>0</v>
      </c>
      <c r="D4466" t="s">
        <v>4080</v>
      </c>
      <c r="E4466">
        <v>2019</v>
      </c>
      <c r="F4466" s="9"/>
      <c r="H4466" s="20" t="str">
        <f t="shared" si="69"/>
        <v>(nextval('obj_part_id_seq'), (select id from obj_building_v where zip||'|'||street||'|'||name||'|'||volume = '4303|Guggeregge 1|Werkhof|4728.00'), 'P60', 0, null, 2019,null),</v>
      </c>
    </row>
    <row r="4467" spans="1:8" x14ac:dyDescent="0.25">
      <c r="A4467" s="9" t="s">
        <v>3832</v>
      </c>
      <c r="B4467" s="9" t="s">
        <v>1143</v>
      </c>
      <c r="C4467">
        <v>0</v>
      </c>
      <c r="D4467" t="s">
        <v>4080</v>
      </c>
      <c r="E4467">
        <v>2019</v>
      </c>
      <c r="F4467" s="9"/>
      <c r="H4467" s="20" t="str">
        <f t="shared" si="69"/>
        <v>(nextval('obj_part_id_seq'), (select id from obj_building_v where zip||'|'||street||'|'||name||'|'||volume = '4303|Guggeregge 1|Werkhof|4728.00'), 'P61', 0, null, 2019,null),</v>
      </c>
    </row>
    <row r="4468" spans="1:8" x14ac:dyDescent="0.25">
      <c r="A4468" s="9" t="s">
        <v>3832</v>
      </c>
      <c r="B4468" s="9" t="s">
        <v>1144</v>
      </c>
      <c r="C4468">
        <v>0</v>
      </c>
      <c r="D4468" t="s">
        <v>4080</v>
      </c>
      <c r="E4468">
        <v>2019</v>
      </c>
      <c r="F4468" s="9"/>
      <c r="H4468" s="20" t="str">
        <f t="shared" si="69"/>
        <v>(nextval('obj_part_id_seq'), (select id from obj_building_v where zip||'|'||street||'|'||name||'|'||volume = '4303|Guggeregge 1|Werkhof|4728.00'), 'P62', 0, null, 2019,null),</v>
      </c>
    </row>
    <row r="4469" spans="1:8" x14ac:dyDescent="0.25">
      <c r="A4469" s="9" t="s">
        <v>3844</v>
      </c>
      <c r="B4469" s="9" t="s">
        <v>1127</v>
      </c>
      <c r="C4469">
        <v>32</v>
      </c>
      <c r="D4469">
        <v>90</v>
      </c>
      <c r="E4469">
        <v>2019</v>
      </c>
      <c r="F4469" s="9" t="s">
        <v>3845</v>
      </c>
      <c r="H4469" s="20" t="str">
        <f t="shared" si="69"/>
        <v>(nextval('obj_part_id_seq'), (select id from obj_building_v where zip||'|'||street||'|'||name||'|'||volume = '4303|Im Liner, Römerweg|Sportplatz im Liner|1660.00'), 'P48', 32, 90, 2019,'Systemholzbau'),</v>
      </c>
    </row>
    <row r="4470" spans="1:8" x14ac:dyDescent="0.25">
      <c r="A4470" s="9" t="s">
        <v>3844</v>
      </c>
      <c r="B4470" s="9" t="s">
        <v>1129</v>
      </c>
      <c r="C4470">
        <v>0</v>
      </c>
      <c r="D4470" t="s">
        <v>4080</v>
      </c>
      <c r="E4470">
        <v>2019</v>
      </c>
      <c r="F4470" s="9"/>
      <c r="H4470" s="20" t="str">
        <f t="shared" si="69"/>
        <v>(nextval('obj_part_id_seq'), (select id from obj_building_v where zip||'|'||street||'|'||name||'|'||volume = '4303|Im Liner, Römerweg|Sportplatz im Liner|1660.00'), 'P49', 0, null, 2019,null),</v>
      </c>
    </row>
    <row r="4471" spans="1:8" x14ac:dyDescent="0.25">
      <c r="A4471" s="9" t="s">
        <v>3844</v>
      </c>
      <c r="B4471" s="9" t="s">
        <v>1097</v>
      </c>
      <c r="C4471">
        <v>13</v>
      </c>
      <c r="D4471">
        <v>90</v>
      </c>
      <c r="E4471">
        <v>2019</v>
      </c>
      <c r="F4471" s="9" t="s">
        <v>3846</v>
      </c>
      <c r="H4471" s="20" t="str">
        <f t="shared" si="69"/>
        <v>(nextval('obj_part_id_seq'), (select id from obj_building_v where zip||'|'||street||'|'||name||'|'||volume = '4303|Im Liner, Römerweg|Sportplatz im Liner|1660.00'), 'P2', 13, 90, 2019,'Welleternit, Oblichter Cupolux'),</v>
      </c>
    </row>
    <row r="4472" spans="1:8" x14ac:dyDescent="0.25">
      <c r="A4472" s="9" t="s">
        <v>3844</v>
      </c>
      <c r="B4472" s="9" t="s">
        <v>1099</v>
      </c>
      <c r="C4472">
        <v>0</v>
      </c>
      <c r="D4472" t="s">
        <v>4080</v>
      </c>
      <c r="E4472">
        <v>2019</v>
      </c>
      <c r="F4472" s="9"/>
      <c r="H4472" s="20" t="str">
        <f t="shared" si="69"/>
        <v>(nextval('obj_part_id_seq'), (select id from obj_building_v where zip||'|'||street||'|'||name||'|'||volume = '4303|Im Liner, Römerweg|Sportplatz im Liner|1660.00'), 'P3', 0, null, 2019,null),</v>
      </c>
    </row>
    <row r="4473" spans="1:8" x14ac:dyDescent="0.25">
      <c r="A4473" s="9" t="s">
        <v>3844</v>
      </c>
      <c r="B4473" s="9" t="s">
        <v>1100</v>
      </c>
      <c r="C4473">
        <v>5</v>
      </c>
      <c r="D4473">
        <v>90</v>
      </c>
      <c r="E4473">
        <v>2019</v>
      </c>
      <c r="F4473" s="9" t="s">
        <v>3847</v>
      </c>
      <c r="H4473" s="20" t="str">
        <f t="shared" si="69"/>
        <v>(nextval('obj_part_id_seq'), (select id from obj_building_v where zip||'|'||street||'|'||name||'|'||volume = '4303|Im Liner, Römerweg|Sportplatz im Liner|1660.00'), 'P4', 5, 90, 2019,'Grossformatige Eternitplatten'),</v>
      </c>
    </row>
    <row r="4474" spans="1:8" x14ac:dyDescent="0.25">
      <c r="A4474" s="9" t="s">
        <v>3844</v>
      </c>
      <c r="B4474" s="9" t="s">
        <v>1102</v>
      </c>
      <c r="C4474">
        <v>7</v>
      </c>
      <c r="D4474">
        <v>90</v>
      </c>
      <c r="E4474">
        <v>2019</v>
      </c>
      <c r="F4474" s="9" t="s">
        <v>3848</v>
      </c>
      <c r="H4474" s="20" t="str">
        <f t="shared" si="69"/>
        <v>(nextval('obj_part_id_seq'), (select id from obj_building_v where zip||'|'||street||'|'||name||'|'||volume = '4303|Im Liner, Römerweg|Sportplatz im Liner|1660.00'), 'P5', 7, 90, 2019,'Holz-/Metallfenster, Eingang: Metalltüren, Tore'),</v>
      </c>
    </row>
    <row r="4475" spans="1:8" x14ac:dyDescent="0.25">
      <c r="A4475" s="9" t="s">
        <v>3844</v>
      </c>
      <c r="B4475" s="9" t="s">
        <v>1110</v>
      </c>
      <c r="C4475">
        <v>6</v>
      </c>
      <c r="D4475">
        <v>90</v>
      </c>
      <c r="E4475">
        <v>2019</v>
      </c>
      <c r="F4475" s="9" t="s">
        <v>3849</v>
      </c>
      <c r="H4475" s="20" t="str">
        <f t="shared" si="69"/>
        <v>(nextval('obj_part_id_seq'), (select id from obj_building_v where zip||'|'||street||'|'||name||'|'||volume = '4303|Im Liner, Römerweg|Sportplatz im Liner|1660.00'), 'P9', 6, 90, 2019,'Elektroanlagen inkl. Solaranlage 8m2 und Uhrenanlage'),</v>
      </c>
    </row>
    <row r="4476" spans="1:8" x14ac:dyDescent="0.25">
      <c r="A4476" s="9" t="s">
        <v>3844</v>
      </c>
      <c r="B4476" s="9" t="s">
        <v>1104</v>
      </c>
      <c r="C4476">
        <v>3</v>
      </c>
      <c r="D4476">
        <v>90</v>
      </c>
      <c r="E4476">
        <v>2019</v>
      </c>
      <c r="F4476" s="9" t="s">
        <v>3850</v>
      </c>
      <c r="H4476" s="20" t="str">
        <f t="shared" si="69"/>
        <v>(nextval('obj_part_id_seq'), (select id from obj_building_v where zip||'|'||street||'|'||name||'|'||volume = '4303|Im Liner, Römerweg|Sportplatz im Liner|1660.00'), 'P6', 3, 90, 2019,'Gas, WW-Speicher mit Sonnenkollektoren'),</v>
      </c>
    </row>
    <row r="4477" spans="1:8" x14ac:dyDescent="0.25">
      <c r="A4477" s="9" t="s">
        <v>3844</v>
      </c>
      <c r="B4477" s="9" t="s">
        <v>1106</v>
      </c>
      <c r="C4477">
        <v>3</v>
      </c>
      <c r="D4477">
        <v>90</v>
      </c>
      <c r="E4477">
        <v>2019</v>
      </c>
      <c r="F4477" s="9" t="s">
        <v>1571</v>
      </c>
      <c r="H4477" s="20" t="str">
        <f t="shared" si="69"/>
        <v>(nextval('obj_part_id_seq'), (select id from obj_building_v where zip||'|'||street||'|'||name||'|'||volume = '4303|Im Liner, Römerweg|Sportplatz im Liner|1660.00'), 'P7', 3, 90, 2019,'Bodenheizung'),</v>
      </c>
    </row>
    <row r="4478" spans="1:8" x14ac:dyDescent="0.25">
      <c r="A4478" s="9" t="s">
        <v>3844</v>
      </c>
      <c r="B4478" s="9" t="s">
        <v>1403</v>
      </c>
      <c r="C4478">
        <v>2</v>
      </c>
      <c r="D4478">
        <v>90</v>
      </c>
      <c r="E4478">
        <v>2019</v>
      </c>
      <c r="F4478" s="9" t="s">
        <v>3851</v>
      </c>
      <c r="H4478" s="20" t="str">
        <f t="shared" si="69"/>
        <v>(nextval('obj_part_id_seq'), (select id from obj_building_v where zip||'|'||street||'|'||name||'|'||volume = '4303|Im Liner, Römerweg|Sportplatz im Liner|1660.00'), 'P52', 2, 90, 2019,'Lüftung mit Heizung. WRG'),</v>
      </c>
    </row>
    <row r="4479" spans="1:8" x14ac:dyDescent="0.25">
      <c r="A4479" s="9" t="s">
        <v>3844</v>
      </c>
      <c r="B4479" s="9" t="s">
        <v>1404</v>
      </c>
      <c r="C4479">
        <v>2</v>
      </c>
      <c r="D4479">
        <v>90</v>
      </c>
      <c r="E4479">
        <v>2019</v>
      </c>
      <c r="F4479" s="9" t="s">
        <v>3852</v>
      </c>
      <c r="H4479" s="20" t="str">
        <f t="shared" si="69"/>
        <v>(nextval('obj_part_id_seq'), (select id from obj_building_v where zip||'|'||street||'|'||name||'|'||volume = '4303|Im Liner, Römerweg|Sportplatz im Liner|1660.00'), 'P53', 2, 90, 2019,'Lüftung mit Heizung, WRG'),</v>
      </c>
    </row>
    <row r="4480" spans="1:8" x14ac:dyDescent="0.25">
      <c r="A4480" s="9" t="s">
        <v>3844</v>
      </c>
      <c r="B4480" s="9" t="s">
        <v>1135</v>
      </c>
      <c r="C4480">
        <v>3</v>
      </c>
      <c r="D4480">
        <v>90</v>
      </c>
      <c r="E4480">
        <v>2019</v>
      </c>
      <c r="F4480" s="9" t="s">
        <v>3853</v>
      </c>
      <c r="H4480" s="20" t="str">
        <f t="shared" si="69"/>
        <v>(nextval('obj_part_id_seq'), (select id from obj_building_v where zip||'|'||street||'|'||name||'|'||volume = '4303|Im Liner, Römerweg|Sportplatz im Liner|1660.00'), 'P54', 3, 90, 2019,'Zeitgemässe Apparate und Armaturen, Fön in Garderoben, Entkalkungsanlage'),</v>
      </c>
    </row>
    <row r="4481" spans="1:8" x14ac:dyDescent="0.25">
      <c r="A4481" s="9" t="s">
        <v>3844</v>
      </c>
      <c r="B4481" s="9" t="s">
        <v>1137</v>
      </c>
      <c r="C4481">
        <v>3</v>
      </c>
      <c r="D4481">
        <v>90</v>
      </c>
      <c r="E4481">
        <v>2019</v>
      </c>
      <c r="F4481" s="9" t="s">
        <v>3854</v>
      </c>
      <c r="H4481" s="20" t="str">
        <f t="shared" si="69"/>
        <v>(nextval('obj_part_id_seq'), (select id from obj_building_v where zip||'|'||street||'|'||name||'|'||volume = '4303|Im Liner, Römerweg|Sportplatz im Liner|1660.00'), 'P55', 3, 90, 2019,'Platzbewässerung nicht enthalten'),</v>
      </c>
    </row>
    <row r="4482" spans="1:8" x14ac:dyDescent="0.25">
      <c r="A4482" s="9" t="s">
        <v>3844</v>
      </c>
      <c r="B4482" s="9" t="s">
        <v>1138</v>
      </c>
      <c r="C4482">
        <v>10</v>
      </c>
      <c r="D4482">
        <v>90</v>
      </c>
      <c r="E4482">
        <v>2019</v>
      </c>
      <c r="F4482" s="9" t="s">
        <v>3855</v>
      </c>
      <c r="H4482" s="20" t="str">
        <f t="shared" si="69"/>
        <v>(nextval('obj_part_id_seq'), (select id from obj_building_v where zip||'|'||street||'|'||name||'|'||volume = '4303|Im Liner, Römerweg|Sportplatz im Liner|1660.00'), 'P57', 10, 90, 2019,'Garderoben, Küche'),</v>
      </c>
    </row>
    <row r="4483" spans="1:8" x14ac:dyDescent="0.25">
      <c r="A4483" s="9" t="s">
        <v>3844</v>
      </c>
      <c r="B4483" s="9" t="s">
        <v>1140</v>
      </c>
      <c r="C4483">
        <v>11</v>
      </c>
      <c r="D4483">
        <v>90</v>
      </c>
      <c r="E4483">
        <v>2019</v>
      </c>
      <c r="F4483" s="9" t="s">
        <v>3856</v>
      </c>
      <c r="H4483" s="20" t="str">
        <f t="shared" si="69"/>
        <v>(nextval('obj_part_id_seq'), (select id from obj_building_v where zip||'|'||street||'|'||name||'|'||volume = '4303|Im Liner, Römerweg|Sportplatz im Liner|1660.00'), 'P58', 11, 90, 2019,'B: Flüssigkunststoff, W: Pressspan roh, Keramik D: Pressspan roh, Metalldecken'),</v>
      </c>
    </row>
    <row r="4484" spans="1:8" x14ac:dyDescent="0.25">
      <c r="A4484" s="9" t="s">
        <v>3844</v>
      </c>
      <c r="B4484" s="9" t="s">
        <v>1142</v>
      </c>
      <c r="C4484">
        <v>0</v>
      </c>
      <c r="D4484" t="s">
        <v>4080</v>
      </c>
      <c r="E4484">
        <v>2019</v>
      </c>
      <c r="F4484" s="9"/>
      <c r="H4484" s="20" t="str">
        <f t="shared" si="69"/>
        <v>(nextval('obj_part_id_seq'), (select id from obj_building_v where zip||'|'||street||'|'||name||'|'||volume = '4303|Im Liner, Römerweg|Sportplatz im Liner|1660.00'), 'P60', 0, null, 2019,null),</v>
      </c>
    </row>
    <row r="4485" spans="1:8" x14ac:dyDescent="0.25">
      <c r="A4485" s="9" t="s">
        <v>3844</v>
      </c>
      <c r="B4485" s="9" t="s">
        <v>1143</v>
      </c>
      <c r="C4485">
        <v>0</v>
      </c>
      <c r="D4485" t="s">
        <v>4080</v>
      </c>
      <c r="E4485">
        <v>2019</v>
      </c>
      <c r="F4485" s="9"/>
      <c r="H4485" s="20" t="str">
        <f t="shared" ref="H4485:H4548" si="70">"(nextval('obj_part_id_seq'), (select id from obj_building_v where zip||'|'||street||'|'||name||'|'||volume = '"&amp;A4485&amp;"'), '"&amp;B4485&amp;"', "&amp;C4485&amp;", "&amp;D4485&amp;", "&amp;IF(ISBLANK(E4485),"null",E4485)&amp;","&amp;IF(ISBLANK(F4485),"null","'"&amp;F4485&amp;"'")&amp;"),"</f>
        <v>(nextval('obj_part_id_seq'), (select id from obj_building_v where zip||'|'||street||'|'||name||'|'||volume = '4303|Im Liner, Römerweg|Sportplatz im Liner|1660.00'), 'P61', 0, null, 2019,null),</v>
      </c>
    </row>
    <row r="4486" spans="1:8" x14ac:dyDescent="0.25">
      <c r="A4486" s="9" t="s">
        <v>3844</v>
      </c>
      <c r="B4486" s="9" t="s">
        <v>1144</v>
      </c>
      <c r="C4486">
        <v>0</v>
      </c>
      <c r="D4486" t="s">
        <v>4080</v>
      </c>
      <c r="E4486">
        <v>2019</v>
      </c>
      <c r="F4486" s="9"/>
      <c r="H4486" s="20" t="str">
        <f t="shared" si="70"/>
        <v>(nextval('obj_part_id_seq'), (select id from obj_building_v where zip||'|'||street||'|'||name||'|'||volume = '4303|Im Liner, Römerweg|Sportplatz im Liner|1660.00'), 'P62', 0, null, 2019,null),</v>
      </c>
    </row>
    <row r="4487" spans="1:8" x14ac:dyDescent="0.25">
      <c r="A4487" s="9" t="s">
        <v>3857</v>
      </c>
      <c r="B4487" s="9" t="s">
        <v>1127</v>
      </c>
      <c r="C4487">
        <v>40</v>
      </c>
      <c r="D4487">
        <v>85</v>
      </c>
      <c r="E4487">
        <v>2021</v>
      </c>
      <c r="F4487" s="9" t="s">
        <v>3858</v>
      </c>
      <c r="H4487" s="20" t="str">
        <f t="shared" si="70"/>
        <v>(nextval('obj_part_id_seq'), (select id from obj_building_v where zip||'|'||street||'|'||name||'|'||volume = '5425|Widenstrasse|Feuerwehrlokal, Bauamt, Zivilschutzgebäude|5948.00'), 'P48', 40, 85, 2021,'Stahlbeton, Mauerwerk KS, gestrichen'),</v>
      </c>
    </row>
    <row r="4488" spans="1:8" x14ac:dyDescent="0.25">
      <c r="A4488" s="9" t="s">
        <v>3857</v>
      </c>
      <c r="B4488" s="9" t="s">
        <v>1129</v>
      </c>
      <c r="C4488">
        <v>0</v>
      </c>
      <c r="D4488" t="s">
        <v>4080</v>
      </c>
      <c r="E4488">
        <v>2021</v>
      </c>
      <c r="F4488" s="9"/>
      <c r="H4488" s="20" t="str">
        <f t="shared" si="70"/>
        <v>(nextval('obj_part_id_seq'), (select id from obj_building_v where zip||'|'||street||'|'||name||'|'||volume = '5425|Widenstrasse|Feuerwehrlokal, Bauamt, Zivilschutzgebäude|5948.00'), 'P49', 0, null, 2021,null),</v>
      </c>
    </row>
    <row r="4489" spans="1:8" x14ac:dyDescent="0.25">
      <c r="A4489" s="9" t="s">
        <v>3857</v>
      </c>
      <c r="B4489" s="9" t="s">
        <v>1097</v>
      </c>
      <c r="C4489">
        <v>4</v>
      </c>
      <c r="D4489">
        <v>80</v>
      </c>
      <c r="E4489">
        <v>2021</v>
      </c>
      <c r="F4489" s="9" t="s">
        <v>3859</v>
      </c>
      <c r="H4489" s="20" t="str">
        <f t="shared" si="70"/>
        <v>(nextval('obj_part_id_seq'), (select id from obj_building_v where zip||'|'||street||'|'||name||'|'||volume = '5425|Widenstrasse|Feuerwehrlokal, Bauamt, Zivilschutzgebäude|5948.00'), 'P2', 4, 80, 2021,'Vordach Stahlkonstruktion mit Doppelstehfalz-Kupferblechdach'),</v>
      </c>
    </row>
    <row r="4490" spans="1:8" x14ac:dyDescent="0.25">
      <c r="A4490" s="9" t="s">
        <v>3857</v>
      </c>
      <c r="B4490" s="9" t="s">
        <v>1099</v>
      </c>
      <c r="C4490">
        <v>7</v>
      </c>
      <c r="D4490">
        <v>85</v>
      </c>
      <c r="E4490">
        <v>2021</v>
      </c>
      <c r="F4490" s="9" t="s">
        <v>3860</v>
      </c>
      <c r="H4490" s="20" t="str">
        <f t="shared" si="70"/>
        <v>(nextval('obj_part_id_seq'), (select id from obj_building_v where zip||'|'||street||'|'||name||'|'||volume = '5425|Widenstrasse|Feuerwehrlokal, Bauamt, Zivilschutzgebäude|5948.00'), 'P3', 7, 85, 2021,'Begeh- und befahrbares Flachdach (Parkplatz), tw. asphaltiert, tw. begrünt, Gitterroste, keine Mängel bekannt'),</v>
      </c>
    </row>
    <row r="4491" spans="1:8" x14ac:dyDescent="0.25">
      <c r="A4491" s="9" t="s">
        <v>3857</v>
      </c>
      <c r="B4491" s="9" t="s">
        <v>1100</v>
      </c>
      <c r="C4491">
        <v>3</v>
      </c>
      <c r="D4491">
        <v>80</v>
      </c>
      <c r="E4491">
        <v>2021</v>
      </c>
      <c r="F4491" s="9" t="s">
        <v>3861</v>
      </c>
      <c r="H4491" s="20" t="str">
        <f t="shared" si="70"/>
        <v>(nextval('obj_part_id_seq'), (select id from obj_building_v where zip||'|'||street||'|'||name||'|'||volume = '5425|Widenstrasse|Feuerwehrlokal, Bauamt, Zivilschutzgebäude|5948.00'), 'P4', 3, 80, 2021,'Sichtbeton, tw. mit Rostspuren und Verschmutzungen bei Laibungen, einzelne Risse und Abplatzungen vorhanden, tw. gestrichen'),</v>
      </c>
    </row>
    <row r="4492" spans="1:8" x14ac:dyDescent="0.25">
      <c r="A4492" s="9" t="s">
        <v>3857</v>
      </c>
      <c r="B4492" s="9" t="s">
        <v>1102</v>
      </c>
      <c r="C4492">
        <v>12</v>
      </c>
      <c r="D4492">
        <v>75</v>
      </c>
      <c r="E4492">
        <v>2021</v>
      </c>
      <c r="F4492" s="9" t="s">
        <v>3862</v>
      </c>
      <c r="H4492" s="20" t="str">
        <f t="shared" si="70"/>
        <v>(nextval('obj_part_id_seq'), (select id from obj_building_v where zip||'|'||street||'|'||name||'|'||volume = '5425|Widenstrasse|Feuerwehrlokal, Bauamt, Zivilschutzgebäude|5948.00'), 'P5', 12, 75, 2021,'Holz-Metall-Fenster (4/82) mit Isolierverglasung 2-fach, Sektionaltore aus Metall mit Fenster, Gittertor und Holztor mit Tür bei Zivilschutzanlage, Panzertor'),</v>
      </c>
    </row>
    <row r="4493" spans="1:8" x14ac:dyDescent="0.25">
      <c r="A4493" s="9" t="s">
        <v>3857</v>
      </c>
      <c r="B4493" s="9" t="s">
        <v>1110</v>
      </c>
      <c r="C4493">
        <v>9</v>
      </c>
      <c r="D4493">
        <v>80</v>
      </c>
      <c r="E4493">
        <v>2021</v>
      </c>
      <c r="F4493" s="9" t="s">
        <v>3863</v>
      </c>
      <c r="H4493" s="20" t="str">
        <f t="shared" si="70"/>
        <v>(nextval('obj_part_id_seq'), (select id from obj_building_v where zip||'|'||street||'|'||name||'|'||volume = '5425|Widenstrasse|Feuerwehrlokal, Bauamt, Zivilschutzgebäude|5948.00'), 'P9', 9, 80, 2021,'Alte Keramiksicherungen, tw. FI-Schalter vorh., keine Mängel bekannt, Beleuchtung mit älteren FL-Röhren'),</v>
      </c>
    </row>
    <row r="4494" spans="1:8" x14ac:dyDescent="0.25">
      <c r="A4494" s="9" t="s">
        <v>3857</v>
      </c>
      <c r="B4494" s="9" t="s">
        <v>1104</v>
      </c>
      <c r="C4494">
        <v>2</v>
      </c>
      <c r="D4494">
        <v>80</v>
      </c>
      <c r="E4494">
        <v>2021</v>
      </c>
      <c r="F4494" s="9" t="s">
        <v>3864</v>
      </c>
      <c r="H4494" s="20" t="str">
        <f t="shared" si="70"/>
        <v>(nextval('obj_part_id_seq'), (select id from obj_building_v where zip||'|'||street||'|'||name||'|'||volume = '5425|Widenstrasse|Feuerwehrlokal, Bauamt, Zivilschutzgebäude|5948.00'), 'P6', 2, 80, 2021,'Heizlüfter im Depot, Elektroboiler für WW-Aufbereitung, Trockner für Arbeitskleidung'),</v>
      </c>
    </row>
    <row r="4495" spans="1:8" x14ac:dyDescent="0.25">
      <c r="A4495" s="9" t="s">
        <v>3857</v>
      </c>
      <c r="B4495" s="9" t="s">
        <v>1106</v>
      </c>
      <c r="C4495">
        <v>0</v>
      </c>
      <c r="D4495" t="s">
        <v>4080</v>
      </c>
      <c r="E4495">
        <v>2021</v>
      </c>
      <c r="F4495" s="9"/>
      <c r="H4495" s="20" t="str">
        <f t="shared" si="70"/>
        <v>(nextval('obj_part_id_seq'), (select id from obj_building_v where zip||'|'||street||'|'||name||'|'||volume = '5425|Widenstrasse|Feuerwehrlokal, Bauamt, Zivilschutzgebäude|5948.00'), 'P7', 0, null, 2021,null),</v>
      </c>
    </row>
    <row r="4496" spans="1:8" x14ac:dyDescent="0.25">
      <c r="A4496" s="9" t="s">
        <v>3857</v>
      </c>
      <c r="B4496" s="9" t="s">
        <v>1403</v>
      </c>
      <c r="C4496">
        <v>3</v>
      </c>
      <c r="D4496">
        <v>85</v>
      </c>
      <c r="E4496">
        <v>2021</v>
      </c>
      <c r="F4496" s="9" t="s">
        <v>3865</v>
      </c>
      <c r="H4496" s="20" t="str">
        <f t="shared" si="70"/>
        <v>(nextval('obj_part_id_seq'), (select id from obj_building_v where zip||'|'||street||'|'||name||'|'||volume = '5425|Widenstrasse|Feuerwehrlokal, Bauamt, Zivilschutzgebäude|5948.00'), 'P52', 3, 85, 2021,'Kompressor für Druckluft, Lüftungsaggregate in ZS-Anlage'),</v>
      </c>
    </row>
    <row r="4497" spans="1:8" x14ac:dyDescent="0.25">
      <c r="A4497" s="9" t="s">
        <v>3857</v>
      </c>
      <c r="B4497" s="9" t="s">
        <v>1404</v>
      </c>
      <c r="C4497">
        <v>3</v>
      </c>
      <c r="D4497">
        <v>90</v>
      </c>
      <c r="E4497">
        <v>2021</v>
      </c>
      <c r="F4497" s="9" t="s">
        <v>3866</v>
      </c>
      <c r="H4497" s="20" t="str">
        <f t="shared" si="70"/>
        <v>(nextval('obj_part_id_seq'), (select id from obj_building_v where zip||'|'||street||'|'||name||'|'||volume = '5425|Widenstrasse|Feuerwehrlokal, Bauamt, Zivilschutzgebäude|5948.00'), 'P53', 3, 90, 2021,'Lüftungskanäle in ZS-Anlage'),</v>
      </c>
    </row>
    <row r="4498" spans="1:8" x14ac:dyDescent="0.25">
      <c r="A4498" s="9" t="s">
        <v>3857</v>
      </c>
      <c r="B4498" s="9" t="s">
        <v>1108</v>
      </c>
      <c r="C4498">
        <v>4</v>
      </c>
      <c r="D4498">
        <v>85</v>
      </c>
      <c r="E4498">
        <v>2021</v>
      </c>
      <c r="F4498" s="9" t="s">
        <v>3867</v>
      </c>
      <c r="H4498" s="20" t="str">
        <f t="shared" si="70"/>
        <v>(nextval('obj_part_id_seq'), (select id from obj_building_v where zip||'|'||street||'|'||name||'|'||volume = '5425|Widenstrasse|Feuerwehrlokal, Bauamt, Zivilschutzgebäude|5948.00'), 'P8', 4, 85, 2021,'Leitungen (verzinkte Leitungsstücke und tw. aus Messing), genügender Druck vorh., Apparate funktionstüchtig, Leitungen isoliert, befahrbare Rinnen im Depot, Tankraum von aussen zugänglich, Chromstahlbecken in ZS-Anlage, Küchenapparate'),</v>
      </c>
    </row>
    <row r="4499" spans="1:8" x14ac:dyDescent="0.25">
      <c r="A4499" s="9" t="s">
        <v>3857</v>
      </c>
      <c r="B4499" s="9" t="s">
        <v>1155</v>
      </c>
      <c r="C4499">
        <v>0</v>
      </c>
      <c r="D4499" t="s">
        <v>4080</v>
      </c>
      <c r="E4499">
        <v>2021</v>
      </c>
      <c r="F4499" s="9"/>
      <c r="H4499" s="20" t="str">
        <f t="shared" si="70"/>
        <v>(nextval('obj_part_id_seq'), (select id from obj_building_v where zip||'|'||street||'|'||name||'|'||volume = '5425|Widenstrasse|Feuerwehrlokal, Bauamt, Zivilschutzgebäude|5948.00'), 'P56', 0, null, 2021,null),</v>
      </c>
    </row>
    <row r="4500" spans="1:8" x14ac:dyDescent="0.25">
      <c r="A4500" s="9" t="s">
        <v>3857</v>
      </c>
      <c r="B4500" s="9" t="s">
        <v>1138</v>
      </c>
      <c r="C4500">
        <v>8</v>
      </c>
      <c r="D4500">
        <v>80</v>
      </c>
      <c r="E4500">
        <v>2021</v>
      </c>
      <c r="F4500" s="9" t="s">
        <v>3868</v>
      </c>
      <c r="H4500" s="20" t="str">
        <f t="shared" si="70"/>
        <v>(nextval('obj_part_id_seq'), (select id from obj_building_v where zip||'|'||street||'|'||name||'|'||volume = '5425|Widenstrasse|Feuerwehrlokal, Bauamt, Zivilschutzgebäude|5948.00'), 'P57', 8, 80, 2021,'Unterbauten mit Waschbecken aus mit Kunstharz belegten Spanplatten, Trennwände aus Holz/Holzwerkstoffplatten in Zivilschutzanlage, Metallgeländer aussen (h=55cm über Mauerkrone), Bürocontainer in Halle'),</v>
      </c>
    </row>
    <row r="4501" spans="1:8" x14ac:dyDescent="0.25">
      <c r="A4501" s="9" t="s">
        <v>3857</v>
      </c>
      <c r="B4501" s="9" t="s">
        <v>1140</v>
      </c>
      <c r="C4501">
        <v>5</v>
      </c>
      <c r="D4501">
        <v>85</v>
      </c>
      <c r="E4501">
        <v>2021</v>
      </c>
      <c r="F4501" s="9" t="s">
        <v>3869</v>
      </c>
      <c r="H4501" s="20" t="str">
        <f t="shared" si="70"/>
        <v>(nextval('obj_part_id_seq'), (select id from obj_building_v where zip||'|'||street||'|'||name||'|'||volume = '5425|Widenstrasse|Feuerwehrlokal, Bauamt, Zivilschutzgebäude|5948.00'), 'P58', 5, 85, 2021,'B: Hartbeton, tw. gestrichen (in ZS-Anlage), Keramikplatten\nW: Beton roh, KS gestrichen, Keramikplatten\nD: Beton roh, tw. mit Heraklit-Decken, tw. mit Syroporplatten (Akustik) verkleidet, tw. gestrichen'),</v>
      </c>
    </row>
    <row r="4502" spans="1:8" x14ac:dyDescent="0.25">
      <c r="A4502" s="9" t="s">
        <v>3857</v>
      </c>
      <c r="B4502" s="9" t="s">
        <v>1142</v>
      </c>
      <c r="C4502">
        <v>0</v>
      </c>
      <c r="D4502" t="s">
        <v>4080</v>
      </c>
      <c r="E4502">
        <v>2021</v>
      </c>
      <c r="F4502" s="9"/>
      <c r="H4502" s="20" t="str">
        <f t="shared" si="70"/>
        <v>(nextval('obj_part_id_seq'), (select id from obj_building_v where zip||'|'||street||'|'||name||'|'||volume = '5425|Widenstrasse|Feuerwehrlokal, Bauamt, Zivilschutzgebäude|5948.00'), 'P60', 0, null, 2021,null),</v>
      </c>
    </row>
    <row r="4503" spans="1:8" x14ac:dyDescent="0.25">
      <c r="A4503" s="9" t="s">
        <v>3857</v>
      </c>
      <c r="B4503" s="9" t="s">
        <v>1143</v>
      </c>
      <c r="C4503">
        <v>0</v>
      </c>
      <c r="D4503" t="s">
        <v>4080</v>
      </c>
      <c r="E4503">
        <v>2021</v>
      </c>
      <c r="F4503" s="9"/>
      <c r="H4503" s="20" t="str">
        <f t="shared" si="70"/>
        <v>(nextval('obj_part_id_seq'), (select id from obj_building_v where zip||'|'||street||'|'||name||'|'||volume = '5425|Widenstrasse|Feuerwehrlokal, Bauamt, Zivilschutzgebäude|5948.00'), 'P61', 0, null, 2021,null),</v>
      </c>
    </row>
    <row r="4504" spans="1:8" x14ac:dyDescent="0.25">
      <c r="A4504" s="9" t="s">
        <v>3857</v>
      </c>
      <c r="B4504" s="9" t="s">
        <v>1144</v>
      </c>
      <c r="C4504">
        <v>0</v>
      </c>
      <c r="D4504" t="s">
        <v>4080</v>
      </c>
      <c r="E4504">
        <v>2021</v>
      </c>
      <c r="F4504" s="9"/>
      <c r="H4504" s="20" t="str">
        <f t="shared" si="70"/>
        <v>(nextval('obj_part_id_seq'), (select id from obj_building_v where zip||'|'||street||'|'||name||'|'||volume = '5425|Widenstrasse|Feuerwehrlokal, Bauamt, Zivilschutzgebäude|5948.00'), 'P62', 0, null, 2021,null),</v>
      </c>
    </row>
    <row r="4505" spans="1:8" x14ac:dyDescent="0.25">
      <c r="A4505" s="9" t="s">
        <v>3870</v>
      </c>
      <c r="B4505" s="9" t="s">
        <v>1127</v>
      </c>
      <c r="C4505">
        <v>41</v>
      </c>
      <c r="D4505">
        <v>90</v>
      </c>
      <c r="E4505">
        <v>2020</v>
      </c>
      <c r="F4505" s="9" t="s">
        <v>2069</v>
      </c>
      <c r="H4505" s="20" t="str">
        <f t="shared" si="70"/>
        <v>(nextval('obj_part_id_seq'), (select id from obj_building_v where zip||'|'||street||'|'||name||'|'||volume = '8564|Schulstrasse 1|Primarschule Sonterswil  Erweiterungsbau|4808.00'), 'P48', 41, 90, 2020,'Mauerwerk, Stahlbeton'),</v>
      </c>
    </row>
    <row r="4506" spans="1:8" x14ac:dyDescent="0.25">
      <c r="A4506" s="9" t="s">
        <v>3870</v>
      </c>
      <c r="B4506" s="9" t="s">
        <v>1129</v>
      </c>
      <c r="C4506">
        <v>0</v>
      </c>
      <c r="D4506" t="s">
        <v>4080</v>
      </c>
      <c r="E4506">
        <v>2020</v>
      </c>
      <c r="F4506" s="9"/>
      <c r="H4506" s="20" t="str">
        <f t="shared" si="70"/>
        <v>(nextval('obj_part_id_seq'), (select id from obj_building_v where zip||'|'||street||'|'||name||'|'||volume = '8564|Schulstrasse 1|Primarschule Sonterswil  Erweiterungsbau|4808.00'), 'P49', 0, null, 2020,null),</v>
      </c>
    </row>
    <row r="4507" spans="1:8" x14ac:dyDescent="0.25">
      <c r="A4507" s="9" t="s">
        <v>3870</v>
      </c>
      <c r="B4507" s="9" t="s">
        <v>1097</v>
      </c>
      <c r="C4507">
        <v>8</v>
      </c>
      <c r="D4507">
        <v>90</v>
      </c>
      <c r="E4507">
        <v>2020</v>
      </c>
      <c r="F4507" s="9" t="s">
        <v>3871</v>
      </c>
      <c r="H4507" s="20" t="str">
        <f t="shared" si="70"/>
        <v>(nextval('obj_part_id_seq'), (select id from obj_building_v where zip||'|'||street||'|'||name||'|'||volume = '8564|Schulstrasse 1|Primarschule Sonterswil  Erweiterungsbau|4808.00'), 'P2', 8, 90, 2020,'Steildach mit Pfannenziegeln. Es sind keine Mängel bekannt. Der Dachraum konnte nicht besichtigt werden.'),</v>
      </c>
    </row>
    <row r="4508" spans="1:8" x14ac:dyDescent="0.25">
      <c r="A4508" s="9" t="s">
        <v>3870</v>
      </c>
      <c r="B4508" s="9" t="s">
        <v>1099</v>
      </c>
      <c r="C4508">
        <v>0</v>
      </c>
      <c r="D4508" t="s">
        <v>4080</v>
      </c>
      <c r="E4508">
        <v>2020</v>
      </c>
      <c r="F4508" s="9"/>
      <c r="H4508" s="20" t="str">
        <f t="shared" si="70"/>
        <v>(nextval('obj_part_id_seq'), (select id from obj_building_v where zip||'|'||street||'|'||name||'|'||volume = '8564|Schulstrasse 1|Primarschule Sonterswil  Erweiterungsbau|4808.00'), 'P3', 0, null, 2020,null),</v>
      </c>
    </row>
    <row r="4509" spans="1:8" x14ac:dyDescent="0.25">
      <c r="A4509" s="9" t="s">
        <v>3870</v>
      </c>
      <c r="B4509" s="9" t="s">
        <v>1100</v>
      </c>
      <c r="C4509">
        <v>7</v>
      </c>
      <c r="D4509">
        <v>90</v>
      </c>
      <c r="E4509">
        <v>2020</v>
      </c>
      <c r="F4509" s="9" t="s">
        <v>3872</v>
      </c>
      <c r="H4509" s="20" t="str">
        <f t="shared" si="70"/>
        <v>(nextval('obj_part_id_seq'), (select id from obj_building_v where zip||'|'||street||'|'||name||'|'||volume = '8564|Schulstrasse 1|Primarschule Sonterswil  Erweiterungsbau|4808.00'), 'P4', 7, 90, 2020,'Mauerwerk, verputzt. Keine Mängel sichtbar.'),</v>
      </c>
    </row>
    <row r="4510" spans="1:8" x14ac:dyDescent="0.25">
      <c r="A4510" s="9" t="s">
        <v>3870</v>
      </c>
      <c r="B4510" s="9" t="s">
        <v>1102</v>
      </c>
      <c r="C4510">
        <v>10</v>
      </c>
      <c r="D4510">
        <v>80</v>
      </c>
      <c r="E4510">
        <v>2020</v>
      </c>
      <c r="F4510" s="9" t="s">
        <v>3873</v>
      </c>
      <c r="H4510" s="20" t="str">
        <f t="shared" si="70"/>
        <v>(nextval('obj_part_id_seq'), (select id from obj_building_v where zip||'|'||street||'|'||name||'|'||volume = '8564|Schulstrasse 1|Primarschule Sonterswil  Erweiterungsbau|4808.00'), 'P5', 10, 80, 2020,'Holzmetall-Fenster, Manuelle Storen, Alte Holzfenster, tw. einfach verglast, tw. nicht isoliert (Kindergarten), elektrische Rolläden, Eingangstür : Holz mit IV-Glaseinsätzen, Holzmetallfenster'),</v>
      </c>
    </row>
    <row r="4511" spans="1:8" x14ac:dyDescent="0.25">
      <c r="A4511" s="9" t="s">
        <v>3870</v>
      </c>
      <c r="B4511" s="9" t="s">
        <v>1164</v>
      </c>
      <c r="C4511">
        <v>6</v>
      </c>
      <c r="D4511">
        <v>80</v>
      </c>
      <c r="E4511">
        <v>2020</v>
      </c>
      <c r="F4511" s="9" t="s">
        <v>3874</v>
      </c>
      <c r="H4511" s="20" t="str">
        <f t="shared" si="70"/>
        <v>(nextval('obj_part_id_seq'), (select id from obj_building_v where zip||'|'||street||'|'||name||'|'||volume = '8564|Schulstrasse 1|Primarschule Sonterswil  Erweiterungsbau|4808.00'), 'P50', 6, 80, 2020,'Sicherungen tw. defekt'),</v>
      </c>
    </row>
    <row r="4512" spans="1:8" x14ac:dyDescent="0.25">
      <c r="A4512" s="9" t="s">
        <v>3870</v>
      </c>
      <c r="B4512" s="9" t="s">
        <v>1166</v>
      </c>
      <c r="C4512">
        <v>1</v>
      </c>
      <c r="D4512">
        <v>80</v>
      </c>
      <c r="E4512">
        <v>2020</v>
      </c>
      <c r="F4512" s="9" t="s">
        <v>3875</v>
      </c>
      <c r="H4512" s="20" t="str">
        <f t="shared" si="70"/>
        <v>(nextval('obj_part_id_seq'), (select id from obj_building_v where zip||'|'||street||'|'||name||'|'||volume = '8564|Schulstrasse 1|Primarschule Sonterswil  Erweiterungsbau|4808.00'), 'P51', 1, 80, 2020,'Alte Beleuchtung im Lehrerzimmer'),</v>
      </c>
    </row>
    <row r="4513" spans="1:8" x14ac:dyDescent="0.25">
      <c r="A4513" s="9" t="s">
        <v>3870</v>
      </c>
      <c r="B4513" s="9" t="s">
        <v>1104</v>
      </c>
      <c r="C4513">
        <v>1</v>
      </c>
      <c r="D4513">
        <v>80</v>
      </c>
      <c r="E4513">
        <v>2020</v>
      </c>
      <c r="F4513" s="9" t="s">
        <v>3876</v>
      </c>
      <c r="H4513" s="20" t="str">
        <f t="shared" si="70"/>
        <v>(nextval('obj_part_id_seq'), (select id from obj_building_v where zip||'|'||street||'|'||name||'|'||volume = '8564|Schulstrasse 1|Primarschule Sonterswil  Erweiterungsbau|4808.00'), 'P6', 1, 80, 2020,'Ölheizung ''90, Boiler'),</v>
      </c>
    </row>
    <row r="4514" spans="1:8" x14ac:dyDescent="0.25">
      <c r="A4514" s="9" t="s">
        <v>3870</v>
      </c>
      <c r="B4514" s="9" t="s">
        <v>1106</v>
      </c>
      <c r="C4514">
        <v>3</v>
      </c>
      <c r="D4514">
        <v>85</v>
      </c>
      <c r="E4514">
        <v>2020</v>
      </c>
      <c r="F4514" s="9" t="s">
        <v>1107</v>
      </c>
      <c r="H4514" s="20" t="str">
        <f t="shared" si="70"/>
        <v>(nextval('obj_part_id_seq'), (select id from obj_building_v where zip||'|'||street||'|'||name||'|'||volume = '8564|Schulstrasse 1|Primarschule Sonterswil  Erweiterungsbau|4808.00'), 'P7', 3, 85, 2020,'Radiatoren mit Thermostaten'),</v>
      </c>
    </row>
    <row r="4515" spans="1:8" x14ac:dyDescent="0.25">
      <c r="A4515" s="9" t="s">
        <v>3870</v>
      </c>
      <c r="B4515" s="9" t="s">
        <v>1108</v>
      </c>
      <c r="C4515">
        <v>4</v>
      </c>
      <c r="D4515">
        <v>80</v>
      </c>
      <c r="E4515">
        <v>2020</v>
      </c>
      <c r="F4515" s="9" t="s">
        <v>3877</v>
      </c>
      <c r="H4515" s="20" t="str">
        <f t="shared" si="70"/>
        <v>(nextval('obj_part_id_seq'), (select id from obj_building_v where zip||'|'||street||'|'||name||'|'||volume = '8564|Schulstrasse 1|Primarschule Sonterswil  Erweiterungsbau|4808.00'), 'P8', 4, 80, 2020,'Leitungen mit genügendem Druck, Wasser kann ungehindert ablaufen, Apparate und Armaturen funktionstüchtig'),</v>
      </c>
    </row>
    <row r="4516" spans="1:8" x14ac:dyDescent="0.25">
      <c r="A4516" s="9" t="s">
        <v>3870</v>
      </c>
      <c r="B4516" s="9" t="s">
        <v>1138</v>
      </c>
      <c r="C4516">
        <v>11</v>
      </c>
      <c r="D4516">
        <v>85</v>
      </c>
      <c r="E4516">
        <v>2020</v>
      </c>
      <c r="F4516" s="9" t="s">
        <v>3878</v>
      </c>
      <c r="H4516" s="20" t="str">
        <f t="shared" si="70"/>
        <v>(nextval('obj_part_id_seq'), (select id from obj_building_v where zip||'|'||street||'|'||name||'|'||volume = '8564|Schulstrasse 1|Primarschule Sonterswil  Erweiterungsbau|4808.00'), 'P57', 11, 85, 2020,'Einbauschränke,  Garderoben, Teeküche,  Arbeitssimse im Kindergarten, innere Verglasung im Kindergarten (Erweiterungsbau), Innentüren aus Holz'),</v>
      </c>
    </row>
    <row r="4517" spans="1:8" x14ac:dyDescent="0.25">
      <c r="A4517" s="9" t="s">
        <v>3870</v>
      </c>
      <c r="B4517" s="9" t="s">
        <v>1140</v>
      </c>
      <c r="C4517">
        <v>8</v>
      </c>
      <c r="D4517">
        <v>85</v>
      </c>
      <c r="E4517">
        <v>2020</v>
      </c>
      <c r="F4517" s="9" t="s">
        <v>3879</v>
      </c>
      <c r="H4517" s="20" t="str">
        <f t="shared" si="70"/>
        <v>(nextval('obj_part_id_seq'), (select id from obj_building_v where zip||'|'||street||'|'||name||'|'||volume = '8564|Schulstrasse 1|Primarschule Sonterswil  Erweiterungsbau|4808.00'), 'P58', 8, 85, 2020,'Decke: Holztäfer, Gipskartonplatten, Holztäfer (Kindergarten)\nBoden: Parkett, Kunststein, PVC, Korkplatten und Klinker (Kindergarten)\nWand: Glasfasertapeten, Putz, Keramikplatten (Kindergarten)'),</v>
      </c>
    </row>
    <row r="4518" spans="1:8" x14ac:dyDescent="0.25">
      <c r="A4518" s="9" t="s">
        <v>3870</v>
      </c>
      <c r="B4518" s="9" t="s">
        <v>1142</v>
      </c>
      <c r="C4518">
        <v>0</v>
      </c>
      <c r="D4518" t="s">
        <v>4080</v>
      </c>
      <c r="E4518">
        <v>2020</v>
      </c>
      <c r="F4518" s="9"/>
      <c r="H4518" s="20" t="str">
        <f t="shared" si="70"/>
        <v>(nextval('obj_part_id_seq'), (select id from obj_building_v where zip||'|'||street||'|'||name||'|'||volume = '8564|Schulstrasse 1|Primarschule Sonterswil  Erweiterungsbau|4808.00'), 'P60', 0, null, 2020,null),</v>
      </c>
    </row>
    <row r="4519" spans="1:8" x14ac:dyDescent="0.25">
      <c r="A4519" s="9" t="s">
        <v>3870</v>
      </c>
      <c r="B4519" s="9" t="s">
        <v>1143</v>
      </c>
      <c r="C4519">
        <v>0</v>
      </c>
      <c r="D4519" t="s">
        <v>4080</v>
      </c>
      <c r="E4519">
        <v>2020</v>
      </c>
      <c r="F4519" s="9"/>
      <c r="H4519" s="20" t="str">
        <f t="shared" si="70"/>
        <v>(nextval('obj_part_id_seq'), (select id from obj_building_v where zip||'|'||street||'|'||name||'|'||volume = '8564|Schulstrasse 1|Primarschule Sonterswil  Erweiterungsbau|4808.00'), 'P61', 0, null, 2020,null),</v>
      </c>
    </row>
    <row r="4520" spans="1:8" x14ac:dyDescent="0.25">
      <c r="A4520" s="9" t="s">
        <v>3870</v>
      </c>
      <c r="B4520" s="9" t="s">
        <v>1144</v>
      </c>
      <c r="C4520">
        <v>0</v>
      </c>
      <c r="D4520" t="s">
        <v>4080</v>
      </c>
      <c r="E4520">
        <v>2020</v>
      </c>
      <c r="F4520" s="9"/>
      <c r="H4520" s="20" t="str">
        <f t="shared" si="70"/>
        <v>(nextval('obj_part_id_seq'), (select id from obj_building_v where zip||'|'||street||'|'||name||'|'||volume = '8564|Schulstrasse 1|Primarschule Sonterswil  Erweiterungsbau|4808.00'), 'P62', 0, null, 2020,null),</v>
      </c>
    </row>
    <row r="4521" spans="1:8" x14ac:dyDescent="0.25">
      <c r="A4521" s="9" t="s">
        <v>3880</v>
      </c>
      <c r="B4521" s="9" t="s">
        <v>1095</v>
      </c>
      <c r="C4521">
        <v>58</v>
      </c>
      <c r="D4521">
        <v>80</v>
      </c>
      <c r="E4521">
        <v>2019</v>
      </c>
      <c r="F4521" s="9" t="s">
        <v>2168</v>
      </c>
      <c r="H4521" s="20" t="str">
        <f t="shared" si="70"/>
        <v>(nextval('obj_part_id_seq'), (select id from obj_building_v where zip||'|'||street||'|'||name||'|'||volume = '4303|Rifälderhübel|Waldhütte|108.00'), 'P1', 58, 80, 2019,'Mauerwerk'),</v>
      </c>
    </row>
    <row r="4522" spans="1:8" x14ac:dyDescent="0.25">
      <c r="A4522" s="9" t="s">
        <v>3880</v>
      </c>
      <c r="B4522" s="9" t="s">
        <v>1097</v>
      </c>
      <c r="C4522">
        <v>14</v>
      </c>
      <c r="D4522">
        <v>70</v>
      </c>
      <c r="E4522">
        <v>2019</v>
      </c>
      <c r="F4522" s="9" t="s">
        <v>3881</v>
      </c>
      <c r="H4522" s="20" t="str">
        <f t="shared" si="70"/>
        <v>(nextval('obj_part_id_seq'), (select id from obj_building_v where zip||'|'||street||'|'||name||'|'||volume = '4303|Rifälderhübel|Waldhütte|108.00'), 'P2', 14, 70, 2019,'Ziegeldach, vermoost und bewachst'),</v>
      </c>
    </row>
    <row r="4523" spans="1:8" x14ac:dyDescent="0.25">
      <c r="A4523" s="9" t="s">
        <v>3880</v>
      </c>
      <c r="B4523" s="9" t="s">
        <v>1099</v>
      </c>
      <c r="C4523">
        <v>0</v>
      </c>
      <c r="D4523" t="s">
        <v>4080</v>
      </c>
      <c r="E4523">
        <v>2019</v>
      </c>
      <c r="F4523" s="9"/>
      <c r="H4523" s="20" t="str">
        <f t="shared" si="70"/>
        <v>(nextval('obj_part_id_seq'), (select id from obj_building_v where zip||'|'||street||'|'||name||'|'||volume = '4303|Rifälderhübel|Waldhütte|108.00'), 'P3', 0, null, 2019,null),</v>
      </c>
    </row>
    <row r="4524" spans="1:8" x14ac:dyDescent="0.25">
      <c r="A4524" s="9" t="s">
        <v>3880</v>
      </c>
      <c r="B4524" s="9" t="s">
        <v>1100</v>
      </c>
      <c r="C4524">
        <v>12</v>
      </c>
      <c r="D4524">
        <v>70</v>
      </c>
      <c r="E4524">
        <v>2019</v>
      </c>
      <c r="F4524" s="9" t="s">
        <v>1716</v>
      </c>
      <c r="H4524" s="20" t="str">
        <f t="shared" si="70"/>
        <v>(nextval('obj_part_id_seq'), (select id from obj_building_v where zip||'|'||street||'|'||name||'|'||volume = '4303|Rifälderhübel|Waldhütte|108.00'), 'P4', 12, 70, 2019,'Mauerwerk, verputzt'),</v>
      </c>
    </row>
    <row r="4525" spans="1:8" x14ac:dyDescent="0.25">
      <c r="A4525" s="9" t="s">
        <v>3880</v>
      </c>
      <c r="B4525" s="9" t="s">
        <v>1102</v>
      </c>
      <c r="C4525">
        <v>4</v>
      </c>
      <c r="D4525">
        <v>80</v>
      </c>
      <c r="E4525">
        <v>2019</v>
      </c>
      <c r="F4525" s="9" t="s">
        <v>3882</v>
      </c>
      <c r="H4525" s="20" t="str">
        <f t="shared" si="70"/>
        <v>(nextval('obj_part_id_seq'), (select id from obj_building_v where zip||'|'||street||'|'||name||'|'||volume = '4303|Rifälderhübel|Waldhütte|108.00'), 'P5', 4, 80, 2019,'Holztüre, Fenster: Holz mit Gitter'),</v>
      </c>
    </row>
    <row r="4526" spans="1:8" x14ac:dyDescent="0.25">
      <c r="A4526" s="9" t="s">
        <v>3880</v>
      </c>
      <c r="B4526" s="9" t="s">
        <v>1104</v>
      </c>
      <c r="C4526">
        <v>0</v>
      </c>
      <c r="D4526" t="s">
        <v>4080</v>
      </c>
      <c r="E4526">
        <v>2019</v>
      </c>
      <c r="F4526" s="9"/>
      <c r="H4526" s="20" t="str">
        <f t="shared" si="70"/>
        <v>(nextval('obj_part_id_seq'), (select id from obj_building_v where zip||'|'||street||'|'||name||'|'||volume = '4303|Rifälderhübel|Waldhütte|108.00'), 'P6', 0, null, 2019,null),</v>
      </c>
    </row>
    <row r="4527" spans="1:8" x14ac:dyDescent="0.25">
      <c r="A4527" s="9" t="s">
        <v>3880</v>
      </c>
      <c r="B4527" s="9" t="s">
        <v>1106</v>
      </c>
      <c r="C4527">
        <v>0</v>
      </c>
      <c r="D4527" t="s">
        <v>4080</v>
      </c>
      <c r="E4527">
        <v>2019</v>
      </c>
      <c r="F4527" s="9"/>
      <c r="H4527" s="20" t="str">
        <f t="shared" si="70"/>
        <v>(nextval('obj_part_id_seq'), (select id from obj_building_v where zip||'|'||street||'|'||name||'|'||volume = '4303|Rifälderhübel|Waldhütte|108.00'), 'P7', 0, null, 2019,null),</v>
      </c>
    </row>
    <row r="4528" spans="1:8" x14ac:dyDescent="0.25">
      <c r="A4528" s="9" t="s">
        <v>3880</v>
      </c>
      <c r="B4528" s="9" t="s">
        <v>1108</v>
      </c>
      <c r="C4528">
        <v>0</v>
      </c>
      <c r="D4528" t="s">
        <v>4080</v>
      </c>
      <c r="E4528">
        <v>2019</v>
      </c>
      <c r="F4528" s="9"/>
      <c r="H4528" s="20" t="str">
        <f t="shared" si="70"/>
        <v>(nextval('obj_part_id_seq'), (select id from obj_building_v where zip||'|'||street||'|'||name||'|'||volume = '4303|Rifälderhübel|Waldhütte|108.00'), 'P8', 0, null, 2019,null),</v>
      </c>
    </row>
    <row r="4529" spans="1:8" x14ac:dyDescent="0.25">
      <c r="A4529" s="9" t="s">
        <v>3880</v>
      </c>
      <c r="B4529" s="9" t="s">
        <v>1110</v>
      </c>
      <c r="C4529">
        <v>0</v>
      </c>
      <c r="D4529" t="s">
        <v>4080</v>
      </c>
      <c r="E4529">
        <v>2019</v>
      </c>
      <c r="F4529" s="9"/>
      <c r="H4529" s="20" t="str">
        <f t="shared" si="70"/>
        <v>(nextval('obj_part_id_seq'), (select id from obj_building_v where zip||'|'||street||'|'||name||'|'||volume = '4303|Rifälderhübel|Waldhütte|108.00'), 'P9', 0, null, 2019,null),</v>
      </c>
    </row>
    <row r="4530" spans="1:8" x14ac:dyDescent="0.25">
      <c r="A4530" s="9" t="s">
        <v>3880</v>
      </c>
      <c r="B4530" s="9" t="s">
        <v>1112</v>
      </c>
      <c r="C4530">
        <v>0</v>
      </c>
      <c r="D4530" t="s">
        <v>4080</v>
      </c>
      <c r="E4530">
        <v>2019</v>
      </c>
      <c r="F4530" s="9"/>
      <c r="H4530" s="20" t="str">
        <f t="shared" si="70"/>
        <v>(nextval('obj_part_id_seq'), (select id from obj_building_v where zip||'|'||street||'|'||name||'|'||volume = '4303|Rifälderhübel|Waldhütte|108.00'), 'P10', 0, null, 2019,null),</v>
      </c>
    </row>
    <row r="4531" spans="1:8" x14ac:dyDescent="0.25">
      <c r="A4531" s="9" t="s">
        <v>3880</v>
      </c>
      <c r="B4531" s="9" t="s">
        <v>1114</v>
      </c>
      <c r="C4531">
        <v>0</v>
      </c>
      <c r="D4531" t="s">
        <v>4080</v>
      </c>
      <c r="E4531">
        <v>2019</v>
      </c>
      <c r="F4531" s="9"/>
      <c r="H4531" s="20" t="str">
        <f t="shared" si="70"/>
        <v>(nextval('obj_part_id_seq'), (select id from obj_building_v where zip||'|'||street||'|'||name||'|'||volume = '4303|Rifälderhübel|Waldhütte|108.00'), 'P11', 0, null, 2019,null),</v>
      </c>
    </row>
    <row r="4532" spans="1:8" x14ac:dyDescent="0.25">
      <c r="A4532" s="9" t="s">
        <v>3880</v>
      </c>
      <c r="B4532" s="9" t="s">
        <v>1114</v>
      </c>
      <c r="C4532">
        <v>12</v>
      </c>
      <c r="D4532">
        <v>85</v>
      </c>
      <c r="E4532">
        <v>2019</v>
      </c>
      <c r="F4532" s="9" t="s">
        <v>3883</v>
      </c>
      <c r="H4532" s="20" t="str">
        <f t="shared" si="70"/>
        <v>(nextval('obj_part_id_seq'), (select id from obj_building_v where zip||'|'||street||'|'||name||'|'||volume = '4303|Rifälderhübel|Waldhütte|108.00'), 'P11', 12, 85, 2019,'Boden: Naturstein, Beton'),</v>
      </c>
    </row>
    <row r="4533" spans="1:8" x14ac:dyDescent="0.25">
      <c r="A4533" s="9" t="s">
        <v>3880</v>
      </c>
      <c r="B4533" s="9" t="s">
        <v>1116</v>
      </c>
      <c r="C4533">
        <v>0</v>
      </c>
      <c r="D4533" t="s">
        <v>4080</v>
      </c>
      <c r="E4533">
        <v>2019</v>
      </c>
      <c r="F4533" s="9"/>
      <c r="H4533" s="20" t="str">
        <f t="shared" si="70"/>
        <v>(nextval('obj_part_id_seq'), (select id from obj_building_v where zip||'|'||street||'|'||name||'|'||volume = '4303|Rifälderhübel|Waldhütte|108.00'), 'P12', 0, null, 2019,null),</v>
      </c>
    </row>
    <row r="4534" spans="1:8" x14ac:dyDescent="0.25">
      <c r="A4534" s="9" t="s">
        <v>3884</v>
      </c>
      <c r="B4534" s="9" t="s">
        <v>1127</v>
      </c>
      <c r="C4534">
        <v>23</v>
      </c>
      <c r="D4534">
        <v>90</v>
      </c>
      <c r="E4534">
        <v>2019</v>
      </c>
      <c r="F4534" s="9" t="s">
        <v>1369</v>
      </c>
      <c r="H4534" s="20" t="str">
        <f t="shared" si="70"/>
        <v>(nextval('obj_part_id_seq'), (select id from obj_building_v where zip||'|'||street||'|'||name||'|'||volume = '4303|Violahof|Jugend- und Kulturzentrum Violahof|4600.00'), 'P48', 23, 90, 2019,'Stahlbeton, Mauerwerk'),</v>
      </c>
    </row>
    <row r="4535" spans="1:8" x14ac:dyDescent="0.25">
      <c r="A4535" s="9" t="s">
        <v>3884</v>
      </c>
      <c r="B4535" s="9" t="s">
        <v>1129</v>
      </c>
      <c r="C4535">
        <v>0</v>
      </c>
      <c r="D4535" t="s">
        <v>4080</v>
      </c>
      <c r="E4535">
        <v>2019</v>
      </c>
      <c r="F4535" s="9"/>
      <c r="H4535" s="20" t="str">
        <f t="shared" si="70"/>
        <v>(nextval('obj_part_id_seq'), (select id from obj_building_v where zip||'|'||street||'|'||name||'|'||volume = '4303|Violahof|Jugend- und Kulturzentrum Violahof|4600.00'), 'P49', 0, null, 2019,null),</v>
      </c>
    </row>
    <row r="4536" spans="1:8" x14ac:dyDescent="0.25">
      <c r="A4536" s="9" t="s">
        <v>3884</v>
      </c>
      <c r="B4536" s="9" t="s">
        <v>1097</v>
      </c>
      <c r="C4536">
        <v>12</v>
      </c>
      <c r="D4536">
        <v>90</v>
      </c>
      <c r="E4536">
        <v>2019</v>
      </c>
      <c r="F4536" s="9" t="s">
        <v>3885</v>
      </c>
      <c r="H4536" s="20" t="str">
        <f t="shared" si="70"/>
        <v>(nextval('obj_part_id_seq'), (select id from obj_building_v where zip||'|'||street||'|'||name||'|'||volume = '4303|Violahof|Jugend- und Kulturzentrum Violahof|4600.00'), 'P2', 12, 90, 2019,'Ziegeldach, Gaupen mit Eternitschindeln verkleidet'),</v>
      </c>
    </row>
    <row r="4537" spans="1:8" x14ac:dyDescent="0.25">
      <c r="A4537" s="9" t="s">
        <v>3884</v>
      </c>
      <c r="B4537" s="9" t="s">
        <v>1099</v>
      </c>
      <c r="C4537">
        <v>2</v>
      </c>
      <c r="D4537">
        <v>90</v>
      </c>
      <c r="E4537">
        <v>2019</v>
      </c>
      <c r="F4537" s="9" t="s">
        <v>3886</v>
      </c>
      <c r="H4537" s="20" t="str">
        <f t="shared" si="70"/>
        <v>(nextval('obj_part_id_seq'), (select id from obj_building_v where zip||'|'||street||'|'||name||'|'||volume = '4303|Violahof|Jugend- und Kulturzentrum Violahof|4600.00'), 'P3', 2, 90, 2019,'Bekiest, extensiv begrünt'),</v>
      </c>
    </row>
    <row r="4538" spans="1:8" x14ac:dyDescent="0.25">
      <c r="A4538" s="9" t="s">
        <v>3884</v>
      </c>
      <c r="B4538" s="9" t="s">
        <v>1100</v>
      </c>
      <c r="C4538">
        <v>10</v>
      </c>
      <c r="D4538">
        <v>90</v>
      </c>
      <c r="E4538">
        <v>2019</v>
      </c>
      <c r="F4538" s="9" t="s">
        <v>3887</v>
      </c>
      <c r="H4538" s="20" t="str">
        <f t="shared" si="70"/>
        <v>(nextval('obj_part_id_seq'), (select id from obj_building_v where zip||'|'||street||'|'||name||'|'||volume = '4303|Violahof|Jugend- und Kulturzentrum Violahof|4600.00'), 'P4', 10, 90, 2019,'Mauerwerk verputzt, Aussenwärmedämmung'),</v>
      </c>
    </row>
    <row r="4539" spans="1:8" x14ac:dyDescent="0.25">
      <c r="A4539" s="9" t="s">
        <v>3884</v>
      </c>
      <c r="B4539" s="9" t="s">
        <v>1102</v>
      </c>
      <c r="C4539">
        <v>12</v>
      </c>
      <c r="D4539">
        <v>90</v>
      </c>
      <c r="E4539">
        <v>2019</v>
      </c>
      <c r="F4539" s="9" t="s">
        <v>3888</v>
      </c>
      <c r="H4539" s="20" t="str">
        <f t="shared" si="70"/>
        <v>(nextval('obj_part_id_seq'), (select id from obj_building_v where zip||'|'||street||'|'||name||'|'||volume = '4303|Violahof|Jugend- und Kulturzentrum Violahof|4600.00'), 'P5', 12, 90, 2019,'Rafflamellenstoren, Kunststofffenster, Aussentüre aus Holz'),</v>
      </c>
    </row>
    <row r="4540" spans="1:8" x14ac:dyDescent="0.25">
      <c r="A4540" s="9" t="s">
        <v>3884</v>
      </c>
      <c r="B4540" s="9" t="s">
        <v>1110</v>
      </c>
      <c r="C4540">
        <v>4</v>
      </c>
      <c r="D4540">
        <v>85</v>
      </c>
      <c r="E4540">
        <v>2019</v>
      </c>
      <c r="F4540" s="9" t="s">
        <v>3889</v>
      </c>
      <c r="H4540" s="20" t="str">
        <f t="shared" si="70"/>
        <v>(nextval('obj_part_id_seq'), (select id from obj_building_v where zip||'|'||street||'|'||name||'|'||volume = '4303|Violahof|Jugend- und Kulturzentrum Violahof|4600.00'), 'P9', 4, 85, 2019,'Beleuchtung, Brandmeldeanlage, EDV, Bühnentechnik veraltet (wird ersetzt)'),</v>
      </c>
    </row>
    <row r="4541" spans="1:8" x14ac:dyDescent="0.25">
      <c r="A4541" s="9" t="s">
        <v>3884</v>
      </c>
      <c r="B4541" s="9" t="s">
        <v>1104</v>
      </c>
      <c r="C4541">
        <v>2</v>
      </c>
      <c r="D4541">
        <v>85</v>
      </c>
      <c r="E4541">
        <v>2019</v>
      </c>
      <c r="F4541" s="9" t="s">
        <v>3480</v>
      </c>
      <c r="H4541" s="20" t="str">
        <f t="shared" si="70"/>
        <v>(nextval('obj_part_id_seq'), (select id from obj_building_v where zip||'|'||street||'|'||name||'|'||volume = '4303|Violahof|Jugend- und Kulturzentrum Violahof|4600.00'), 'P6', 2, 85, 2019,'Gastherme'),</v>
      </c>
    </row>
    <row r="4542" spans="1:8" x14ac:dyDescent="0.25">
      <c r="A4542" s="9" t="s">
        <v>3884</v>
      </c>
      <c r="B4542" s="9" t="s">
        <v>1106</v>
      </c>
      <c r="C4542">
        <v>3</v>
      </c>
      <c r="D4542">
        <v>90</v>
      </c>
      <c r="E4542">
        <v>2019</v>
      </c>
      <c r="F4542" s="9" t="s">
        <v>1107</v>
      </c>
      <c r="H4542" s="20" t="str">
        <f t="shared" si="70"/>
        <v>(nextval('obj_part_id_seq'), (select id from obj_building_v where zip||'|'||street||'|'||name||'|'||volume = '4303|Violahof|Jugend- und Kulturzentrum Violahof|4600.00'), 'P7', 3, 90, 2019,'Radiatoren mit Thermostaten'),</v>
      </c>
    </row>
    <row r="4543" spans="1:8" x14ac:dyDescent="0.25">
      <c r="A4543" s="9" t="s">
        <v>3884</v>
      </c>
      <c r="B4543" s="9" t="s">
        <v>1403</v>
      </c>
      <c r="C4543">
        <v>2</v>
      </c>
      <c r="D4543">
        <v>90</v>
      </c>
      <c r="E4543">
        <v>2019</v>
      </c>
      <c r="F4543" s="9" t="s">
        <v>3890</v>
      </c>
      <c r="H4543" s="20" t="str">
        <f t="shared" si="70"/>
        <v>(nextval('obj_part_id_seq'), (select id from obj_building_v where zip||'|'||street||'|'||name||'|'||volume = '4303|Violahof|Jugend- und Kulturzentrum Violahof|4600.00'), 'P52', 2, 90, 2019,'Lüftung, im Saal mit Fernbedinung'),</v>
      </c>
    </row>
    <row r="4544" spans="1:8" x14ac:dyDescent="0.25">
      <c r="A4544" s="9" t="s">
        <v>3884</v>
      </c>
      <c r="B4544" s="9" t="s">
        <v>1404</v>
      </c>
      <c r="C4544">
        <v>2</v>
      </c>
      <c r="D4544">
        <v>90</v>
      </c>
      <c r="E4544">
        <v>2019</v>
      </c>
      <c r="F4544" s="9" t="s">
        <v>2577</v>
      </c>
      <c r="H4544" s="20" t="str">
        <f t="shared" si="70"/>
        <v>(nextval('obj_part_id_seq'), (select id from obj_building_v where zip||'|'||street||'|'||name||'|'||volume = '4303|Violahof|Jugend- und Kulturzentrum Violahof|4600.00'), 'P53', 2, 90, 2019,'Lüftung'),</v>
      </c>
    </row>
    <row r="4545" spans="1:8" x14ac:dyDescent="0.25">
      <c r="A4545" s="9" t="s">
        <v>3884</v>
      </c>
      <c r="B4545" s="9" t="s">
        <v>1108</v>
      </c>
      <c r="C4545">
        <v>5</v>
      </c>
      <c r="D4545">
        <v>90</v>
      </c>
      <c r="E4545">
        <v>2019</v>
      </c>
      <c r="F4545" s="9" t="s">
        <v>3891</v>
      </c>
      <c r="H4545" s="20" t="str">
        <f t="shared" si="70"/>
        <v>(nextval('obj_part_id_seq'), (select id from obj_building_v where zip||'|'||street||'|'||name||'|'||volume = '4303|Violahof|Jugend- und Kulturzentrum Violahof|4600.00'), 'P8', 5, 90, 2019,'WC, Dusche in Garderobe'),</v>
      </c>
    </row>
    <row r="4546" spans="1:8" x14ac:dyDescent="0.25">
      <c r="A4546" s="9" t="s">
        <v>3884</v>
      </c>
      <c r="B4546" s="9" t="s">
        <v>1138</v>
      </c>
      <c r="C4546">
        <v>11</v>
      </c>
      <c r="D4546">
        <v>85</v>
      </c>
      <c r="E4546">
        <v>2019</v>
      </c>
      <c r="F4546" s="9" t="s">
        <v>3892</v>
      </c>
      <c r="H4546" s="20" t="str">
        <f t="shared" si="70"/>
        <v>(nextval('obj_part_id_seq'), (select id from obj_building_v where zip||'|'||street||'|'||name||'|'||volume = '4303|Violahof|Jugend- und Kulturzentrum Violahof|4600.00'), 'P57', 11, 85, 2019,'Einbauschränke, Geländer, Innentüren, Schallschutzwand'),</v>
      </c>
    </row>
    <row r="4547" spans="1:8" x14ac:dyDescent="0.25">
      <c r="A4547" s="9" t="s">
        <v>3884</v>
      </c>
      <c r="B4547" s="9" t="s">
        <v>1140</v>
      </c>
      <c r="C4547">
        <v>4</v>
      </c>
      <c r="D4547">
        <v>85</v>
      </c>
      <c r="E4547">
        <v>2019</v>
      </c>
      <c r="F4547" s="9" t="s">
        <v>3893</v>
      </c>
      <c r="H4547" s="20" t="str">
        <f t="shared" si="70"/>
        <v>(nextval('obj_part_id_seq'), (select id from obj_building_v where zip||'|'||street||'|'||name||'|'||volume = '4303|Violahof|Jugend- und Kulturzentrum Violahof|4600.00'), 'P58', 4, 85, 2019,'Boden: Linol, Keramik, im Saal Parkett, Wand: Putz, Decke: Metall, Holz'),</v>
      </c>
    </row>
    <row r="4548" spans="1:8" x14ac:dyDescent="0.25">
      <c r="A4548" s="9" t="s">
        <v>3884</v>
      </c>
      <c r="B4548" s="9" t="s">
        <v>1157</v>
      </c>
      <c r="C4548">
        <v>6</v>
      </c>
      <c r="D4548">
        <v>90</v>
      </c>
      <c r="E4548">
        <v>2019</v>
      </c>
      <c r="F4548" s="9" t="s">
        <v>3894</v>
      </c>
      <c r="H4548" s="20" t="str">
        <f t="shared" si="70"/>
        <v>(nextval('obj_part_id_seq'), (select id from obj_building_v where zip||'|'||street||'|'||name||'|'||volume = '4303|Violahof|Jugend- und Kulturzentrum Violahof|4600.00'), 'P59', 6, 90, 2019,'Küche für Bereitstellung, Geschirrspüler, Kühlschrank'),</v>
      </c>
    </row>
    <row r="4549" spans="1:8" x14ac:dyDescent="0.25">
      <c r="A4549" s="9" t="s">
        <v>3884</v>
      </c>
      <c r="B4549" s="9" t="s">
        <v>1142</v>
      </c>
      <c r="C4549">
        <v>0</v>
      </c>
      <c r="D4549" t="s">
        <v>4080</v>
      </c>
      <c r="E4549">
        <v>2019</v>
      </c>
      <c r="F4549" s="9"/>
      <c r="H4549" s="20" t="str">
        <f t="shared" ref="H4549:H4612" si="71">"(nextval('obj_part_id_seq'), (select id from obj_building_v where zip||'|'||street||'|'||name||'|'||volume = '"&amp;A4549&amp;"'), '"&amp;B4549&amp;"', "&amp;C4549&amp;", "&amp;D4549&amp;", "&amp;IF(ISBLANK(E4549),"null",E4549)&amp;","&amp;IF(ISBLANK(F4549),"null","'"&amp;F4549&amp;"'")&amp;"),"</f>
        <v>(nextval('obj_part_id_seq'), (select id from obj_building_v where zip||'|'||street||'|'||name||'|'||volume = '4303|Violahof|Jugend- und Kulturzentrum Violahof|4600.00'), 'P60', 0, null, 2019,null),</v>
      </c>
    </row>
    <row r="4550" spans="1:8" x14ac:dyDescent="0.25">
      <c r="A4550" s="9" t="s">
        <v>3884</v>
      </c>
      <c r="B4550" s="9" t="s">
        <v>1143</v>
      </c>
      <c r="C4550">
        <v>2</v>
      </c>
      <c r="D4550">
        <v>90</v>
      </c>
      <c r="E4550">
        <v>2019</v>
      </c>
      <c r="F4550" s="9" t="s">
        <v>2378</v>
      </c>
      <c r="H4550" s="20" t="str">
        <f t="shared" si="71"/>
        <v>(nextval('obj_part_id_seq'), (select id from obj_building_v where zip||'|'||street||'|'||name||'|'||volume = '4303|Violahof|Jugend- und Kulturzentrum Violahof|4600.00'), 'P61', 2, 90, 2019,'Aufzug'),</v>
      </c>
    </row>
    <row r="4551" spans="1:8" x14ac:dyDescent="0.25">
      <c r="A4551" s="9" t="s">
        <v>3884</v>
      </c>
      <c r="B4551" s="9" t="s">
        <v>1144</v>
      </c>
      <c r="C4551">
        <v>0</v>
      </c>
      <c r="D4551" t="s">
        <v>4080</v>
      </c>
      <c r="E4551">
        <v>2019</v>
      </c>
      <c r="F4551" s="9"/>
      <c r="H4551" s="20" t="str">
        <f t="shared" si="71"/>
        <v>(nextval('obj_part_id_seq'), (select id from obj_building_v where zip||'|'||street||'|'||name||'|'||volume = '4303|Violahof|Jugend- und Kulturzentrum Violahof|4600.00'), 'P62', 0, null, 2019,null),</v>
      </c>
    </row>
    <row r="4552" spans="1:8" x14ac:dyDescent="0.25">
      <c r="A4552" s="9" t="s">
        <v>3895</v>
      </c>
      <c r="B4552" s="9" t="s">
        <v>1127</v>
      </c>
      <c r="C4552">
        <v>49</v>
      </c>
      <c r="D4552">
        <v>90</v>
      </c>
      <c r="E4552">
        <v>2019</v>
      </c>
      <c r="F4552" s="9" t="s">
        <v>3896</v>
      </c>
      <c r="H4552" s="20" t="str">
        <f t="shared" si="71"/>
        <v>(nextval('obj_part_id_seq'), (select id from obj_building_v where zip||'|'||street||'|'||name||'|'||volume = '8335|Loweidstrasse|Schutzraum|436.00'), 'P48', 49, 90, 2019,'Stahlbeton, inkl. Wassertank'),</v>
      </c>
    </row>
    <row r="4553" spans="1:8" x14ac:dyDescent="0.25">
      <c r="A4553" s="9" t="s">
        <v>3895</v>
      </c>
      <c r="B4553" s="9" t="s">
        <v>1099</v>
      </c>
      <c r="C4553">
        <v>20</v>
      </c>
      <c r="D4553">
        <v>90</v>
      </c>
      <c r="E4553">
        <v>2019</v>
      </c>
      <c r="F4553" s="9" t="s">
        <v>3897</v>
      </c>
      <c r="H4553" s="20" t="str">
        <f t="shared" si="71"/>
        <v>(nextval('obj_part_id_seq'), (select id from obj_building_v where zip||'|'||street||'|'||name||'|'||volume = '8335|Loweidstrasse|Schutzraum|436.00'), 'P3', 20, 90, 2019,'erdüberdeckt'),</v>
      </c>
    </row>
    <row r="4554" spans="1:8" x14ac:dyDescent="0.25">
      <c r="A4554" s="9" t="s">
        <v>3895</v>
      </c>
      <c r="B4554" s="9" t="s">
        <v>1102</v>
      </c>
      <c r="C4554">
        <v>2</v>
      </c>
      <c r="D4554">
        <v>90</v>
      </c>
      <c r="E4554">
        <v>2019</v>
      </c>
      <c r="F4554" s="9" t="s">
        <v>3898</v>
      </c>
      <c r="H4554" s="20" t="str">
        <f t="shared" si="71"/>
        <v>(nextval('obj_part_id_seq'), (select id from obj_building_v where zip||'|'||street||'|'||name||'|'||volume = '8335|Loweidstrasse|Schutzraum|436.00'), 'P5', 2, 90, 2019,'Panzertür, Gittertor mit Maschendrahtfüllungen, Panzerdeckel'),</v>
      </c>
    </row>
    <row r="4555" spans="1:8" x14ac:dyDescent="0.25">
      <c r="A4555" s="9" t="s">
        <v>3895</v>
      </c>
      <c r="B4555" s="9" t="s">
        <v>1110</v>
      </c>
      <c r="C4555">
        <v>6</v>
      </c>
      <c r="D4555">
        <v>90</v>
      </c>
      <c r="E4555">
        <v>2019</v>
      </c>
      <c r="F4555" s="9" t="s">
        <v>3899</v>
      </c>
      <c r="H4555" s="20" t="str">
        <f t="shared" si="71"/>
        <v>(nextval('obj_part_id_seq'), (select id from obj_building_v where zip||'|'||street||'|'||name||'|'||volume = '8335|Loweidstrasse|Schutzraum|436.00'), 'P9', 6, 90, 2019,'Genügende Absicherung, keine Mängel bekannt, Beleuchtung'),</v>
      </c>
    </row>
    <row r="4556" spans="1:8" x14ac:dyDescent="0.25">
      <c r="A4556" s="9" t="s">
        <v>3895</v>
      </c>
      <c r="B4556" s="9" t="s">
        <v>1104</v>
      </c>
      <c r="C4556">
        <v>0</v>
      </c>
      <c r="D4556" t="s">
        <v>4080</v>
      </c>
      <c r="E4556">
        <v>2019</v>
      </c>
      <c r="F4556" s="9"/>
      <c r="H4556" s="20" t="str">
        <f t="shared" si="71"/>
        <v>(nextval('obj_part_id_seq'), (select id from obj_building_v where zip||'|'||street||'|'||name||'|'||volume = '8335|Loweidstrasse|Schutzraum|436.00'), 'P6', 0, null, 2019,null),</v>
      </c>
    </row>
    <row r="4557" spans="1:8" x14ac:dyDescent="0.25">
      <c r="A4557" s="9" t="s">
        <v>3895</v>
      </c>
      <c r="B4557" s="9" t="s">
        <v>1106</v>
      </c>
      <c r="C4557">
        <v>0</v>
      </c>
      <c r="D4557" t="s">
        <v>4080</v>
      </c>
      <c r="E4557">
        <v>2019</v>
      </c>
      <c r="F4557" s="9"/>
      <c r="H4557" s="20" t="str">
        <f t="shared" si="71"/>
        <v>(nextval('obj_part_id_seq'), (select id from obj_building_v where zip||'|'||street||'|'||name||'|'||volume = '8335|Loweidstrasse|Schutzraum|436.00'), 'P7', 0, null, 2019,null),</v>
      </c>
    </row>
    <row r="4558" spans="1:8" x14ac:dyDescent="0.25">
      <c r="A4558" s="9" t="s">
        <v>3895</v>
      </c>
      <c r="B4558" s="9" t="s">
        <v>1403</v>
      </c>
      <c r="C4558">
        <v>2</v>
      </c>
      <c r="D4558">
        <v>85</v>
      </c>
      <c r="E4558">
        <v>2019</v>
      </c>
      <c r="F4558" s="9" t="s">
        <v>3571</v>
      </c>
      <c r="H4558" s="20" t="str">
        <f t="shared" si="71"/>
        <v>(nextval('obj_part_id_seq'), (select id from obj_building_v where zip||'|'||street||'|'||name||'|'||volume = '8335|Loweidstrasse|Schutzraum|436.00'), 'P52', 2, 85, 2019,'Luftfilteranlage'),</v>
      </c>
    </row>
    <row r="4559" spans="1:8" x14ac:dyDescent="0.25">
      <c r="A4559" s="9" t="s">
        <v>3895</v>
      </c>
      <c r="B4559" s="9" t="s">
        <v>1404</v>
      </c>
      <c r="C4559">
        <v>2</v>
      </c>
      <c r="D4559">
        <v>90</v>
      </c>
      <c r="E4559">
        <v>2019</v>
      </c>
      <c r="F4559" s="9" t="s">
        <v>2425</v>
      </c>
      <c r="H4559" s="20" t="str">
        <f t="shared" si="71"/>
        <v>(nextval('obj_part_id_seq'), (select id from obj_building_v where zip||'|'||street||'|'||name||'|'||volume = '8335|Loweidstrasse|Schutzraum|436.00'), 'P53', 2, 90, 2019,'Lüftungsrohre'),</v>
      </c>
    </row>
    <row r="4560" spans="1:8" x14ac:dyDescent="0.25">
      <c r="A4560" s="9" t="s">
        <v>3895</v>
      </c>
      <c r="B4560" s="9" t="s">
        <v>1135</v>
      </c>
      <c r="C4560">
        <v>3</v>
      </c>
      <c r="D4560">
        <v>80</v>
      </c>
      <c r="E4560">
        <v>2019</v>
      </c>
      <c r="F4560" s="9" t="s">
        <v>3900</v>
      </c>
      <c r="H4560" s="20" t="str">
        <f t="shared" si="71"/>
        <v>(nextval('obj_part_id_seq'), (select id from obj_building_v where zip||'|'||street||'|'||name||'|'||volume = '8335|Loweidstrasse|Schutzraum|436.00'), 'P54', 3, 80, 2019,'WC, Dusche, Lavabos, Armaturen sind funktionstüchtig'),</v>
      </c>
    </row>
    <row r="4561" spans="1:8" x14ac:dyDescent="0.25">
      <c r="A4561" s="9" t="s">
        <v>3895</v>
      </c>
      <c r="B4561" s="9" t="s">
        <v>1137</v>
      </c>
      <c r="C4561">
        <v>3</v>
      </c>
      <c r="D4561">
        <v>80</v>
      </c>
      <c r="E4561">
        <v>2019</v>
      </c>
      <c r="F4561" s="9" t="s">
        <v>3901</v>
      </c>
      <c r="H4561" s="20" t="str">
        <f t="shared" si="71"/>
        <v>(nextval('obj_part_id_seq'), (select id from obj_building_v where zip||'|'||street||'|'||name||'|'||volume = '8335|Loweidstrasse|Schutzraum|436.00'), 'P55', 3, 80, 2019,'Leitungen sind abgestellt, keine Kontrolle möglich'),</v>
      </c>
    </row>
    <row r="4562" spans="1:8" x14ac:dyDescent="0.25">
      <c r="A4562" s="9" t="s">
        <v>3895</v>
      </c>
      <c r="B4562" s="9" t="s">
        <v>1112</v>
      </c>
      <c r="C4562">
        <v>0</v>
      </c>
      <c r="D4562" t="s">
        <v>4080</v>
      </c>
      <c r="E4562">
        <v>2019</v>
      </c>
      <c r="F4562" s="9"/>
      <c r="H4562" s="20" t="str">
        <f t="shared" si="71"/>
        <v>(nextval('obj_part_id_seq'), (select id from obj_building_v where zip||'|'||street||'|'||name||'|'||volume = '8335|Loweidstrasse|Schutzraum|436.00'), 'P10', 0, null, 2019,null),</v>
      </c>
    </row>
    <row r="4563" spans="1:8" x14ac:dyDescent="0.25">
      <c r="A4563" s="9" t="s">
        <v>3895</v>
      </c>
      <c r="B4563" s="9" t="s">
        <v>1138</v>
      </c>
      <c r="C4563">
        <v>7</v>
      </c>
      <c r="D4563">
        <v>90</v>
      </c>
      <c r="E4563">
        <v>2019</v>
      </c>
      <c r="F4563" s="9" t="s">
        <v>3902</v>
      </c>
      <c r="H4563" s="20" t="str">
        <f t="shared" si="71"/>
        <v>(nextval('obj_part_id_seq'), (select id from obj_building_v where zip||'|'||street||'|'||name||'|'||volume = '8335|Loweidstrasse|Schutzraum|436.00'), 'P57', 7, 90, 2019,'Trennwände, Metallleiter'),</v>
      </c>
    </row>
    <row r="4564" spans="1:8" x14ac:dyDescent="0.25">
      <c r="A4564" s="9" t="s">
        <v>3895</v>
      </c>
      <c r="B4564" s="9" t="s">
        <v>1140</v>
      </c>
      <c r="C4564">
        <v>5</v>
      </c>
      <c r="D4564">
        <v>90</v>
      </c>
      <c r="E4564">
        <v>2019</v>
      </c>
      <c r="F4564" s="9" t="s">
        <v>3903</v>
      </c>
      <c r="H4564" s="20" t="str">
        <f t="shared" si="71"/>
        <v>(nextval('obj_part_id_seq'), (select id from obj_building_v where zip||'|'||street||'|'||name||'|'||volume = '8335|Loweidstrasse|Schutzraum|436.00'), 'P58', 5, 90, 2019,'Böden, Wände und Decken: gestrichen'),</v>
      </c>
    </row>
    <row r="4565" spans="1:8" x14ac:dyDescent="0.25">
      <c r="A4565" s="9" t="s">
        <v>3895</v>
      </c>
      <c r="B4565" s="9" t="s">
        <v>1157</v>
      </c>
      <c r="C4565">
        <v>1</v>
      </c>
      <c r="D4565">
        <v>80</v>
      </c>
      <c r="E4565">
        <v>2019</v>
      </c>
      <c r="F4565" s="9" t="s">
        <v>3904</v>
      </c>
      <c r="H4565" s="20" t="str">
        <f t="shared" si="71"/>
        <v>(nextval('obj_part_id_seq'), (select id from obj_building_v where zip||'|'||street||'|'||name||'|'||volume = '8335|Loweidstrasse|Schutzraum|436.00'), 'P59', 1, 80, 2019,'Kleine Teeküche'),</v>
      </c>
    </row>
    <row r="4566" spans="1:8" x14ac:dyDescent="0.25">
      <c r="A4566" s="9" t="s">
        <v>3895</v>
      </c>
      <c r="B4566" s="9" t="s">
        <v>1142</v>
      </c>
      <c r="C4566">
        <v>0</v>
      </c>
      <c r="D4566" t="s">
        <v>4080</v>
      </c>
      <c r="E4566">
        <v>2019</v>
      </c>
      <c r="F4566" s="9"/>
      <c r="H4566" s="20" t="str">
        <f t="shared" si="71"/>
        <v>(nextval('obj_part_id_seq'), (select id from obj_building_v where zip||'|'||street||'|'||name||'|'||volume = '8335|Loweidstrasse|Schutzraum|436.00'), 'P60', 0, null, 2019,null),</v>
      </c>
    </row>
    <row r="4567" spans="1:8" x14ac:dyDescent="0.25">
      <c r="A4567" s="9" t="s">
        <v>3895</v>
      </c>
      <c r="B4567" s="9" t="s">
        <v>1143</v>
      </c>
      <c r="C4567">
        <v>0</v>
      </c>
      <c r="D4567" t="s">
        <v>4080</v>
      </c>
      <c r="E4567">
        <v>2019</v>
      </c>
      <c r="F4567" s="9"/>
      <c r="H4567" s="20" t="str">
        <f t="shared" si="71"/>
        <v>(nextval('obj_part_id_seq'), (select id from obj_building_v where zip||'|'||street||'|'||name||'|'||volume = '8335|Loweidstrasse|Schutzraum|436.00'), 'P61', 0, null, 2019,null),</v>
      </c>
    </row>
    <row r="4568" spans="1:8" x14ac:dyDescent="0.25">
      <c r="A4568" s="9" t="s">
        <v>3895</v>
      </c>
      <c r="B4568" s="9" t="s">
        <v>1144</v>
      </c>
      <c r="C4568">
        <v>0</v>
      </c>
      <c r="D4568" t="s">
        <v>4080</v>
      </c>
      <c r="E4568">
        <v>2019</v>
      </c>
      <c r="F4568" s="9"/>
      <c r="H4568" s="20" t="str">
        <f t="shared" si="71"/>
        <v>(nextval('obj_part_id_seq'), (select id from obj_building_v where zip||'|'||street||'|'||name||'|'||volume = '8335|Loweidstrasse|Schutzraum|436.00'), 'P62', 0, null, 2019,null),</v>
      </c>
    </row>
    <row r="4569" spans="1:8" x14ac:dyDescent="0.25">
      <c r="A4569" s="9" t="s">
        <v>3905</v>
      </c>
      <c r="B4569" s="9" t="s">
        <v>1127</v>
      </c>
      <c r="C4569">
        <v>38</v>
      </c>
      <c r="D4569">
        <v>80</v>
      </c>
      <c r="E4569">
        <v>2019</v>
      </c>
      <c r="F4569" s="9" t="s">
        <v>1303</v>
      </c>
      <c r="H4569" s="20" t="str">
        <f t="shared" si="71"/>
        <v>(nextval('obj_part_id_seq'), (select id from obj_building_v where zip||'|'||street||'|'||name||'|'||volume = '8335|Dürstelen|Feuerwehrgebäude|102.00'), 'P48', 38, 80, 2019,'Holzbau'),</v>
      </c>
    </row>
    <row r="4570" spans="1:8" x14ac:dyDescent="0.25">
      <c r="A4570" s="9" t="s">
        <v>3905</v>
      </c>
      <c r="B4570" s="9" t="s">
        <v>1129</v>
      </c>
      <c r="C4570">
        <v>0</v>
      </c>
      <c r="D4570" t="s">
        <v>4080</v>
      </c>
      <c r="E4570">
        <v>2019</v>
      </c>
      <c r="F4570" s="9"/>
      <c r="H4570" s="20" t="str">
        <f t="shared" si="71"/>
        <v>(nextval('obj_part_id_seq'), (select id from obj_building_v where zip||'|'||street||'|'||name||'|'||volume = '8335|Dürstelen|Feuerwehrgebäude|102.00'), 'P49', 0, null, 2019,null),</v>
      </c>
    </row>
    <row r="4571" spans="1:8" x14ac:dyDescent="0.25">
      <c r="A4571" s="9" t="s">
        <v>3905</v>
      </c>
      <c r="B4571" s="9" t="s">
        <v>1097</v>
      </c>
      <c r="C4571">
        <v>13</v>
      </c>
      <c r="D4571">
        <v>90</v>
      </c>
      <c r="E4571">
        <v>2019</v>
      </c>
      <c r="F4571" s="9" t="s">
        <v>3906</v>
      </c>
      <c r="H4571" s="20" t="str">
        <f t="shared" si="71"/>
        <v>(nextval('obj_part_id_seq'), (select id from obj_building_v where zip||'|'||street||'|'||name||'|'||volume = '8335|Dürstelen|Feuerwehrgebäude|102.00'), 'P2', 13, 90, 2019,'Ziegeldach ohne Unterdach, mit Turm, Ziegel sind intakt'),</v>
      </c>
    </row>
    <row r="4572" spans="1:8" x14ac:dyDescent="0.25">
      <c r="A4572" s="9" t="s">
        <v>3905</v>
      </c>
      <c r="B4572" s="9" t="s">
        <v>1099</v>
      </c>
      <c r="C4572">
        <v>0</v>
      </c>
      <c r="D4572" t="s">
        <v>4080</v>
      </c>
      <c r="E4572">
        <v>2019</v>
      </c>
      <c r="F4572" s="9"/>
      <c r="H4572" s="20" t="str">
        <f t="shared" si="71"/>
        <v>(nextval('obj_part_id_seq'), (select id from obj_building_v where zip||'|'||street||'|'||name||'|'||volume = '8335|Dürstelen|Feuerwehrgebäude|102.00'), 'P3', 0, null, 2019,null),</v>
      </c>
    </row>
    <row r="4573" spans="1:8" x14ac:dyDescent="0.25">
      <c r="A4573" s="9" t="s">
        <v>3905</v>
      </c>
      <c r="B4573" s="9" t="s">
        <v>1100</v>
      </c>
      <c r="C4573">
        <v>18</v>
      </c>
      <c r="D4573">
        <v>80</v>
      </c>
      <c r="E4573">
        <v>2019</v>
      </c>
      <c r="F4573" s="9" t="s">
        <v>3907</v>
      </c>
      <c r="H4573" s="20" t="str">
        <f t="shared" si="71"/>
        <v>(nextval('obj_part_id_seq'), (select id from obj_building_v where zip||'|'||street||'|'||name||'|'||volume = '8335|Dürstelen|Feuerwehrgebäude|102.00'), 'P4', 18, 80, 2019,'Holzfassade mit Betonsockel'),</v>
      </c>
    </row>
    <row r="4574" spans="1:8" x14ac:dyDescent="0.25">
      <c r="A4574" s="9" t="s">
        <v>3905</v>
      </c>
      <c r="B4574" s="9" t="s">
        <v>1102</v>
      </c>
      <c r="C4574">
        <v>5</v>
      </c>
      <c r="D4574">
        <v>80</v>
      </c>
      <c r="E4574">
        <v>2019</v>
      </c>
      <c r="F4574" s="9" t="s">
        <v>3908</v>
      </c>
      <c r="H4574" s="20" t="str">
        <f t="shared" si="71"/>
        <v>(nextval('obj_part_id_seq'), (select id from obj_building_v where zip||'|'||street||'|'||name||'|'||volume = '8335|Dürstelen|Feuerwehrgebäude|102.00'), 'P5', 5, 80, 2019,'Holzläden, keine Gläser vorhanden'),</v>
      </c>
    </row>
    <row r="4575" spans="1:8" x14ac:dyDescent="0.25">
      <c r="A4575" s="9" t="s">
        <v>3905</v>
      </c>
      <c r="B4575" s="9" t="s">
        <v>1110</v>
      </c>
      <c r="C4575">
        <v>9</v>
      </c>
      <c r="D4575">
        <v>80</v>
      </c>
      <c r="E4575">
        <v>2019</v>
      </c>
      <c r="F4575" s="9" t="s">
        <v>3909</v>
      </c>
      <c r="H4575" s="20" t="str">
        <f t="shared" si="71"/>
        <v>(nextval('obj_part_id_seq'), (select id from obj_building_v where zip||'|'||street||'|'||name||'|'||volume = '8335|Dürstelen|Feuerwehrgebäude|102.00'), 'P9', 9, 80, 2019,'Alte Keramik-Sicherungen, Beleuchtung, Steckdosen'),</v>
      </c>
    </row>
    <row r="4576" spans="1:8" x14ac:dyDescent="0.25">
      <c r="A4576" s="9" t="s">
        <v>3905</v>
      </c>
      <c r="B4576" s="9" t="s">
        <v>1104</v>
      </c>
      <c r="C4576">
        <v>0</v>
      </c>
      <c r="D4576" t="s">
        <v>4080</v>
      </c>
      <c r="E4576">
        <v>2019</v>
      </c>
      <c r="F4576" s="9"/>
      <c r="H4576" s="20" t="str">
        <f t="shared" si="71"/>
        <v>(nextval('obj_part_id_seq'), (select id from obj_building_v where zip||'|'||street||'|'||name||'|'||volume = '8335|Dürstelen|Feuerwehrgebäude|102.00'), 'P6', 0, null, 2019,null),</v>
      </c>
    </row>
    <row r="4577" spans="1:8" x14ac:dyDescent="0.25">
      <c r="A4577" s="9" t="s">
        <v>3905</v>
      </c>
      <c r="B4577" s="9" t="s">
        <v>1106</v>
      </c>
      <c r="C4577">
        <v>0</v>
      </c>
      <c r="D4577" t="s">
        <v>4080</v>
      </c>
      <c r="E4577">
        <v>2019</v>
      </c>
      <c r="F4577" s="9"/>
      <c r="H4577" s="20" t="str">
        <f t="shared" si="71"/>
        <v>(nextval('obj_part_id_seq'), (select id from obj_building_v where zip||'|'||street||'|'||name||'|'||volume = '8335|Dürstelen|Feuerwehrgebäude|102.00'), 'P7', 0, null, 2019,null),</v>
      </c>
    </row>
    <row r="4578" spans="1:8" x14ac:dyDescent="0.25">
      <c r="A4578" s="9" t="s">
        <v>3905</v>
      </c>
      <c r="B4578" s="9" t="s">
        <v>1403</v>
      </c>
      <c r="C4578">
        <v>0</v>
      </c>
      <c r="D4578" t="s">
        <v>4080</v>
      </c>
      <c r="E4578">
        <v>2019</v>
      </c>
      <c r="F4578" s="9"/>
      <c r="H4578" s="20" t="str">
        <f t="shared" si="71"/>
        <v>(nextval('obj_part_id_seq'), (select id from obj_building_v where zip||'|'||street||'|'||name||'|'||volume = '8335|Dürstelen|Feuerwehrgebäude|102.00'), 'P52', 0, null, 2019,null),</v>
      </c>
    </row>
    <row r="4579" spans="1:8" x14ac:dyDescent="0.25">
      <c r="A4579" s="9" t="s">
        <v>3905</v>
      </c>
      <c r="B4579" s="9" t="s">
        <v>1404</v>
      </c>
      <c r="C4579">
        <v>0</v>
      </c>
      <c r="D4579" t="s">
        <v>4080</v>
      </c>
      <c r="E4579">
        <v>2019</v>
      </c>
      <c r="F4579" s="9"/>
      <c r="H4579" s="20" t="str">
        <f t="shared" si="71"/>
        <v>(nextval('obj_part_id_seq'), (select id from obj_building_v where zip||'|'||street||'|'||name||'|'||volume = '8335|Dürstelen|Feuerwehrgebäude|102.00'), 'P53', 0, null, 2019,null),</v>
      </c>
    </row>
    <row r="4580" spans="1:8" x14ac:dyDescent="0.25">
      <c r="A4580" s="9" t="s">
        <v>3905</v>
      </c>
      <c r="B4580" s="9" t="s">
        <v>1108</v>
      </c>
      <c r="C4580">
        <v>4</v>
      </c>
      <c r="D4580">
        <v>90</v>
      </c>
      <c r="E4580">
        <v>2019</v>
      </c>
      <c r="F4580" s="9"/>
      <c r="H4580" s="20" t="str">
        <f t="shared" si="71"/>
        <v>(nextval('obj_part_id_seq'), (select id from obj_building_v where zip||'|'||street||'|'||name||'|'||volume = '8335|Dürstelen|Feuerwehrgebäude|102.00'), 'P8', 4, 90, 2019,null),</v>
      </c>
    </row>
    <row r="4581" spans="1:8" x14ac:dyDescent="0.25">
      <c r="A4581" s="9" t="s">
        <v>3905</v>
      </c>
      <c r="B4581" s="9" t="s">
        <v>1155</v>
      </c>
      <c r="C4581">
        <v>0</v>
      </c>
      <c r="D4581" t="s">
        <v>4080</v>
      </c>
      <c r="E4581">
        <v>2019</v>
      </c>
      <c r="F4581" s="9"/>
      <c r="H4581" s="20" t="str">
        <f t="shared" si="71"/>
        <v>(nextval('obj_part_id_seq'), (select id from obj_building_v where zip||'|'||street||'|'||name||'|'||volume = '8335|Dürstelen|Feuerwehrgebäude|102.00'), 'P56', 0, null, 2019,null),</v>
      </c>
    </row>
    <row r="4582" spans="1:8" x14ac:dyDescent="0.25">
      <c r="A4582" s="9" t="s">
        <v>3905</v>
      </c>
      <c r="B4582" s="9" t="s">
        <v>1138</v>
      </c>
      <c r="C4582">
        <v>8</v>
      </c>
      <c r="D4582">
        <v>80</v>
      </c>
      <c r="E4582">
        <v>2019</v>
      </c>
      <c r="F4582" s="9" t="s">
        <v>3910</v>
      </c>
      <c r="H4582" s="20" t="str">
        <f t="shared" si="71"/>
        <v>(nextval('obj_part_id_seq'), (select id from obj_building_v where zip||'|'||street||'|'||name||'|'||volume = '8335|Dürstelen|Feuerwehrgebäude|102.00'), 'P57', 8, 80, 2019,'Schlauchtrocknungsanlage (im Turm)'),</v>
      </c>
    </row>
    <row r="4583" spans="1:8" x14ac:dyDescent="0.25">
      <c r="A4583" s="9" t="s">
        <v>3905</v>
      </c>
      <c r="B4583" s="9" t="s">
        <v>1140</v>
      </c>
      <c r="C4583">
        <v>5</v>
      </c>
      <c r="D4583">
        <v>85</v>
      </c>
      <c r="E4583">
        <v>2019</v>
      </c>
      <c r="F4583" s="9" t="s">
        <v>3911</v>
      </c>
      <c r="H4583" s="20" t="str">
        <f t="shared" si="71"/>
        <v>(nextval('obj_part_id_seq'), (select id from obj_building_v where zip||'|'||street||'|'||name||'|'||volume = '8335|Dürstelen|Feuerwehrgebäude|102.00'), 'P58', 5, 85, 2019,'Wände aus Holz, Boden: Hartbeton, wenige Risse sichtbar'),</v>
      </c>
    </row>
    <row r="4584" spans="1:8" x14ac:dyDescent="0.25">
      <c r="A4584" s="9" t="s">
        <v>3905</v>
      </c>
      <c r="B4584" s="9" t="s">
        <v>1142</v>
      </c>
      <c r="C4584">
        <v>0</v>
      </c>
      <c r="D4584" t="s">
        <v>4080</v>
      </c>
      <c r="E4584">
        <v>2019</v>
      </c>
      <c r="F4584" s="9"/>
      <c r="H4584" s="20" t="str">
        <f t="shared" si="71"/>
        <v>(nextval('obj_part_id_seq'), (select id from obj_building_v where zip||'|'||street||'|'||name||'|'||volume = '8335|Dürstelen|Feuerwehrgebäude|102.00'), 'P60', 0, null, 2019,null),</v>
      </c>
    </row>
    <row r="4585" spans="1:8" x14ac:dyDescent="0.25">
      <c r="A4585" s="9" t="s">
        <v>3905</v>
      </c>
      <c r="B4585" s="9" t="s">
        <v>1143</v>
      </c>
      <c r="C4585">
        <v>0</v>
      </c>
      <c r="D4585" t="s">
        <v>4080</v>
      </c>
      <c r="E4585">
        <v>2019</v>
      </c>
      <c r="F4585" s="9"/>
      <c r="H4585" s="20" t="str">
        <f t="shared" si="71"/>
        <v>(nextval('obj_part_id_seq'), (select id from obj_building_v where zip||'|'||street||'|'||name||'|'||volume = '8335|Dürstelen|Feuerwehrgebäude|102.00'), 'P61', 0, null, 2019,null),</v>
      </c>
    </row>
    <row r="4586" spans="1:8" x14ac:dyDescent="0.25">
      <c r="A4586" s="9" t="s">
        <v>3905</v>
      </c>
      <c r="B4586" s="9" t="s">
        <v>1144</v>
      </c>
      <c r="C4586">
        <v>0</v>
      </c>
      <c r="D4586" t="s">
        <v>4080</v>
      </c>
      <c r="E4586">
        <v>2019</v>
      </c>
      <c r="F4586" s="9"/>
      <c r="H4586" s="20" t="str">
        <f t="shared" si="71"/>
        <v>(nextval('obj_part_id_seq'), (select id from obj_building_v where zip||'|'||street||'|'||name||'|'||volume = '8335|Dürstelen|Feuerwehrgebäude|102.00'), 'P62', 0, null, 2019,null),</v>
      </c>
    </row>
    <row r="4587" spans="1:8" x14ac:dyDescent="0.25">
      <c r="A4587" s="9" t="s">
        <v>3912</v>
      </c>
      <c r="B4587" s="9" t="s">
        <v>1127</v>
      </c>
      <c r="C4587">
        <v>35</v>
      </c>
      <c r="D4587">
        <v>80</v>
      </c>
      <c r="E4587">
        <v>2019</v>
      </c>
      <c r="F4587" s="9" t="s">
        <v>3913</v>
      </c>
      <c r="H4587" s="20" t="str">
        <f t="shared" si="71"/>
        <v>(nextval('obj_part_id_seq'), (select id from obj_building_v where zip||'|'||street||'|'||name||'|'||volume = '8335|Dürstelenstrasse 73|Wohnhaus|1122.00'), 'P48', 35, 80, 2019,'Mauerwerk, Holzbalkendecken, über UG Hourdisdecke'),</v>
      </c>
    </row>
    <row r="4588" spans="1:8" x14ac:dyDescent="0.25">
      <c r="A4588" s="9" t="s">
        <v>3912</v>
      </c>
      <c r="B4588" s="9" t="s">
        <v>1129</v>
      </c>
      <c r="C4588">
        <v>0</v>
      </c>
      <c r="D4588" t="s">
        <v>4080</v>
      </c>
      <c r="E4588">
        <v>2019</v>
      </c>
      <c r="F4588" s="9"/>
      <c r="H4588" s="20" t="str">
        <f t="shared" si="71"/>
        <v>(nextval('obj_part_id_seq'), (select id from obj_building_v where zip||'|'||street||'|'||name||'|'||volume = '8335|Dürstelenstrasse 73|Wohnhaus|1122.00'), 'P49', 0, null, 2019,null),</v>
      </c>
    </row>
    <row r="4589" spans="1:8" x14ac:dyDescent="0.25">
      <c r="A4589" s="9" t="s">
        <v>3912</v>
      </c>
      <c r="B4589" s="9" t="s">
        <v>1097</v>
      </c>
      <c r="C4589">
        <v>8</v>
      </c>
      <c r="D4589">
        <v>80</v>
      </c>
      <c r="E4589">
        <v>2019</v>
      </c>
      <c r="F4589" s="9" t="s">
        <v>3914</v>
      </c>
      <c r="H4589" s="20" t="str">
        <f t="shared" si="71"/>
        <v>(nextval('obj_part_id_seq'), (select id from obj_building_v where zip||'|'||street||'|'||name||'|'||volume = '8335|Dürstelenstrasse 73|Wohnhaus|1122.00'), 'P2', 8, 80, 2019,'Biberschwanzziegel Satteldach mit Gaupe, Dachuntersichten stark verwittert, Spenglerarbeiten (Abschlüsse, Rinnen) mangelhaft, Dachfenster'),</v>
      </c>
    </row>
    <row r="4590" spans="1:8" x14ac:dyDescent="0.25">
      <c r="A4590" s="9" t="s">
        <v>3912</v>
      </c>
      <c r="B4590" s="9" t="s">
        <v>1099</v>
      </c>
      <c r="C4590">
        <v>0</v>
      </c>
      <c r="D4590" t="s">
        <v>4080</v>
      </c>
      <c r="E4590">
        <v>2019</v>
      </c>
      <c r="F4590" s="9"/>
      <c r="H4590" s="20" t="str">
        <f t="shared" si="71"/>
        <v>(nextval('obj_part_id_seq'), (select id from obj_building_v where zip||'|'||street||'|'||name||'|'||volume = '8335|Dürstelenstrasse 73|Wohnhaus|1122.00'), 'P3', 0, null, 2019,null),</v>
      </c>
    </row>
    <row r="4591" spans="1:8" x14ac:dyDescent="0.25">
      <c r="A4591" s="9" t="s">
        <v>3912</v>
      </c>
      <c r="B4591" s="9" t="s">
        <v>1100</v>
      </c>
      <c r="C4591">
        <v>9</v>
      </c>
      <c r="D4591">
        <v>70</v>
      </c>
      <c r="E4591">
        <v>2019</v>
      </c>
      <c r="F4591" s="9" t="s">
        <v>3915</v>
      </c>
      <c r="H4591" s="20" t="str">
        <f t="shared" si="71"/>
        <v>(nextval('obj_part_id_seq'), (select id from obj_building_v where zip||'|'||street||'|'||name||'|'||volume = '8335|Dürstelenstrasse 73|Wohnhaus|1122.00'), 'P4', 9, 70, 2019,'Betonsockel weist Feuchtigkeit auf, Mauerwerk, einzelne Risse tw. zugegekittet, Sandsteingewände, Fachwerk im OG'),</v>
      </c>
    </row>
    <row r="4592" spans="1:8" x14ac:dyDescent="0.25">
      <c r="A4592" s="9" t="s">
        <v>3912</v>
      </c>
      <c r="B4592" s="9" t="s">
        <v>1102</v>
      </c>
      <c r="C4592">
        <v>11</v>
      </c>
      <c r="D4592">
        <v>70</v>
      </c>
      <c r="E4592">
        <v>2019</v>
      </c>
      <c r="F4592" s="9" t="s">
        <v>3916</v>
      </c>
      <c r="H4592" s="20" t="str">
        <f t="shared" si="71"/>
        <v>(nextval('obj_part_id_seq'), (select id from obj_building_v where zip||'|'||street||'|'||name||'|'||volume = '8335|Dürstelenstrasse 73|Wohnhaus|1122.00'), 'P5', 11, 70, 2019,'Holztore, Holztüre mit Glaseinsätzen und Metallgitter, 2-Scheibenglas unisoliert, Holzfenster mit Sprossen, im EG mit Metallgitter, Holzläden, tw. Rollläden'),</v>
      </c>
    </row>
    <row r="4593" spans="1:8" x14ac:dyDescent="0.25">
      <c r="A4593" s="9" t="s">
        <v>3912</v>
      </c>
      <c r="B4593" s="9" t="s">
        <v>1110</v>
      </c>
      <c r="C4593">
        <v>4</v>
      </c>
      <c r="D4593">
        <v>85</v>
      </c>
      <c r="E4593">
        <v>2019</v>
      </c>
      <c r="F4593" s="9" t="s">
        <v>3917</v>
      </c>
      <c r="H4593" s="20" t="str">
        <f t="shared" si="71"/>
        <v>(nextval('obj_part_id_seq'), (select id from obj_building_v where zip||'|'||street||'|'||name||'|'||volume = '8335|Dürstelenstrasse 73|Wohnhaus|1122.00'), 'P9', 4, 85, 2019,'Beleuchtung, FI-Schutzschalter vorhanden, Eine Steckdose aufputz im Türrahmen, Sicherungskasten Etagenverteilung wurde überstrichen und konnte nicht kontrolliert werden.'),</v>
      </c>
    </row>
    <row r="4594" spans="1:8" x14ac:dyDescent="0.25">
      <c r="A4594" s="9" t="s">
        <v>3912</v>
      </c>
      <c r="B4594" s="9" t="s">
        <v>1104</v>
      </c>
      <c r="C4594">
        <v>2</v>
      </c>
      <c r="D4594">
        <v>80</v>
      </c>
      <c r="E4594">
        <v>2019</v>
      </c>
      <c r="F4594" s="9" t="s">
        <v>3343</v>
      </c>
      <c r="H4594" s="20" t="str">
        <f t="shared" si="71"/>
        <v>(nextval('obj_part_id_seq'), (select id from obj_building_v where zip||'|'||street||'|'||name||'|'||volume = '8335|Dürstelenstrasse 73|Wohnhaus|1122.00'), 'P6', 2, 80, 2019,'Fernwärme, Boiler'),</v>
      </c>
    </row>
    <row r="4595" spans="1:8" x14ac:dyDescent="0.25">
      <c r="A4595" s="9" t="s">
        <v>3912</v>
      </c>
      <c r="B4595" s="9" t="s">
        <v>1106</v>
      </c>
      <c r="C4595">
        <v>3</v>
      </c>
      <c r="D4595">
        <v>80</v>
      </c>
      <c r="E4595">
        <v>2019</v>
      </c>
      <c r="F4595" s="9" t="s">
        <v>3918</v>
      </c>
      <c r="H4595" s="20" t="str">
        <f t="shared" si="71"/>
        <v>(nextval('obj_part_id_seq'), (select id from obj_building_v where zip||'|'||street||'|'||name||'|'||volume = '8335|Dürstelenstrasse 73|Wohnhaus|1122.00'), 'P7', 3, 80, 2019,'Thermostaten teilweise nicht vorhanden'),</v>
      </c>
    </row>
    <row r="4596" spans="1:8" x14ac:dyDescent="0.25">
      <c r="A4596" s="9" t="s">
        <v>3912</v>
      </c>
      <c r="B4596" s="9" t="s">
        <v>1135</v>
      </c>
      <c r="C4596">
        <v>3</v>
      </c>
      <c r="D4596">
        <v>80</v>
      </c>
      <c r="E4596">
        <v>2019</v>
      </c>
      <c r="F4596" s="9" t="s">
        <v>3919</v>
      </c>
      <c r="H4596" s="20" t="str">
        <f t="shared" si="71"/>
        <v>(nextval('obj_part_id_seq'), (select id from obj_building_v where zip||'|'||street||'|'||name||'|'||volume = '8335|Dürstelenstrasse 73|Wohnhaus|1122.00'), 'P54', 3, 80, 2019,'Waschmaschinen, Tumbler, Dusche, WC, Chromstahl-Lavabo, Armaturen und Apparate funktionstüchtig'),</v>
      </c>
    </row>
    <row r="4597" spans="1:8" x14ac:dyDescent="0.25">
      <c r="A4597" s="9" t="s">
        <v>3912</v>
      </c>
      <c r="B4597" s="9" t="s">
        <v>1137</v>
      </c>
      <c r="C4597">
        <v>4</v>
      </c>
      <c r="D4597">
        <v>80</v>
      </c>
      <c r="E4597">
        <v>2019</v>
      </c>
      <c r="F4597" s="9" t="s">
        <v>3920</v>
      </c>
      <c r="H4597" s="20" t="str">
        <f t="shared" si="71"/>
        <v>(nextval('obj_part_id_seq'), (select id from obj_building_v where zip||'|'||street||'|'||name||'|'||volume = '8335|Dürstelenstrasse 73|Wohnhaus|1122.00'), 'P55', 4, 80, 2019,'Druck und Leitungen sind in Ordnung'),</v>
      </c>
    </row>
    <row r="4598" spans="1:8" x14ac:dyDescent="0.25">
      <c r="A4598" s="9" t="s">
        <v>3912</v>
      </c>
      <c r="B4598" s="9" t="s">
        <v>1155</v>
      </c>
      <c r="C4598">
        <v>0</v>
      </c>
      <c r="D4598" t="s">
        <v>4080</v>
      </c>
      <c r="E4598">
        <v>2019</v>
      </c>
      <c r="F4598" s="9"/>
      <c r="H4598" s="20" t="str">
        <f t="shared" si="71"/>
        <v>(nextval('obj_part_id_seq'), (select id from obj_building_v where zip||'|'||street||'|'||name||'|'||volume = '8335|Dürstelenstrasse 73|Wohnhaus|1122.00'), 'P56', 0, null, 2019,null),</v>
      </c>
    </row>
    <row r="4599" spans="1:8" x14ac:dyDescent="0.25">
      <c r="A4599" s="9" t="s">
        <v>3912</v>
      </c>
      <c r="B4599" s="9" t="s">
        <v>1138</v>
      </c>
      <c r="C4599">
        <v>9</v>
      </c>
      <c r="D4599">
        <v>70</v>
      </c>
      <c r="E4599">
        <v>2019</v>
      </c>
      <c r="F4599" s="9" t="s">
        <v>3921</v>
      </c>
      <c r="H4599" s="20" t="str">
        <f t="shared" si="71"/>
        <v>(nextval('obj_part_id_seq'), (select id from obj_building_v where zip||'|'||street||'|'||name||'|'||volume = '8335|Dürstelenstrasse 73|Wohnhaus|1122.00'), 'P57', 9, 70, 2019,'Einbauschränke, Schiebetür zum WC, Holzgeländer (h&lt;1.0m), Holztreppen, Innentüren, Vorhangbretter und Fenstersimse aus Holz'),</v>
      </c>
    </row>
    <row r="4600" spans="1:8" x14ac:dyDescent="0.25">
      <c r="A4600" s="9" t="s">
        <v>3912</v>
      </c>
      <c r="B4600" s="9" t="s">
        <v>1140</v>
      </c>
      <c r="C4600">
        <v>8</v>
      </c>
      <c r="D4600">
        <v>70</v>
      </c>
      <c r="E4600">
        <v>2019</v>
      </c>
      <c r="F4600" s="9" t="s">
        <v>3922</v>
      </c>
      <c r="H4600" s="20" t="str">
        <f t="shared" si="71"/>
        <v>(nextval('obj_part_id_seq'), (select id from obj_building_v where zip||'|'||street||'|'||name||'|'||volume = '8335|Dürstelenstrasse 73|Wohnhaus|1122.00'), 'P58', 8, 70, 2019,'Boden: Parkett, Keramikplatten im WC, PVC in Bad\nWand: verputzt, gestrichen, Tapeten, Keramikplatten im WC und Bad'),</v>
      </c>
    </row>
    <row r="4601" spans="1:8" x14ac:dyDescent="0.25">
      <c r="A4601" s="9" t="s">
        <v>3912</v>
      </c>
      <c r="B4601" s="9" t="s">
        <v>1157</v>
      </c>
      <c r="C4601">
        <v>4</v>
      </c>
      <c r="D4601">
        <v>80</v>
      </c>
      <c r="E4601">
        <v>2019</v>
      </c>
      <c r="F4601" s="9" t="s">
        <v>3923</v>
      </c>
      <c r="H4601" s="20" t="str">
        <f t="shared" si="71"/>
        <v>(nextval('obj_part_id_seq'), (select id from obj_building_v where zip||'|'||street||'|'||name||'|'||volume = '8335|Dürstelenstrasse 73|Wohnhaus|1122.00'), 'P59', 4, 80, 2019,'Küchen mit Abluft, tw. alte Herdplatten, Chromstahlbecken'),</v>
      </c>
    </row>
    <row r="4602" spans="1:8" x14ac:dyDescent="0.25">
      <c r="A4602" s="9" t="s">
        <v>3912</v>
      </c>
      <c r="B4602" s="9" t="s">
        <v>1142</v>
      </c>
      <c r="C4602">
        <v>0</v>
      </c>
      <c r="D4602" t="s">
        <v>4080</v>
      </c>
      <c r="E4602">
        <v>2019</v>
      </c>
      <c r="F4602" s="9"/>
      <c r="H4602" s="20" t="str">
        <f t="shared" si="71"/>
        <v>(nextval('obj_part_id_seq'), (select id from obj_building_v where zip||'|'||street||'|'||name||'|'||volume = '8335|Dürstelenstrasse 73|Wohnhaus|1122.00'), 'P60', 0, null, 2019,null),</v>
      </c>
    </row>
    <row r="4603" spans="1:8" x14ac:dyDescent="0.25">
      <c r="A4603" s="9" t="s">
        <v>3912</v>
      </c>
      <c r="B4603" s="9" t="s">
        <v>1143</v>
      </c>
      <c r="C4603">
        <v>0</v>
      </c>
      <c r="D4603" t="s">
        <v>4080</v>
      </c>
      <c r="E4603">
        <v>2019</v>
      </c>
      <c r="F4603" s="9"/>
      <c r="H4603" s="20" t="str">
        <f t="shared" si="71"/>
        <v>(nextval('obj_part_id_seq'), (select id from obj_building_v where zip||'|'||street||'|'||name||'|'||volume = '8335|Dürstelenstrasse 73|Wohnhaus|1122.00'), 'P61', 0, null, 2019,null),</v>
      </c>
    </row>
    <row r="4604" spans="1:8" x14ac:dyDescent="0.25">
      <c r="A4604" s="9" t="s">
        <v>3912</v>
      </c>
      <c r="B4604" s="9" t="s">
        <v>1144</v>
      </c>
      <c r="C4604">
        <v>0</v>
      </c>
      <c r="D4604" t="s">
        <v>4080</v>
      </c>
      <c r="E4604">
        <v>2019</v>
      </c>
      <c r="F4604" s="9"/>
      <c r="H4604" s="20" t="str">
        <f t="shared" si="71"/>
        <v>(nextval('obj_part_id_seq'), (select id from obj_building_v where zip||'|'||street||'|'||name||'|'||volume = '8335|Dürstelenstrasse 73|Wohnhaus|1122.00'), 'P62', 0, null, 2019,null),</v>
      </c>
    </row>
    <row r="4605" spans="1:8" x14ac:dyDescent="0.25">
      <c r="A4605" s="9" t="s">
        <v>3924</v>
      </c>
      <c r="B4605" s="9" t="s">
        <v>1127</v>
      </c>
      <c r="C4605">
        <v>35</v>
      </c>
      <c r="D4605">
        <v>80</v>
      </c>
      <c r="E4605">
        <v>2019</v>
      </c>
      <c r="F4605" s="9" t="s">
        <v>3925</v>
      </c>
      <c r="H4605" s="20" t="str">
        <f t="shared" si="71"/>
        <v>(nextval('obj_part_id_seq'), (select id from obj_building_v where zip||'|'||street||'|'||name||'|'||volume = '8335|Oberdorfstrasse 95|Wohnhaus|1156.00'), 'P48', 35, 80, 2019,'Mauerwerk mit Betonsockel'),</v>
      </c>
    </row>
    <row r="4606" spans="1:8" x14ac:dyDescent="0.25">
      <c r="A4606" s="9" t="s">
        <v>3924</v>
      </c>
      <c r="B4606" s="9" t="s">
        <v>1129</v>
      </c>
      <c r="C4606">
        <v>0</v>
      </c>
      <c r="D4606" t="s">
        <v>4080</v>
      </c>
      <c r="E4606">
        <v>2019</v>
      </c>
      <c r="F4606" s="9"/>
      <c r="H4606" s="20" t="str">
        <f t="shared" si="71"/>
        <v>(nextval('obj_part_id_seq'), (select id from obj_building_v where zip||'|'||street||'|'||name||'|'||volume = '8335|Oberdorfstrasse 95|Wohnhaus|1156.00'), 'P49', 0, null, 2019,null),</v>
      </c>
    </row>
    <row r="4607" spans="1:8" x14ac:dyDescent="0.25">
      <c r="A4607" s="9" t="s">
        <v>3924</v>
      </c>
      <c r="B4607" s="9" t="s">
        <v>1097</v>
      </c>
      <c r="C4607">
        <v>10</v>
      </c>
      <c r="D4607">
        <v>70</v>
      </c>
      <c r="E4607">
        <v>2019</v>
      </c>
      <c r="F4607" s="9" t="s">
        <v>3926</v>
      </c>
      <c r="H4607" s="20" t="str">
        <f t="shared" si="71"/>
        <v>(nextval('obj_part_id_seq'), (select id from obj_building_v where zip||'|'||street||'|'||name||'|'||volume = '8335|Oberdorfstrasse 95|Wohnhaus|1156.00'), 'P2', 10, 70, 2019,'Tw. mit Moos bewachsen, Sparren und Pfetten sind zu feucht, mit Unterdach. Lukarnen, Dachflächenfenster verwittert, Kot auf Estrichboden (vermutlich von Marder)'),</v>
      </c>
    </row>
    <row r="4608" spans="1:8" x14ac:dyDescent="0.25">
      <c r="A4608" s="9" t="s">
        <v>3924</v>
      </c>
      <c r="B4608" s="9" t="s">
        <v>1099</v>
      </c>
      <c r="C4608">
        <v>0</v>
      </c>
      <c r="D4608" t="s">
        <v>4080</v>
      </c>
      <c r="E4608">
        <v>2019</v>
      </c>
      <c r="F4608" s="9"/>
      <c r="H4608" s="20" t="str">
        <f t="shared" si="71"/>
        <v>(nextval('obj_part_id_seq'), (select id from obj_building_v where zip||'|'||street||'|'||name||'|'||volume = '8335|Oberdorfstrasse 95|Wohnhaus|1156.00'), 'P3', 0, null, 2019,null),</v>
      </c>
    </row>
    <row r="4609" spans="1:8" x14ac:dyDescent="0.25">
      <c r="A4609" s="9" t="s">
        <v>3924</v>
      </c>
      <c r="B4609" s="9" t="s">
        <v>1100</v>
      </c>
      <c r="C4609">
        <v>7</v>
      </c>
      <c r="D4609">
        <v>70</v>
      </c>
      <c r="E4609">
        <v>2019</v>
      </c>
      <c r="F4609" s="9" t="s">
        <v>3927</v>
      </c>
      <c r="H4609" s="20" t="str">
        <f t="shared" si="71"/>
        <v>(nextval('obj_part_id_seq'), (select id from obj_building_v where zip||'|'||street||'|'||name||'|'||volume = '8335|Oberdorfstrasse 95|Wohnhaus|1156.00'), 'P4', 7, 70, 2019,'Mauerwerk verputzt, tw. feucht (Treppenbereich), Kunststeingewände tw. beschädigt (Sockelbereich), Risse sichtbar (an der Innenwand der Küche im Bereich der Lukarne)'),</v>
      </c>
    </row>
    <row r="4610" spans="1:8" x14ac:dyDescent="0.25">
      <c r="A4610" s="9" t="s">
        <v>3924</v>
      </c>
      <c r="B4610" s="9" t="s">
        <v>1102</v>
      </c>
      <c r="C4610">
        <v>11</v>
      </c>
      <c r="D4610">
        <v>60</v>
      </c>
      <c r="E4610">
        <v>2019</v>
      </c>
      <c r="F4610" s="9" t="s">
        <v>3928</v>
      </c>
      <c r="H4610" s="20" t="str">
        <f t="shared" si="71"/>
        <v>(nextval('obj_part_id_seq'), (select id from obj_building_v where zip||'|'||street||'|'||name||'|'||volume = '8335|Oberdorfstrasse 95|Wohnhaus|1156.00'), 'P5', 11, 60, 2019,'Alte Holzfenster mit 2-Scheibengläser, ohne IV-Gläser, mit Sprossen, Metallgitter, Dachfenster mangelhaft, Holzläden verwittert, Fenster in der Wohnung des Hauswarts ist schadhaft, undichte Fenster; Simse werden nass, Eingangstüre aus Holz, verwittert'),</v>
      </c>
    </row>
    <row r="4611" spans="1:8" x14ac:dyDescent="0.25">
      <c r="A4611" s="9" t="s">
        <v>3924</v>
      </c>
      <c r="B4611" s="9" t="s">
        <v>1110</v>
      </c>
      <c r="C4611">
        <v>4</v>
      </c>
      <c r="D4611">
        <v>70</v>
      </c>
      <c r="E4611">
        <v>2019</v>
      </c>
      <c r="F4611" s="9" t="s">
        <v>3929</v>
      </c>
      <c r="H4611" s="20" t="str">
        <f t="shared" si="71"/>
        <v>(nextval('obj_part_id_seq'), (select id from obj_building_v where zip||'|'||street||'|'||name||'|'||volume = '8335|Oberdorfstrasse 95|Wohnhaus|1156.00'), 'P9', 4, 70, 2019,'Sicherungen wurden in einer Wohnung überbrückt (lebensgefährlich!), da ungenügend abgesichert, alte Keramiksicherungen, tw. Aufputzsteckdosen (Bad)'),</v>
      </c>
    </row>
    <row r="4612" spans="1:8" x14ac:dyDescent="0.25">
      <c r="A4612" s="9" t="s">
        <v>3924</v>
      </c>
      <c r="B4612" s="9" t="s">
        <v>1104</v>
      </c>
      <c r="C4612">
        <v>2</v>
      </c>
      <c r="D4612">
        <v>80</v>
      </c>
      <c r="E4612">
        <v>2019</v>
      </c>
      <c r="F4612" s="9" t="s">
        <v>3930</v>
      </c>
      <c r="H4612" s="20" t="str">
        <f t="shared" si="71"/>
        <v>(nextval('obj_part_id_seq'), (select id from obj_building_v where zip||'|'||street||'|'||name||'|'||volume = '8335|Oberdorfstrasse 95|Wohnhaus|1156.00'), 'P6', 2, 80, 2019,'Ölheizung 30-50kW, Jg. 2000'),</v>
      </c>
    </row>
    <row r="4613" spans="1:8" x14ac:dyDescent="0.25">
      <c r="A4613" s="9" t="s">
        <v>3924</v>
      </c>
      <c r="B4613" s="9" t="s">
        <v>1106</v>
      </c>
      <c r="C4613">
        <v>3</v>
      </c>
      <c r="D4613">
        <v>80</v>
      </c>
      <c r="E4613">
        <v>2019</v>
      </c>
      <c r="F4613" s="9" t="s">
        <v>3931</v>
      </c>
      <c r="H4613" s="20" t="str">
        <f t="shared" ref="H4613:H4676" si="72">"(nextval('obj_part_id_seq'), (select id from obj_building_v where zip||'|'||street||'|'||name||'|'||volume = '"&amp;A4613&amp;"'), '"&amp;B4613&amp;"', "&amp;C4613&amp;", "&amp;D4613&amp;", "&amp;IF(ISBLANK(E4613),"null",E4613)&amp;","&amp;IF(ISBLANK(F4613),"null","'"&amp;F4613&amp;"'")&amp;"),"</f>
        <v>(nextval('obj_part_id_seq'), (select id from obj_building_v where zip||'|'||street||'|'||name||'|'||volume = '8335|Oberdorfstrasse 95|Wohnhaus|1156.00'), 'P7', 3, 80, 2019,'Heizung tw. keine Thermostate vorhanden.'),</v>
      </c>
    </row>
    <row r="4614" spans="1:8" x14ac:dyDescent="0.25">
      <c r="A4614" s="9" t="s">
        <v>3924</v>
      </c>
      <c r="B4614" s="9" t="s">
        <v>1135</v>
      </c>
      <c r="C4614">
        <v>3</v>
      </c>
      <c r="D4614">
        <v>80</v>
      </c>
      <c r="E4614">
        <v>2019</v>
      </c>
      <c r="F4614" s="9" t="s">
        <v>3932</v>
      </c>
      <c r="H4614" s="20" t="str">
        <f t="shared" si="72"/>
        <v>(nextval('obj_part_id_seq'), (select id from obj_building_v where zip||'|'||street||'|'||name||'|'||volume = '8335|Oberdorfstrasse 95|Wohnhaus|1156.00'), 'P54', 3, 80, 2019,'Waschmaschine, WC, Armaturen ohne Mischventile'),</v>
      </c>
    </row>
    <row r="4615" spans="1:8" x14ac:dyDescent="0.25">
      <c r="A4615" s="9" t="s">
        <v>3924</v>
      </c>
      <c r="B4615" s="9" t="s">
        <v>1137</v>
      </c>
      <c r="C4615">
        <v>4</v>
      </c>
      <c r="D4615">
        <v>80</v>
      </c>
      <c r="E4615">
        <v>2019</v>
      </c>
      <c r="F4615" s="9" t="s">
        <v>3920</v>
      </c>
      <c r="H4615" s="20" t="str">
        <f t="shared" si="72"/>
        <v>(nextval('obj_part_id_seq'), (select id from obj_building_v where zip||'|'||street||'|'||name||'|'||volume = '8335|Oberdorfstrasse 95|Wohnhaus|1156.00'), 'P55', 4, 80, 2019,'Druck und Leitungen sind in Ordnung'),</v>
      </c>
    </row>
    <row r="4616" spans="1:8" x14ac:dyDescent="0.25">
      <c r="A4616" s="9" t="s">
        <v>3924</v>
      </c>
      <c r="B4616" s="9" t="s">
        <v>1155</v>
      </c>
      <c r="C4616">
        <v>0</v>
      </c>
      <c r="D4616" t="s">
        <v>4080</v>
      </c>
      <c r="E4616">
        <v>2019</v>
      </c>
      <c r="F4616" s="9"/>
      <c r="H4616" s="20" t="str">
        <f t="shared" si="72"/>
        <v>(nextval('obj_part_id_seq'), (select id from obj_building_v where zip||'|'||street||'|'||name||'|'||volume = '8335|Oberdorfstrasse 95|Wohnhaus|1156.00'), 'P56', 0, null, 2019,null),</v>
      </c>
    </row>
    <row r="4617" spans="1:8" x14ac:dyDescent="0.25">
      <c r="A4617" s="9" t="s">
        <v>3924</v>
      </c>
      <c r="B4617" s="9" t="s">
        <v>1138</v>
      </c>
      <c r="C4617">
        <v>9</v>
      </c>
      <c r="D4617">
        <v>80</v>
      </c>
      <c r="E4617">
        <v>2019</v>
      </c>
      <c r="F4617" s="9" t="s">
        <v>3933</v>
      </c>
      <c r="H4617" s="20" t="str">
        <f t="shared" si="72"/>
        <v>(nextval('obj_part_id_seq'), (select id from obj_building_v where zip||'|'||street||'|'||name||'|'||volume = '8335|Oberdorfstrasse 95|Wohnhaus|1156.00'), 'P57', 9, 80, 2019,'Holzgeländer (h&lt;1.0m), Einbauschränke, Fenstersimse, Täfer'),</v>
      </c>
    </row>
    <row r="4618" spans="1:8" x14ac:dyDescent="0.25">
      <c r="A4618" s="9" t="s">
        <v>3924</v>
      </c>
      <c r="B4618" s="9" t="s">
        <v>1140</v>
      </c>
      <c r="C4618">
        <v>8</v>
      </c>
      <c r="D4618">
        <v>80</v>
      </c>
      <c r="E4618">
        <v>2019</v>
      </c>
      <c r="F4618" s="9" t="s">
        <v>3934</v>
      </c>
      <c r="H4618" s="20" t="str">
        <f t="shared" si="72"/>
        <v>(nextval('obj_part_id_seq'), (select id from obj_building_v where zip||'|'||street||'|'||name||'|'||volume = '8335|Oberdorfstrasse 95|Wohnhaus|1156.00'), 'P58', 8, 80, 2019,'Keller: Mauerwerk Naturstein und Kalksandstein, Dach: Holz, Täfer, Gipskartonplatten, Böden: PVC, Laminat, Teppich, Wände: verputzt, Plattenschilder in Küche'),</v>
      </c>
    </row>
    <row r="4619" spans="1:8" x14ac:dyDescent="0.25">
      <c r="A4619" s="9" t="s">
        <v>3924</v>
      </c>
      <c r="B4619" s="9" t="s">
        <v>1157</v>
      </c>
      <c r="C4619">
        <v>4</v>
      </c>
      <c r="D4619">
        <v>80</v>
      </c>
      <c r="E4619">
        <v>2019</v>
      </c>
      <c r="F4619" s="9" t="s">
        <v>3935</v>
      </c>
      <c r="H4619" s="20" t="str">
        <f t="shared" si="72"/>
        <v>(nextval('obj_part_id_seq'), (select id from obj_building_v where zip||'|'||street||'|'||name||'|'||volume = '8335|Oberdorfstrasse 95|Wohnhaus|1156.00'), 'P59', 4, 80, 2019,'Küchen mit Chromstahlbecken und Glaskeramikherd'),</v>
      </c>
    </row>
    <row r="4620" spans="1:8" x14ac:dyDescent="0.25">
      <c r="A4620" s="9" t="s">
        <v>3924</v>
      </c>
      <c r="B4620" s="9" t="s">
        <v>1142</v>
      </c>
      <c r="C4620">
        <v>0</v>
      </c>
      <c r="D4620" t="s">
        <v>4080</v>
      </c>
      <c r="E4620">
        <v>2019</v>
      </c>
      <c r="F4620" s="9"/>
      <c r="H4620" s="20" t="str">
        <f t="shared" si="72"/>
        <v>(nextval('obj_part_id_seq'), (select id from obj_building_v where zip||'|'||street||'|'||name||'|'||volume = '8335|Oberdorfstrasse 95|Wohnhaus|1156.00'), 'P60', 0, null, 2019,null),</v>
      </c>
    </row>
    <row r="4621" spans="1:8" x14ac:dyDescent="0.25">
      <c r="A4621" s="9" t="s">
        <v>3924</v>
      </c>
      <c r="B4621" s="9" t="s">
        <v>1143</v>
      </c>
      <c r="C4621">
        <v>0</v>
      </c>
      <c r="D4621" t="s">
        <v>4080</v>
      </c>
      <c r="E4621">
        <v>2019</v>
      </c>
      <c r="F4621" s="9"/>
      <c r="H4621" s="20" t="str">
        <f t="shared" si="72"/>
        <v>(nextval('obj_part_id_seq'), (select id from obj_building_v where zip||'|'||street||'|'||name||'|'||volume = '8335|Oberdorfstrasse 95|Wohnhaus|1156.00'), 'P61', 0, null, 2019,null),</v>
      </c>
    </row>
    <row r="4622" spans="1:8" x14ac:dyDescent="0.25">
      <c r="A4622" s="9" t="s">
        <v>3924</v>
      </c>
      <c r="B4622" s="9" t="s">
        <v>1144</v>
      </c>
      <c r="C4622">
        <v>0</v>
      </c>
      <c r="D4622" t="s">
        <v>4080</v>
      </c>
      <c r="E4622">
        <v>2019</v>
      </c>
      <c r="F4622" s="9"/>
      <c r="H4622" s="20" t="str">
        <f t="shared" si="72"/>
        <v>(nextval('obj_part_id_seq'), (select id from obj_building_v where zip||'|'||street||'|'||name||'|'||volume = '8335|Oberdorfstrasse 95|Wohnhaus|1156.00'), 'P62', 0, null, 2019,null),</v>
      </c>
    </row>
    <row r="4623" spans="1:8" x14ac:dyDescent="0.25">
      <c r="A4623" s="9" t="s">
        <v>3936</v>
      </c>
      <c r="B4623" s="9" t="s">
        <v>1127</v>
      </c>
      <c r="C4623">
        <v>38</v>
      </c>
      <c r="D4623">
        <v>85</v>
      </c>
      <c r="E4623">
        <v>2020</v>
      </c>
      <c r="F4623" s="9" t="s">
        <v>1369</v>
      </c>
      <c r="H4623" s="20" t="str">
        <f t="shared" si="72"/>
        <v>(nextval('obj_part_id_seq'), (select id from obj_building_v where zip||'|'||street||'|'||name||'|'||volume = '8556|Kirchstrasse 12a|Turnhallengebäude Sekundarschule|4933.00'), 'P48', 38, 85, 2020,'Stahlbeton, Mauerwerk'),</v>
      </c>
    </row>
    <row r="4624" spans="1:8" x14ac:dyDescent="0.25">
      <c r="A4624" s="9" t="s">
        <v>3936</v>
      </c>
      <c r="B4624" s="9" t="s">
        <v>1129</v>
      </c>
      <c r="C4624">
        <v>0</v>
      </c>
      <c r="D4624" t="s">
        <v>4080</v>
      </c>
      <c r="E4624">
        <v>2020</v>
      </c>
      <c r="F4624" s="9"/>
      <c r="H4624" s="20" t="str">
        <f t="shared" si="72"/>
        <v>(nextval('obj_part_id_seq'), (select id from obj_building_v where zip||'|'||street||'|'||name||'|'||volume = '8556|Kirchstrasse 12a|Turnhallengebäude Sekundarschule|4933.00'), 'P49', 0, null, 2020,null),</v>
      </c>
    </row>
    <row r="4625" spans="1:8" x14ac:dyDescent="0.25">
      <c r="A4625" s="9" t="s">
        <v>3936</v>
      </c>
      <c r="B4625" s="9" t="s">
        <v>1097</v>
      </c>
      <c r="C4625">
        <v>0</v>
      </c>
      <c r="D4625">
        <v>85</v>
      </c>
      <c r="E4625">
        <v>2020</v>
      </c>
      <c r="F4625" s="9" t="s">
        <v>3937</v>
      </c>
      <c r="H4625" s="20" t="str">
        <f t="shared" si="72"/>
        <v>(nextval('obj_part_id_seq'), (select id from obj_building_v where zip||'|'||street||'|'||name||'|'||volume = '8556|Kirchstrasse 12a|Turnhallengebäude Sekundarschule|4933.00'), 'P2', 0, 85, 2020,'Blechdach, Verdacht auf Feuchtigkeit bei den Holzfachwerkträgern'),</v>
      </c>
    </row>
    <row r="4626" spans="1:8" x14ac:dyDescent="0.25">
      <c r="A4626" s="9" t="s">
        <v>3936</v>
      </c>
      <c r="B4626" s="9" t="s">
        <v>1099</v>
      </c>
      <c r="C4626">
        <v>8</v>
      </c>
      <c r="D4626">
        <v>80</v>
      </c>
      <c r="E4626">
        <v>2020</v>
      </c>
      <c r="F4626" s="9" t="s">
        <v>1874</v>
      </c>
      <c r="H4626" s="20" t="str">
        <f t="shared" si="72"/>
        <v>(nextval('obj_part_id_seq'), (select id from obj_building_v where zip||'|'||street||'|'||name||'|'||volume = '8556|Kirchstrasse 12a|Turnhallengebäude Sekundarschule|4933.00'), 'P3', 8, 80, 2020,'Kiesklebedach'),</v>
      </c>
    </row>
    <row r="4627" spans="1:8" x14ac:dyDescent="0.25">
      <c r="A4627" s="9" t="s">
        <v>3936</v>
      </c>
      <c r="B4627" s="9" t="s">
        <v>1100</v>
      </c>
      <c r="C4627">
        <v>7</v>
      </c>
      <c r="D4627">
        <v>80</v>
      </c>
      <c r="E4627">
        <v>2020</v>
      </c>
      <c r="F4627" s="9" t="s">
        <v>3772</v>
      </c>
      <c r="H4627" s="20" t="str">
        <f t="shared" si="72"/>
        <v>(nextval('obj_part_id_seq'), (select id from obj_building_v where zip||'|'||street||'|'||name||'|'||volume = '8556|Kirchstrasse 12a|Turnhallengebäude Sekundarschule|4933.00'), 'P4', 7, 80, 2020,'Mauerwerk verputzt, teilweise vermoost'),</v>
      </c>
    </row>
    <row r="4628" spans="1:8" x14ac:dyDescent="0.25">
      <c r="A4628" s="9" t="s">
        <v>3936</v>
      </c>
      <c r="B4628" s="9" t="s">
        <v>1102</v>
      </c>
      <c r="C4628">
        <v>10</v>
      </c>
      <c r="D4628">
        <v>80</v>
      </c>
      <c r="E4628">
        <v>2020</v>
      </c>
      <c r="F4628" s="9" t="s">
        <v>3938</v>
      </c>
      <c r="H4628" s="20" t="str">
        <f t="shared" si="72"/>
        <v>(nextval('obj_part_id_seq'), (select id from obj_building_v where zip||'|'||street||'|'||name||'|'||volume = '8556|Kirchstrasse 12a|Turnhallengebäude Sekundarschule|4933.00'), 'P5', 10, 80, 2020,'Aussentür aus Metall und IV-Glas, Holz-/Metallfenster, Milchglasfenster, Dichtung der Fenster mangelhaft, Kondensation bei den Fenstern'),</v>
      </c>
    </row>
    <row r="4629" spans="1:8" x14ac:dyDescent="0.25">
      <c r="A4629" s="9" t="s">
        <v>3936</v>
      </c>
      <c r="B4629" s="9" t="s">
        <v>1164</v>
      </c>
      <c r="C4629">
        <v>6</v>
      </c>
      <c r="D4629">
        <v>85</v>
      </c>
      <c r="E4629">
        <v>2020</v>
      </c>
      <c r="F4629" s="9" t="s">
        <v>3939</v>
      </c>
      <c r="H4629" s="20" t="str">
        <f t="shared" si="72"/>
        <v>(nextval('obj_part_id_seq'), (select id from obj_building_v where zip||'|'||street||'|'||name||'|'||volume = '8556|Kirchstrasse 12a|Turnhallengebäude Sekundarschule|4933.00'), 'P50', 6, 85, 2020,'Genügende Absicherung, Beleuchtung neu'),</v>
      </c>
    </row>
    <row r="4630" spans="1:8" x14ac:dyDescent="0.25">
      <c r="A4630" s="9" t="s">
        <v>3936</v>
      </c>
      <c r="B4630" s="9" t="s">
        <v>1166</v>
      </c>
      <c r="C4630">
        <v>1</v>
      </c>
      <c r="D4630">
        <v>85</v>
      </c>
      <c r="E4630">
        <v>2020</v>
      </c>
      <c r="F4630" s="9" t="s">
        <v>3940</v>
      </c>
      <c r="H4630" s="20" t="str">
        <f t="shared" si="72"/>
        <v>(nextval('obj_part_id_seq'), (select id from obj_building_v where zip||'|'||street||'|'||name||'|'||volume = '8556|Kirchstrasse 12a|Turnhallengebäude Sekundarschule|4933.00'), 'P51', 1, 85, 2020,'Audioanlage'),</v>
      </c>
    </row>
    <row r="4631" spans="1:8" x14ac:dyDescent="0.25">
      <c r="A4631" s="9" t="s">
        <v>3936</v>
      </c>
      <c r="B4631" s="9" t="s">
        <v>1104</v>
      </c>
      <c r="C4631">
        <v>1</v>
      </c>
      <c r="D4631">
        <v>90</v>
      </c>
      <c r="E4631">
        <v>2020</v>
      </c>
      <c r="F4631" s="9" t="s">
        <v>3941</v>
      </c>
      <c r="H4631" s="20" t="str">
        <f t="shared" si="72"/>
        <v>(nextval('obj_part_id_seq'), (select id from obj_building_v where zip||'|'||street||'|'||name||'|'||volume = '8556|Kirchstrasse 12a|Turnhallengebäude Sekundarschule|4933.00'), 'P6', 1, 90, 2020,'Fernwärme von Holzschnitzelheizung'),</v>
      </c>
    </row>
    <row r="4632" spans="1:8" x14ac:dyDescent="0.25">
      <c r="A4632" s="9" t="s">
        <v>3936</v>
      </c>
      <c r="B4632" s="9" t="s">
        <v>1106</v>
      </c>
      <c r="C4632">
        <v>3</v>
      </c>
      <c r="D4632">
        <v>85</v>
      </c>
      <c r="E4632">
        <v>2020</v>
      </c>
      <c r="F4632" s="9" t="s">
        <v>1107</v>
      </c>
      <c r="H4632" s="20" t="str">
        <f t="shared" si="72"/>
        <v>(nextval('obj_part_id_seq'), (select id from obj_building_v where zip||'|'||street||'|'||name||'|'||volume = '8556|Kirchstrasse 12a|Turnhallengebäude Sekundarschule|4933.00'), 'P7', 3, 85, 2020,'Radiatoren mit Thermostaten'),</v>
      </c>
    </row>
    <row r="4633" spans="1:8" x14ac:dyDescent="0.25">
      <c r="A4633" s="9" t="s">
        <v>3936</v>
      </c>
      <c r="B4633" s="9" t="s">
        <v>1108</v>
      </c>
      <c r="C4633">
        <v>4</v>
      </c>
      <c r="D4633">
        <v>85</v>
      </c>
      <c r="E4633">
        <v>2020</v>
      </c>
      <c r="F4633" s="9" t="s">
        <v>3942</v>
      </c>
      <c r="H4633" s="20" t="str">
        <f t="shared" si="72"/>
        <v>(nextval('obj_part_id_seq'), (select id from obj_building_v where zip||'|'||street||'|'||name||'|'||volume = '8556|Kirchstrasse 12a|Turnhallengebäude Sekundarschule|4933.00'), 'P8', 4, 85, 2020,'Duschen, WC, Chromstahlleitungen'),</v>
      </c>
    </row>
    <row r="4634" spans="1:8" x14ac:dyDescent="0.25">
      <c r="A4634" s="9" t="s">
        <v>3936</v>
      </c>
      <c r="B4634" s="9" t="s">
        <v>1138</v>
      </c>
      <c r="C4634">
        <v>11</v>
      </c>
      <c r="D4634">
        <v>85</v>
      </c>
      <c r="E4634">
        <v>2020</v>
      </c>
      <c r="F4634" s="9" t="s">
        <v>3943</v>
      </c>
      <c r="H4634" s="20" t="str">
        <f t="shared" si="72"/>
        <v>(nextval('obj_part_id_seq'), (select id from obj_building_v where zip||'|'||street||'|'||name||'|'||volume = '8556|Kirchstrasse 12a|Turnhallengebäude Sekundarschule|4933.00'), 'P57', 11, 85, 2020,'Garderoben, Geländer aus Metall, innere Verglasungen, Einbauschränke, Schiebetür im Geräteraum'),</v>
      </c>
    </row>
    <row r="4635" spans="1:8" x14ac:dyDescent="0.25">
      <c r="A4635" s="9" t="s">
        <v>3936</v>
      </c>
      <c r="B4635" s="9" t="s">
        <v>1140</v>
      </c>
      <c r="C4635">
        <v>8</v>
      </c>
      <c r="D4635">
        <v>85</v>
      </c>
      <c r="E4635">
        <v>2020</v>
      </c>
      <c r="F4635" s="9" t="s">
        <v>3944</v>
      </c>
      <c r="H4635" s="20" t="str">
        <f t="shared" si="72"/>
        <v>(nextval('obj_part_id_seq'), (select id from obj_building_v where zip||'|'||street||'|'||name||'|'||volume = '8556|Kirchstrasse 12a|Turnhallengebäude Sekundarschule|4933.00'), 'P58', 8, 85, 2020,'Decke: Holztäfer\nBoden: veralteter Turnhallenboden wurde tw. geflickt,\nWand: KS-Wände im Geräteraum, Beton in der Turnhalle, mangelhafte Fugen in der Frauengarderobe, Schimmelpilzbildung bei Duschen'),</v>
      </c>
    </row>
    <row r="4636" spans="1:8" x14ac:dyDescent="0.25">
      <c r="A4636" s="9" t="s">
        <v>3936</v>
      </c>
      <c r="B4636" s="9" t="s">
        <v>1142</v>
      </c>
      <c r="C4636">
        <v>0</v>
      </c>
      <c r="D4636" t="s">
        <v>4080</v>
      </c>
      <c r="E4636">
        <v>2020</v>
      </c>
      <c r="F4636" s="9"/>
      <c r="H4636" s="20" t="str">
        <f t="shared" si="72"/>
        <v>(nextval('obj_part_id_seq'), (select id from obj_building_v where zip||'|'||street||'|'||name||'|'||volume = '8556|Kirchstrasse 12a|Turnhallengebäude Sekundarschule|4933.00'), 'P60', 0, null, 2020,null),</v>
      </c>
    </row>
    <row r="4637" spans="1:8" x14ac:dyDescent="0.25">
      <c r="A4637" s="9" t="s">
        <v>3936</v>
      </c>
      <c r="B4637" s="9" t="s">
        <v>1143</v>
      </c>
      <c r="C4637">
        <v>3</v>
      </c>
      <c r="D4637">
        <v>90</v>
      </c>
      <c r="E4637">
        <v>2020</v>
      </c>
      <c r="F4637" s="9" t="s">
        <v>3945</v>
      </c>
      <c r="H4637" s="20" t="str">
        <f t="shared" si="72"/>
        <v>(nextval('obj_part_id_seq'), (select id from obj_building_v where zip||'|'||street||'|'||name||'|'||volume = '8556|Kirchstrasse 12a|Turnhallengebäude Sekundarschule|4933.00'), 'P61', 3, 90, 2020,'Turnhallen Lüftung, Lüftung musste ca. vor 1 Jahr ersetzt werden'),</v>
      </c>
    </row>
    <row r="4638" spans="1:8" x14ac:dyDescent="0.25">
      <c r="A4638" s="9" t="s">
        <v>3936</v>
      </c>
      <c r="B4638" s="9" t="s">
        <v>1144</v>
      </c>
      <c r="C4638">
        <v>0</v>
      </c>
      <c r="D4638" t="s">
        <v>4080</v>
      </c>
      <c r="E4638">
        <v>2020</v>
      </c>
      <c r="F4638" s="9"/>
      <c r="H4638" s="20" t="str">
        <f t="shared" si="72"/>
        <v>(nextval('obj_part_id_seq'), (select id from obj_building_v where zip||'|'||street||'|'||name||'|'||volume = '8556|Kirchstrasse 12a|Turnhallengebäude Sekundarschule|4933.00'), 'P62', 0, null, 2020,null),</v>
      </c>
    </row>
    <row r="4639" spans="1:8" x14ac:dyDescent="0.25">
      <c r="A4639" s="9" t="s">
        <v>3946</v>
      </c>
      <c r="B4639" s="9" t="s">
        <v>1127</v>
      </c>
      <c r="C4639">
        <v>35</v>
      </c>
      <c r="D4639">
        <v>90</v>
      </c>
      <c r="E4639">
        <v>2019</v>
      </c>
      <c r="F4639" s="9" t="s">
        <v>1369</v>
      </c>
      <c r="H4639" s="20" t="str">
        <f t="shared" si="72"/>
        <v>(nextval('obj_part_id_seq'), (select id from obj_building_v where zip||'|'||street||'|'||name||'|'||volume = '4303|Kirchgasse 19|Alterswohnungen 6 Stk. inkl. Bürgerkeller|3172.00'), 'P48', 35, 90, 2019,'Stahlbeton, Mauerwerk'),</v>
      </c>
    </row>
    <row r="4640" spans="1:8" x14ac:dyDescent="0.25">
      <c r="A4640" s="9" t="s">
        <v>3946</v>
      </c>
      <c r="B4640" s="9" t="s">
        <v>1129</v>
      </c>
      <c r="C4640">
        <v>0</v>
      </c>
      <c r="D4640" t="s">
        <v>4080</v>
      </c>
      <c r="E4640">
        <v>2019</v>
      </c>
      <c r="F4640" s="9"/>
      <c r="H4640" s="20" t="str">
        <f t="shared" si="72"/>
        <v>(nextval('obj_part_id_seq'), (select id from obj_building_v where zip||'|'||street||'|'||name||'|'||volume = '4303|Kirchgasse 19|Alterswohnungen 6 Stk. inkl. Bürgerkeller|3172.00'), 'P49', 0, null, 2019,null),</v>
      </c>
    </row>
    <row r="4641" spans="1:8" x14ac:dyDescent="0.25">
      <c r="A4641" s="9" t="s">
        <v>3946</v>
      </c>
      <c r="B4641" s="9" t="s">
        <v>1097</v>
      </c>
      <c r="C4641">
        <v>8</v>
      </c>
      <c r="D4641">
        <v>90</v>
      </c>
      <c r="E4641">
        <v>2019</v>
      </c>
      <c r="F4641" s="9" t="s">
        <v>1490</v>
      </c>
      <c r="H4641" s="20" t="str">
        <f t="shared" si="72"/>
        <v>(nextval('obj_part_id_seq'), (select id from obj_building_v where zip||'|'||street||'|'||name||'|'||volume = '4303|Kirchgasse 19|Alterswohnungen 6 Stk. inkl. Bürgerkeller|3172.00'), 'P2', 8, 90, 2019,'Falzziegeldach'),</v>
      </c>
    </row>
    <row r="4642" spans="1:8" x14ac:dyDescent="0.25">
      <c r="A4642" s="9" t="s">
        <v>3946</v>
      </c>
      <c r="B4642" s="9" t="s">
        <v>1099</v>
      </c>
      <c r="C4642">
        <v>0</v>
      </c>
      <c r="D4642" t="s">
        <v>4080</v>
      </c>
      <c r="E4642">
        <v>2019</v>
      </c>
      <c r="F4642" s="9"/>
      <c r="H4642" s="20" t="str">
        <f t="shared" si="72"/>
        <v>(nextval('obj_part_id_seq'), (select id from obj_building_v where zip||'|'||street||'|'||name||'|'||volume = '4303|Kirchgasse 19|Alterswohnungen 6 Stk. inkl. Bürgerkeller|3172.00'), 'P3', 0, null, 2019,null),</v>
      </c>
    </row>
    <row r="4643" spans="1:8" x14ac:dyDescent="0.25">
      <c r="A4643" s="9" t="s">
        <v>3946</v>
      </c>
      <c r="B4643" s="9" t="s">
        <v>1100</v>
      </c>
      <c r="C4643">
        <v>8</v>
      </c>
      <c r="D4643">
        <v>80</v>
      </c>
      <c r="E4643">
        <v>2019</v>
      </c>
      <c r="F4643" s="9" t="s">
        <v>3947</v>
      </c>
      <c r="H4643" s="20" t="str">
        <f t="shared" si="72"/>
        <v>(nextval('obj_part_id_seq'), (select id from obj_building_v where zip||'|'||street||'|'||name||'|'||volume = '4303|Kirchgasse 19|Alterswohnungen 6 Stk. inkl. Bürgerkeller|3172.00'), 'P4', 8, 80, 2019,'Mauerwerk verputzt, mit Sandsteingewänden beim älteren Hausteil, Fassade des neueren Hausteils auf der Flussseite verwittert, Laubergänge mit Holzgeländer, Balkon mit Metallgeländer, Anbau im EG aus Holz mit Blechdach'),</v>
      </c>
    </row>
    <row r="4644" spans="1:8" x14ac:dyDescent="0.25">
      <c r="A4644" s="9" t="s">
        <v>3946</v>
      </c>
      <c r="B4644" s="9" t="s">
        <v>1102</v>
      </c>
      <c r="C4644">
        <v>12</v>
      </c>
      <c r="D4644">
        <v>80</v>
      </c>
      <c r="E4644">
        <v>2019</v>
      </c>
      <c r="F4644" s="9" t="s">
        <v>3948</v>
      </c>
      <c r="H4644" s="20" t="str">
        <f t="shared" si="72"/>
        <v>(nextval('obj_part_id_seq'), (select id from obj_building_v where zip||'|'||street||'|'||name||'|'||volume = '4303|Kirchgasse 19|Alterswohnungen 6 Stk. inkl. Bürgerkeller|3172.00'), 'P5', 12, 80, 2019,'Alte Holzfenster mit Holzläden, Rollläden beim neueren Hausteil, Haustüre ist gem. HW dicht, Tor zum Bürgerkeller aus Holz'),</v>
      </c>
    </row>
    <row r="4645" spans="1:8" x14ac:dyDescent="0.25">
      <c r="A4645" s="9" t="s">
        <v>3946</v>
      </c>
      <c r="B4645" s="9" t="s">
        <v>1110</v>
      </c>
      <c r="C4645">
        <v>4</v>
      </c>
      <c r="D4645">
        <v>90</v>
      </c>
      <c r="E4645">
        <v>2019</v>
      </c>
      <c r="F4645" s="9" t="s">
        <v>3949</v>
      </c>
      <c r="H4645" s="20" t="str">
        <f t="shared" si="72"/>
        <v>(nextval('obj_part_id_seq'), (select id from obj_building_v where zip||'|'||street||'|'||name||'|'||volume = '4303|Kirchgasse 19|Alterswohnungen 6 Stk. inkl. Bürgerkeller|3172.00'), 'P9', 4, 90, 2019,'Alte Sicherungen vorh., Aussen- und tw. Innenbeleuchtungen'),</v>
      </c>
    </row>
    <row r="4646" spans="1:8" x14ac:dyDescent="0.25">
      <c r="A4646" s="9" t="s">
        <v>3946</v>
      </c>
      <c r="B4646" s="9" t="s">
        <v>1104</v>
      </c>
      <c r="C4646">
        <v>2</v>
      </c>
      <c r="D4646">
        <v>85</v>
      </c>
      <c r="E4646">
        <v>2019</v>
      </c>
      <c r="F4646" s="9" t="s">
        <v>3950</v>
      </c>
      <c r="H4646" s="20" t="str">
        <f t="shared" si="72"/>
        <v>(nextval('obj_part_id_seq'), (select id from obj_building_v where zip||'|'||street||'|'||name||'|'||volume = '4303|Kirchgasse 19|Alterswohnungen 6 Stk. inkl. Bürgerkeller|3172.00'), 'P6', 2, 85, 2019,'Oelheizung (11.1990), WW-Boiler'),</v>
      </c>
    </row>
    <row r="4647" spans="1:8" x14ac:dyDescent="0.25">
      <c r="A4647" s="9" t="s">
        <v>3946</v>
      </c>
      <c r="B4647" s="9" t="s">
        <v>1106</v>
      </c>
      <c r="C4647">
        <v>3</v>
      </c>
      <c r="D4647">
        <v>90</v>
      </c>
      <c r="E4647">
        <v>2019</v>
      </c>
      <c r="F4647" s="9" t="s">
        <v>3951</v>
      </c>
      <c r="H4647" s="20" t="str">
        <f t="shared" si="72"/>
        <v>(nextval('obj_part_id_seq'), (select id from obj_building_v where zip||'|'||street||'|'||name||'|'||volume = '4303|Kirchgasse 19|Alterswohnungen 6 Stk. inkl. Bürgerkeller|3172.00'), 'P7', 3, 90, 2019,'Radiatoren mit Thermostaten,  im Keller: Radiatoren ohne Thermostaten, Bodenheizung im Bürgerkeller'),</v>
      </c>
    </row>
    <row r="4648" spans="1:8" x14ac:dyDescent="0.25">
      <c r="A4648" s="9" t="s">
        <v>3946</v>
      </c>
      <c r="B4648" s="9" t="s">
        <v>1135</v>
      </c>
      <c r="C4648">
        <v>3</v>
      </c>
      <c r="D4648">
        <v>90</v>
      </c>
      <c r="E4648">
        <v>2019</v>
      </c>
      <c r="F4648" s="9" t="s">
        <v>3952</v>
      </c>
      <c r="H4648" s="20" t="str">
        <f t="shared" si="72"/>
        <v>(nextval('obj_part_id_seq'), (select id from obj_building_v where zip||'|'||street||'|'||name||'|'||volume = '4303|Kirchgasse 19|Alterswohnungen 6 Stk. inkl. Bürgerkeller|3172.00'), 'P54', 3, 90, 2019,'Zeitgemässe Apparate und Armaturen, Waschmaschinen, Wäschetrockner'),</v>
      </c>
    </row>
    <row r="4649" spans="1:8" x14ac:dyDescent="0.25">
      <c r="A4649" s="9" t="s">
        <v>3946</v>
      </c>
      <c r="B4649" s="9" t="s">
        <v>1137</v>
      </c>
      <c r="C4649">
        <v>4</v>
      </c>
      <c r="D4649">
        <v>90</v>
      </c>
      <c r="E4649">
        <v>2019</v>
      </c>
      <c r="F4649" s="9" t="s">
        <v>3953</v>
      </c>
      <c r="H4649" s="20" t="str">
        <f t="shared" si="72"/>
        <v>(nextval('obj_part_id_seq'), (select id from obj_building_v where zip||'|'||street||'|'||name||'|'||volume = '4303|Kirchgasse 19|Alterswohnungen 6 Stk. inkl. Bürgerkeller|3172.00'), 'P55', 4, 90, 2019,'Leitungen wurden tw. ersetzt (tw. Chromstahl), kein Rost, genügend Druck vorhanden'),</v>
      </c>
    </row>
    <row r="4650" spans="1:8" x14ac:dyDescent="0.25">
      <c r="A4650" s="9" t="s">
        <v>3946</v>
      </c>
      <c r="B4650" s="9" t="s">
        <v>1155</v>
      </c>
      <c r="C4650">
        <v>0</v>
      </c>
      <c r="D4650" t="s">
        <v>4080</v>
      </c>
      <c r="E4650">
        <v>2019</v>
      </c>
      <c r="F4650" s="9"/>
      <c r="H4650" s="20" t="str">
        <f t="shared" si="72"/>
        <v>(nextval('obj_part_id_seq'), (select id from obj_building_v where zip||'|'||street||'|'||name||'|'||volume = '4303|Kirchgasse 19|Alterswohnungen 6 Stk. inkl. Bürgerkeller|3172.00'), 'P56', 0, null, 2019,null),</v>
      </c>
    </row>
    <row r="4651" spans="1:8" x14ac:dyDescent="0.25">
      <c r="A4651" s="9" t="s">
        <v>3946</v>
      </c>
      <c r="B4651" s="9" t="s">
        <v>1138</v>
      </c>
      <c r="C4651">
        <v>9</v>
      </c>
      <c r="D4651">
        <v>90</v>
      </c>
      <c r="E4651">
        <v>2019</v>
      </c>
      <c r="F4651" s="9" t="s">
        <v>3954</v>
      </c>
      <c r="H4651" s="20" t="str">
        <f t="shared" si="72"/>
        <v>(nextval('obj_part_id_seq'), (select id from obj_building_v where zip||'|'||street||'|'||name||'|'||volume = '4303|Kirchgasse 19|Alterswohnungen 6 Stk. inkl. Bürgerkeller|3172.00'), 'P57', 9, 90, 2019,'Innnentüren, Treppengeländer (h &lt; 1.0m), Trennwände aus Holz im Estrich'),</v>
      </c>
    </row>
    <row r="4652" spans="1:8" x14ac:dyDescent="0.25">
      <c r="A4652" s="9" t="s">
        <v>3946</v>
      </c>
      <c r="B4652" s="9" t="s">
        <v>1140</v>
      </c>
      <c r="C4652">
        <v>8</v>
      </c>
      <c r="D4652">
        <v>85</v>
      </c>
      <c r="E4652">
        <v>2019</v>
      </c>
      <c r="F4652" s="9" t="s">
        <v>3955</v>
      </c>
      <c r="H4652" s="20" t="str">
        <f t="shared" si="72"/>
        <v>(nextval('obj_part_id_seq'), (select id from obj_building_v where zip||'|'||street||'|'||name||'|'||volume = '4303|Kirchgasse 19|Alterswohnungen 6 Stk. inkl. Bürgerkeller|3172.00'), 'P58', 8, 85, 2019,'Boden: Holz, Kunststein, Keramik, Anstrich (Waschküche),  Decke: Abrieb, gestrichen, Akustikdecke im Bürgerkeller, Wand: Abrieb, gestrichen, Keramik, Holz'),</v>
      </c>
    </row>
    <row r="4653" spans="1:8" x14ac:dyDescent="0.25">
      <c r="A4653" s="9" t="s">
        <v>3946</v>
      </c>
      <c r="B4653" s="9" t="s">
        <v>1157</v>
      </c>
      <c r="C4653">
        <v>4</v>
      </c>
      <c r="D4653">
        <v>90</v>
      </c>
      <c r="E4653">
        <v>2019</v>
      </c>
      <c r="F4653" s="9" t="s">
        <v>3956</v>
      </c>
      <c r="H4653" s="20" t="str">
        <f t="shared" si="72"/>
        <v>(nextval('obj_part_id_seq'), (select id from obj_building_v where zip||'|'||street||'|'||name||'|'||volume = '4303|Kirchgasse 19|Alterswohnungen 6 Stk. inkl. Bürgerkeller|3172.00'), 'P59', 4, 90, 2019,'Gewerbliche Küche mit Geschirrspüler im Bürgerkeller'),</v>
      </c>
    </row>
    <row r="4654" spans="1:8" x14ac:dyDescent="0.25">
      <c r="A4654" s="9" t="s">
        <v>3946</v>
      </c>
      <c r="B4654" s="9" t="s">
        <v>1142</v>
      </c>
      <c r="C4654">
        <v>0</v>
      </c>
      <c r="D4654" t="s">
        <v>4080</v>
      </c>
      <c r="E4654">
        <v>2019</v>
      </c>
      <c r="F4654" s="9"/>
      <c r="H4654" s="20" t="str">
        <f t="shared" si="72"/>
        <v>(nextval('obj_part_id_seq'), (select id from obj_building_v where zip||'|'||street||'|'||name||'|'||volume = '4303|Kirchgasse 19|Alterswohnungen 6 Stk. inkl. Bürgerkeller|3172.00'), 'P60', 0, null, 2019,null),</v>
      </c>
    </row>
    <row r="4655" spans="1:8" x14ac:dyDescent="0.25">
      <c r="A4655" s="9" t="s">
        <v>3946</v>
      </c>
      <c r="B4655" s="9" t="s">
        <v>1143</v>
      </c>
      <c r="C4655">
        <v>0</v>
      </c>
      <c r="D4655" t="s">
        <v>4080</v>
      </c>
      <c r="E4655">
        <v>2019</v>
      </c>
      <c r="F4655" s="9"/>
      <c r="H4655" s="20" t="str">
        <f t="shared" si="72"/>
        <v>(nextval('obj_part_id_seq'), (select id from obj_building_v where zip||'|'||street||'|'||name||'|'||volume = '4303|Kirchgasse 19|Alterswohnungen 6 Stk. inkl. Bürgerkeller|3172.00'), 'P61', 0, null, 2019,null),</v>
      </c>
    </row>
    <row r="4656" spans="1:8" x14ac:dyDescent="0.25">
      <c r="A4656" s="9" t="s">
        <v>3946</v>
      </c>
      <c r="B4656" s="9" t="s">
        <v>1144</v>
      </c>
      <c r="C4656">
        <v>0</v>
      </c>
      <c r="D4656" t="s">
        <v>4080</v>
      </c>
      <c r="E4656">
        <v>2019</v>
      </c>
      <c r="F4656" s="9"/>
      <c r="H4656" s="20" t="str">
        <f t="shared" si="72"/>
        <v>(nextval('obj_part_id_seq'), (select id from obj_building_v where zip||'|'||street||'|'||name||'|'||volume = '4303|Kirchgasse 19|Alterswohnungen 6 Stk. inkl. Bürgerkeller|3172.00'), 'P62', 0, null, 2019,null),</v>
      </c>
    </row>
    <row r="4657" spans="1:8" x14ac:dyDescent="0.25">
      <c r="A4657" s="9" t="s">
        <v>3957</v>
      </c>
      <c r="B4657" s="9" t="s">
        <v>1127</v>
      </c>
      <c r="C4657">
        <v>51</v>
      </c>
      <c r="D4657">
        <v>85</v>
      </c>
      <c r="E4657">
        <v>2019</v>
      </c>
      <c r="F4657" s="9" t="s">
        <v>3958</v>
      </c>
      <c r="H4657" s="20" t="str">
        <f t="shared" si="72"/>
        <v>(nextval('obj_part_id_seq'), (select id from obj_building_v where zip||'|'||street||'|'||name||'|'||volume = '4303|Strandbad|Materialraum|90.00'), 'P48', 51, 85, 2019,'MW, Sockel und eine Wand: Beton, Stahlträger'),</v>
      </c>
    </row>
    <row r="4658" spans="1:8" x14ac:dyDescent="0.25">
      <c r="A4658" s="9" t="s">
        <v>3957</v>
      </c>
      <c r="B4658" s="9" t="s">
        <v>1129</v>
      </c>
      <c r="C4658">
        <v>0</v>
      </c>
      <c r="D4658" t="s">
        <v>4080</v>
      </c>
      <c r="E4658">
        <v>2019</v>
      </c>
      <c r="F4658" s="9"/>
      <c r="H4658" s="20" t="str">
        <f t="shared" si="72"/>
        <v>(nextval('obj_part_id_seq'), (select id from obj_building_v where zip||'|'||street||'|'||name||'|'||volume = '4303|Strandbad|Materialraum|90.00'), 'P49', 0, null, 2019,null),</v>
      </c>
    </row>
    <row r="4659" spans="1:8" x14ac:dyDescent="0.25">
      <c r="A4659" s="9" t="s">
        <v>3957</v>
      </c>
      <c r="B4659" s="9" t="s">
        <v>1097</v>
      </c>
      <c r="C4659">
        <v>12</v>
      </c>
      <c r="D4659">
        <v>80</v>
      </c>
      <c r="E4659">
        <v>2019</v>
      </c>
      <c r="F4659" s="9" t="s">
        <v>3959</v>
      </c>
      <c r="H4659" s="20" t="str">
        <f t="shared" si="72"/>
        <v>(nextval('obj_part_id_seq'), (select id from obj_building_v where zip||'|'||street||'|'||name||'|'||volume = '4303|Strandbad|Materialraum|90.00'), 'P2', 12, 80, 2019,'Eternitschindeldach, vermoost'),</v>
      </c>
    </row>
    <row r="4660" spans="1:8" x14ac:dyDescent="0.25">
      <c r="A4660" s="9" t="s">
        <v>3957</v>
      </c>
      <c r="B4660" s="9" t="s">
        <v>1099</v>
      </c>
      <c r="C4660">
        <v>0</v>
      </c>
      <c r="D4660" t="s">
        <v>4080</v>
      </c>
      <c r="E4660">
        <v>2019</v>
      </c>
      <c r="F4660" s="9"/>
      <c r="H4660" s="20" t="str">
        <f t="shared" si="72"/>
        <v>(nextval('obj_part_id_seq'), (select id from obj_building_v where zip||'|'||street||'|'||name||'|'||volume = '4303|Strandbad|Materialraum|90.00'), 'P3', 0, null, 2019,null),</v>
      </c>
    </row>
    <row r="4661" spans="1:8" x14ac:dyDescent="0.25">
      <c r="A4661" s="9" t="s">
        <v>3957</v>
      </c>
      <c r="B4661" s="9" t="s">
        <v>1100</v>
      </c>
      <c r="C4661">
        <v>15</v>
      </c>
      <c r="D4661">
        <v>85</v>
      </c>
      <c r="E4661">
        <v>2019</v>
      </c>
      <c r="F4661" s="9" t="s">
        <v>3960</v>
      </c>
      <c r="H4661" s="20" t="str">
        <f t="shared" si="72"/>
        <v>(nextval('obj_part_id_seq'), (select id from obj_building_v where zip||'|'||street||'|'||name||'|'||volume = '4303|Strandbad|Materialraum|90.00'), 'P4', 15, 85, 2019,'Mauerwerk, verputzt, Fensterbänke aus Holz'),</v>
      </c>
    </row>
    <row r="4662" spans="1:8" x14ac:dyDescent="0.25">
      <c r="A4662" s="9" t="s">
        <v>3957</v>
      </c>
      <c r="B4662" s="9" t="s">
        <v>1102</v>
      </c>
      <c r="C4662">
        <v>11</v>
      </c>
      <c r="D4662">
        <v>80</v>
      </c>
      <c r="E4662">
        <v>2019</v>
      </c>
      <c r="F4662" s="9" t="s">
        <v>3961</v>
      </c>
      <c r="H4662" s="20" t="str">
        <f t="shared" si="72"/>
        <v>(nextval('obj_part_id_seq'), (select id from obj_building_v where zip||'|'||street||'|'||name||'|'||volume = '4303|Strandbad|Materialraum|90.00'), 'P5', 11, 80, 2019,'Holzfenster und Holztüren'),</v>
      </c>
    </row>
    <row r="4663" spans="1:8" x14ac:dyDescent="0.25">
      <c r="A4663" s="9" t="s">
        <v>3957</v>
      </c>
      <c r="B4663" s="9" t="s">
        <v>1110</v>
      </c>
      <c r="C4663">
        <v>7</v>
      </c>
      <c r="D4663">
        <v>90</v>
      </c>
      <c r="E4663">
        <v>2019</v>
      </c>
      <c r="F4663" s="9" t="s">
        <v>3962</v>
      </c>
      <c r="H4663" s="20" t="str">
        <f t="shared" si="72"/>
        <v>(nextval('obj_part_id_seq'), (select id from obj_building_v where zip||'|'||street||'|'||name||'|'||volume = '4303|Strandbad|Materialraum|90.00'), 'P9', 7, 90, 2019,'Belechtung'),</v>
      </c>
    </row>
    <row r="4664" spans="1:8" x14ac:dyDescent="0.25">
      <c r="A4664" s="9" t="s">
        <v>3957</v>
      </c>
      <c r="B4664" s="9" t="s">
        <v>1104</v>
      </c>
      <c r="C4664">
        <v>0</v>
      </c>
      <c r="D4664" t="s">
        <v>4080</v>
      </c>
      <c r="E4664">
        <v>2019</v>
      </c>
      <c r="F4664" s="9"/>
      <c r="H4664" s="20" t="str">
        <f t="shared" si="72"/>
        <v>(nextval('obj_part_id_seq'), (select id from obj_building_v where zip||'|'||street||'|'||name||'|'||volume = '4303|Strandbad|Materialraum|90.00'), 'P6', 0, null, 2019,null),</v>
      </c>
    </row>
    <row r="4665" spans="1:8" x14ac:dyDescent="0.25">
      <c r="A4665" s="9" t="s">
        <v>3957</v>
      </c>
      <c r="B4665" s="9" t="s">
        <v>1106</v>
      </c>
      <c r="C4665">
        <v>0</v>
      </c>
      <c r="D4665" t="s">
        <v>4080</v>
      </c>
      <c r="E4665">
        <v>2019</v>
      </c>
      <c r="F4665" s="9"/>
      <c r="H4665" s="20" t="str">
        <f t="shared" si="72"/>
        <v>(nextval('obj_part_id_seq'), (select id from obj_building_v where zip||'|'||street||'|'||name||'|'||volume = '4303|Strandbad|Materialraum|90.00'), 'P7', 0, null, 2019,null),</v>
      </c>
    </row>
    <row r="4666" spans="1:8" x14ac:dyDescent="0.25">
      <c r="A4666" s="9" t="s">
        <v>3957</v>
      </c>
      <c r="B4666" s="9" t="s">
        <v>1108</v>
      </c>
      <c r="C4666">
        <v>0</v>
      </c>
      <c r="D4666" t="s">
        <v>4080</v>
      </c>
      <c r="E4666">
        <v>2019</v>
      </c>
      <c r="F4666" s="9"/>
      <c r="H4666" s="20" t="str">
        <f t="shared" si="72"/>
        <v>(nextval('obj_part_id_seq'), (select id from obj_building_v where zip||'|'||street||'|'||name||'|'||volume = '4303|Strandbad|Materialraum|90.00'), 'P8', 0, null, 2019,null),</v>
      </c>
    </row>
    <row r="4667" spans="1:8" x14ac:dyDescent="0.25">
      <c r="A4667" s="9" t="s">
        <v>3957</v>
      </c>
      <c r="B4667" s="9" t="s">
        <v>1155</v>
      </c>
      <c r="C4667">
        <v>0</v>
      </c>
      <c r="D4667" t="s">
        <v>4080</v>
      </c>
      <c r="E4667">
        <v>2019</v>
      </c>
      <c r="F4667" s="9"/>
      <c r="H4667" s="20" t="str">
        <f t="shared" si="72"/>
        <v>(nextval('obj_part_id_seq'), (select id from obj_building_v where zip||'|'||street||'|'||name||'|'||volume = '4303|Strandbad|Materialraum|90.00'), 'P56', 0, null, 2019,null),</v>
      </c>
    </row>
    <row r="4668" spans="1:8" x14ac:dyDescent="0.25">
      <c r="A4668" s="9" t="s">
        <v>3957</v>
      </c>
      <c r="B4668" s="9" t="s">
        <v>1138</v>
      </c>
      <c r="C4668">
        <v>0</v>
      </c>
      <c r="D4668" t="s">
        <v>4080</v>
      </c>
      <c r="E4668">
        <v>2019</v>
      </c>
      <c r="F4668" s="9"/>
      <c r="H4668" s="20" t="str">
        <f t="shared" si="72"/>
        <v>(nextval('obj_part_id_seq'), (select id from obj_building_v where zip||'|'||street||'|'||name||'|'||volume = '4303|Strandbad|Materialraum|90.00'), 'P57', 0, null, 2019,null),</v>
      </c>
    </row>
    <row r="4669" spans="1:8" x14ac:dyDescent="0.25">
      <c r="A4669" s="9" t="s">
        <v>3957</v>
      </c>
      <c r="B4669" s="9" t="s">
        <v>1140</v>
      </c>
      <c r="C4669">
        <v>4</v>
      </c>
      <c r="D4669">
        <v>80</v>
      </c>
      <c r="E4669">
        <v>2019</v>
      </c>
      <c r="F4669" s="9" t="s">
        <v>3963</v>
      </c>
      <c r="H4669" s="20" t="str">
        <f t="shared" si="72"/>
        <v>(nextval('obj_part_id_seq'), (select id from obj_building_v where zip||'|'||street||'|'||name||'|'||volume = '4303|Strandbad|Materialraum|90.00'), 'P58', 4, 80, 2019,'B: Beton, W: KS und Beton roh'),</v>
      </c>
    </row>
    <row r="4670" spans="1:8" x14ac:dyDescent="0.25">
      <c r="A4670" s="9" t="s">
        <v>3957</v>
      </c>
      <c r="B4670" s="9" t="s">
        <v>1142</v>
      </c>
      <c r="C4670">
        <v>0</v>
      </c>
      <c r="D4670" t="s">
        <v>4080</v>
      </c>
      <c r="E4670">
        <v>2019</v>
      </c>
      <c r="F4670" s="9"/>
      <c r="H4670" s="20" t="str">
        <f t="shared" si="72"/>
        <v>(nextval('obj_part_id_seq'), (select id from obj_building_v where zip||'|'||street||'|'||name||'|'||volume = '4303|Strandbad|Materialraum|90.00'), 'P60', 0, null, 2019,null),</v>
      </c>
    </row>
    <row r="4671" spans="1:8" x14ac:dyDescent="0.25">
      <c r="A4671" s="9" t="s">
        <v>3957</v>
      </c>
      <c r="B4671" s="9" t="s">
        <v>1143</v>
      </c>
      <c r="C4671">
        <v>0</v>
      </c>
      <c r="D4671" t="s">
        <v>4080</v>
      </c>
      <c r="E4671">
        <v>2019</v>
      </c>
      <c r="F4671" s="9"/>
      <c r="H4671" s="20" t="str">
        <f t="shared" si="72"/>
        <v>(nextval('obj_part_id_seq'), (select id from obj_building_v where zip||'|'||street||'|'||name||'|'||volume = '4303|Strandbad|Materialraum|90.00'), 'P61', 0, null, 2019,null),</v>
      </c>
    </row>
    <row r="4672" spans="1:8" x14ac:dyDescent="0.25">
      <c r="A4672" s="9" t="s">
        <v>3957</v>
      </c>
      <c r="B4672" s="9" t="s">
        <v>1144</v>
      </c>
      <c r="C4672">
        <v>0</v>
      </c>
      <c r="D4672" t="s">
        <v>4080</v>
      </c>
      <c r="E4672">
        <v>2019</v>
      </c>
      <c r="F4672" s="9"/>
      <c r="H4672" s="20" t="str">
        <f t="shared" si="72"/>
        <v>(nextval('obj_part_id_seq'), (select id from obj_building_v where zip||'|'||street||'|'||name||'|'||volume = '4303|Strandbad|Materialraum|90.00'), 'P62', 0, null, 2019,null),</v>
      </c>
    </row>
    <row r="4673" spans="1:8" x14ac:dyDescent="0.25">
      <c r="A4673" s="9" t="s">
        <v>3964</v>
      </c>
      <c r="B4673" s="9" t="s">
        <v>1127</v>
      </c>
      <c r="C4673">
        <v>37</v>
      </c>
      <c r="D4673">
        <v>80</v>
      </c>
      <c r="E4673">
        <v>2020</v>
      </c>
      <c r="F4673" s="9"/>
      <c r="H4673" s="20" t="str">
        <f t="shared" si="72"/>
        <v>(nextval('obj_part_id_seq'), (select id from obj_building_v where zip||'|'||street||'|'||name||'|'||volume = '8556|Kirchstrasse 10|Wohnhaus &amp; Garage|697.00'), 'P48', 37, 80, 2020,null),</v>
      </c>
    </row>
    <row r="4674" spans="1:8" x14ac:dyDescent="0.25">
      <c r="A4674" s="9" t="s">
        <v>3964</v>
      </c>
      <c r="B4674" s="9" t="s">
        <v>1129</v>
      </c>
      <c r="C4674">
        <v>0</v>
      </c>
      <c r="D4674" t="s">
        <v>4080</v>
      </c>
      <c r="E4674">
        <v>2020</v>
      </c>
      <c r="F4674" s="9"/>
      <c r="H4674" s="20" t="str">
        <f t="shared" si="72"/>
        <v>(nextval('obj_part_id_seq'), (select id from obj_building_v where zip||'|'||street||'|'||name||'|'||volume = '8556|Kirchstrasse 10|Wohnhaus &amp; Garage|697.00'), 'P49', 0, null, 2020,null),</v>
      </c>
    </row>
    <row r="4675" spans="1:8" x14ac:dyDescent="0.25">
      <c r="A4675" s="9" t="s">
        <v>3964</v>
      </c>
      <c r="B4675" s="9" t="s">
        <v>1097</v>
      </c>
      <c r="C4675">
        <v>8</v>
      </c>
      <c r="D4675">
        <v>85</v>
      </c>
      <c r="E4675">
        <v>2020</v>
      </c>
      <c r="F4675" s="9" t="s">
        <v>3965</v>
      </c>
      <c r="H4675" s="20" t="str">
        <f t="shared" si="72"/>
        <v>(nextval('obj_part_id_seq'), (select id from obj_building_v where zip||'|'||street||'|'||name||'|'||volume = '8556|Kirchstrasse 10|Wohnhaus &amp; Garage|697.00'), 'P2', 8, 85, 2020,'Falzziegeldach, hinterlüftet, tw. isoliert'),</v>
      </c>
    </row>
    <row r="4676" spans="1:8" x14ac:dyDescent="0.25">
      <c r="A4676" s="9" t="s">
        <v>3964</v>
      </c>
      <c r="B4676" s="9" t="s">
        <v>1099</v>
      </c>
      <c r="C4676">
        <v>0</v>
      </c>
      <c r="D4676" t="s">
        <v>4080</v>
      </c>
      <c r="E4676">
        <v>2020</v>
      </c>
      <c r="F4676" s="9"/>
      <c r="H4676" s="20" t="str">
        <f t="shared" si="72"/>
        <v>(nextval('obj_part_id_seq'), (select id from obj_building_v where zip||'|'||street||'|'||name||'|'||volume = '8556|Kirchstrasse 10|Wohnhaus &amp; Garage|697.00'), 'P3', 0, null, 2020,null),</v>
      </c>
    </row>
    <row r="4677" spans="1:8" x14ac:dyDescent="0.25">
      <c r="A4677" s="9" t="s">
        <v>3964</v>
      </c>
      <c r="B4677" s="9" t="s">
        <v>1100</v>
      </c>
      <c r="C4677">
        <v>7</v>
      </c>
      <c r="D4677">
        <v>85</v>
      </c>
      <c r="E4677">
        <v>2020</v>
      </c>
      <c r="F4677" s="9" t="s">
        <v>1716</v>
      </c>
      <c r="H4677" s="20" t="str">
        <f t="shared" ref="H4677:H4740" si="73">"(nextval('obj_part_id_seq'), (select id from obj_building_v where zip||'|'||street||'|'||name||'|'||volume = '"&amp;A4677&amp;"'), '"&amp;B4677&amp;"', "&amp;C4677&amp;", "&amp;D4677&amp;", "&amp;IF(ISBLANK(E4677),"null",E4677)&amp;","&amp;IF(ISBLANK(F4677),"null","'"&amp;F4677&amp;"'")&amp;"),"</f>
        <v>(nextval('obj_part_id_seq'), (select id from obj_building_v where zip||'|'||street||'|'||name||'|'||volume = '8556|Kirchstrasse 10|Wohnhaus &amp; Garage|697.00'), 'P4', 7, 85, 2020,'Mauerwerk, verputzt'),</v>
      </c>
    </row>
    <row r="4678" spans="1:8" x14ac:dyDescent="0.25">
      <c r="A4678" s="9" t="s">
        <v>3964</v>
      </c>
      <c r="B4678" s="9" t="s">
        <v>1102</v>
      </c>
      <c r="C4678">
        <v>11</v>
      </c>
      <c r="D4678">
        <v>70</v>
      </c>
      <c r="E4678">
        <v>2020</v>
      </c>
      <c r="F4678" s="9" t="s">
        <v>3966</v>
      </c>
      <c r="H4678" s="20" t="str">
        <f t="shared" si="73"/>
        <v>(nextval('obj_part_id_seq'), (select id from obj_building_v where zip||'|'||street||'|'||name||'|'||volume = '8556|Kirchstrasse 10|Wohnhaus &amp; Garage|697.00'), 'P5', 11, 70, 2020,'Eingangstür aus Holz, Holzläden, IV-Verglasung ''87, tw. Metallgitter vor den Fenstern'),</v>
      </c>
    </row>
    <row r="4679" spans="1:8" x14ac:dyDescent="0.25">
      <c r="A4679" s="9" t="s">
        <v>3964</v>
      </c>
      <c r="B4679" s="9" t="s">
        <v>1110</v>
      </c>
      <c r="C4679">
        <v>4</v>
      </c>
      <c r="D4679">
        <v>85</v>
      </c>
      <c r="E4679">
        <v>2020</v>
      </c>
      <c r="F4679" s="9" t="s">
        <v>1218</v>
      </c>
      <c r="H4679" s="20" t="str">
        <f t="shared" si="73"/>
        <v>(nextval('obj_part_id_seq'), (select id from obj_building_v where zip||'|'||street||'|'||name||'|'||volume = '8556|Kirchstrasse 10|Wohnhaus &amp; Garage|697.00'), 'P9', 4, 85, 2020,'Keine Mängel bekannt'),</v>
      </c>
    </row>
    <row r="4680" spans="1:8" x14ac:dyDescent="0.25">
      <c r="A4680" s="9" t="s">
        <v>3964</v>
      </c>
      <c r="B4680" s="9" t="s">
        <v>1104</v>
      </c>
      <c r="C4680">
        <v>2</v>
      </c>
      <c r="D4680">
        <v>90</v>
      </c>
      <c r="E4680">
        <v>2020</v>
      </c>
      <c r="F4680" s="9" t="s">
        <v>3967</v>
      </c>
      <c r="H4680" s="20" t="str">
        <f t="shared" si="73"/>
        <v>(nextval('obj_part_id_seq'), (select id from obj_building_v where zip||'|'||street||'|'||name||'|'||volume = '8556|Kirchstrasse 10|Wohnhaus &amp; Garage|697.00'), 'P6', 2, 90, 2020,'Gasheizung ''17 und Cheminéeeofen, Secomat'),</v>
      </c>
    </row>
    <row r="4681" spans="1:8" x14ac:dyDescent="0.25">
      <c r="A4681" s="9" t="s">
        <v>3964</v>
      </c>
      <c r="B4681" s="9" t="s">
        <v>1106</v>
      </c>
      <c r="C4681">
        <v>3</v>
      </c>
      <c r="D4681">
        <v>85</v>
      </c>
      <c r="E4681">
        <v>2020</v>
      </c>
      <c r="F4681" s="9" t="s">
        <v>1107</v>
      </c>
      <c r="H4681" s="20" t="str">
        <f t="shared" si="73"/>
        <v>(nextval('obj_part_id_seq'), (select id from obj_building_v where zip||'|'||street||'|'||name||'|'||volume = '8556|Kirchstrasse 10|Wohnhaus &amp; Garage|697.00'), 'P7', 3, 85, 2020,'Radiatoren mit Thermostaten'),</v>
      </c>
    </row>
    <row r="4682" spans="1:8" x14ac:dyDescent="0.25">
      <c r="A4682" s="9" t="s">
        <v>3964</v>
      </c>
      <c r="B4682" s="9" t="s">
        <v>1135</v>
      </c>
      <c r="C4682">
        <v>3</v>
      </c>
      <c r="D4682">
        <v>80</v>
      </c>
      <c r="E4682">
        <v>2020</v>
      </c>
      <c r="F4682" s="9" t="s">
        <v>3968</v>
      </c>
      <c r="H4682" s="20" t="str">
        <f t="shared" si="73"/>
        <v>(nextval('obj_part_id_seq'), (select id from obj_building_v where zip||'|'||street||'|'||name||'|'||volume = '8556|Kirchstrasse 10|Wohnhaus &amp; Garage|697.00'), 'P54', 3, 80, 2020,'WC, Duschen, Waschmaschine'),</v>
      </c>
    </row>
    <row r="4683" spans="1:8" x14ac:dyDescent="0.25">
      <c r="A4683" s="9" t="s">
        <v>3964</v>
      </c>
      <c r="B4683" s="9" t="s">
        <v>1137</v>
      </c>
      <c r="C4683">
        <v>4</v>
      </c>
      <c r="D4683">
        <v>80</v>
      </c>
      <c r="E4683">
        <v>2020</v>
      </c>
      <c r="F4683" s="9" t="s">
        <v>3969</v>
      </c>
      <c r="H4683" s="20" t="str">
        <f t="shared" si="73"/>
        <v>(nextval('obj_part_id_seq'), (select id from obj_building_v where zip||'|'||street||'|'||name||'|'||volume = '8556|Kirchstrasse 10|Wohnhaus &amp; Garage|697.00'), 'P55', 4, 80, 2020,'tw. wenig Druck vorhanden'),</v>
      </c>
    </row>
    <row r="4684" spans="1:8" x14ac:dyDescent="0.25">
      <c r="A4684" s="9" t="s">
        <v>3964</v>
      </c>
      <c r="B4684" s="9" t="s">
        <v>1155</v>
      </c>
      <c r="C4684">
        <v>0</v>
      </c>
      <c r="D4684" t="s">
        <v>4080</v>
      </c>
      <c r="E4684">
        <v>2020</v>
      </c>
      <c r="F4684" s="9"/>
      <c r="H4684" s="20" t="str">
        <f t="shared" si="73"/>
        <v>(nextval('obj_part_id_seq'), (select id from obj_building_v where zip||'|'||street||'|'||name||'|'||volume = '8556|Kirchstrasse 10|Wohnhaus &amp; Garage|697.00'), 'P56', 0, null, 2020,null),</v>
      </c>
    </row>
    <row r="4685" spans="1:8" x14ac:dyDescent="0.25">
      <c r="A4685" s="9" t="s">
        <v>3964</v>
      </c>
      <c r="B4685" s="9" t="s">
        <v>1138</v>
      </c>
      <c r="C4685">
        <v>9</v>
      </c>
      <c r="D4685">
        <v>80</v>
      </c>
      <c r="E4685">
        <v>2020</v>
      </c>
      <c r="F4685" s="9" t="s">
        <v>3970</v>
      </c>
      <c r="H4685" s="20" t="str">
        <f t="shared" si="73"/>
        <v>(nextval('obj_part_id_seq'), (select id from obj_building_v where zip||'|'||street||'|'||name||'|'||volume = '8556|Kirchstrasse 10|Wohnhaus &amp; Garage|697.00'), 'P57', 9, 80, 2020,'Einbauschränke, Holzrahmentüren'),</v>
      </c>
    </row>
    <row r="4686" spans="1:8" x14ac:dyDescent="0.25">
      <c r="A4686" s="9" t="s">
        <v>3964</v>
      </c>
      <c r="B4686" s="9" t="s">
        <v>1140</v>
      </c>
      <c r="C4686">
        <v>8</v>
      </c>
      <c r="D4686">
        <v>80</v>
      </c>
      <c r="E4686">
        <v>2020</v>
      </c>
      <c r="F4686" s="9" t="s">
        <v>3971</v>
      </c>
      <c r="H4686" s="20" t="str">
        <f t="shared" si="73"/>
        <v>(nextval('obj_part_id_seq'), (select id from obj_building_v where zip||'|'||street||'|'||name||'|'||volume = '8556|Kirchstrasse 10|Wohnhaus &amp; Garage|697.00'), 'P58', 8, 80, 2020,'Boden: Klinken, Parkett, Teppich\nWand: Holz, verputzt gestrichen\nDecke: Holz'),</v>
      </c>
    </row>
    <row r="4687" spans="1:8" x14ac:dyDescent="0.25">
      <c r="A4687" s="9" t="s">
        <v>3964</v>
      </c>
      <c r="B4687" s="9" t="s">
        <v>1157</v>
      </c>
      <c r="C4687">
        <v>4</v>
      </c>
      <c r="D4687">
        <v>85</v>
      </c>
      <c r="E4687">
        <v>2020</v>
      </c>
      <c r="F4687" s="9" t="s">
        <v>3972</v>
      </c>
      <c r="H4687" s="20" t="str">
        <f t="shared" si="73"/>
        <v>(nextval('obj_part_id_seq'), (select id from obj_building_v where zip||'|'||street||'|'||name||'|'||volume = '8556|Kirchstrasse 10|Wohnhaus &amp; Garage|697.00'), 'P59', 4, 85, 2020,'Küche mit Glaskeramikkochfeld, Backofen und Geschirrspüler'),</v>
      </c>
    </row>
    <row r="4688" spans="1:8" x14ac:dyDescent="0.25">
      <c r="A4688" s="9" t="s">
        <v>3964</v>
      </c>
      <c r="B4688" s="9" t="s">
        <v>1142</v>
      </c>
      <c r="C4688">
        <v>0</v>
      </c>
      <c r="D4688" t="s">
        <v>4080</v>
      </c>
      <c r="E4688">
        <v>2020</v>
      </c>
      <c r="F4688" s="9"/>
      <c r="H4688" s="20" t="str">
        <f t="shared" si="73"/>
        <v>(nextval('obj_part_id_seq'), (select id from obj_building_v where zip||'|'||street||'|'||name||'|'||volume = '8556|Kirchstrasse 10|Wohnhaus &amp; Garage|697.00'), 'P60', 0, null, 2020,null),</v>
      </c>
    </row>
    <row r="4689" spans="1:8" x14ac:dyDescent="0.25">
      <c r="A4689" s="9" t="s">
        <v>3964</v>
      </c>
      <c r="B4689" s="9" t="s">
        <v>1143</v>
      </c>
      <c r="C4689">
        <v>0</v>
      </c>
      <c r="D4689" t="s">
        <v>4080</v>
      </c>
      <c r="E4689">
        <v>2020</v>
      </c>
      <c r="F4689" s="9"/>
      <c r="H4689" s="20" t="str">
        <f t="shared" si="73"/>
        <v>(nextval('obj_part_id_seq'), (select id from obj_building_v where zip||'|'||street||'|'||name||'|'||volume = '8556|Kirchstrasse 10|Wohnhaus &amp; Garage|697.00'), 'P61', 0, null, 2020,null),</v>
      </c>
    </row>
    <row r="4690" spans="1:8" x14ac:dyDescent="0.25">
      <c r="A4690" s="9" t="s">
        <v>3964</v>
      </c>
      <c r="B4690" s="9" t="s">
        <v>1144</v>
      </c>
      <c r="C4690">
        <v>0</v>
      </c>
      <c r="D4690" t="s">
        <v>4080</v>
      </c>
      <c r="E4690">
        <v>2020</v>
      </c>
      <c r="F4690" s="9"/>
      <c r="H4690" s="20" t="str">
        <f t="shared" si="73"/>
        <v>(nextval('obj_part_id_seq'), (select id from obj_building_v where zip||'|'||street||'|'||name||'|'||volume = '8556|Kirchstrasse 10|Wohnhaus &amp; Garage|697.00'), 'P62', 0, null, 2020,null),</v>
      </c>
    </row>
    <row r="4691" spans="1:8" x14ac:dyDescent="0.25">
      <c r="A4691" s="9" t="s">
        <v>3973</v>
      </c>
      <c r="B4691" s="9" t="s">
        <v>1127</v>
      </c>
      <c r="C4691">
        <v>41</v>
      </c>
      <c r="D4691">
        <v>80</v>
      </c>
      <c r="E4691">
        <v>2020</v>
      </c>
      <c r="F4691" s="9" t="s">
        <v>3974</v>
      </c>
      <c r="H4691" s="20" t="str">
        <f t="shared" si="73"/>
        <v>(nextval('obj_part_id_seq'), (select id from obj_building_v where zip||'|'||street||'|'||name||'|'||volume = '8556|Käsereistrasse 12|Primarschule Wigoltingen, Altbau|2737.00'), 'P48', 41, 80, 2020,'Mauerwerk und Sandsteinsockel (tw. beschädigt), Gewölbekeller, Holzbalkendecke'),</v>
      </c>
    </row>
    <row r="4692" spans="1:8" x14ac:dyDescent="0.25">
      <c r="A4692" s="9" t="s">
        <v>3973</v>
      </c>
      <c r="B4692" s="9" t="s">
        <v>1129</v>
      </c>
      <c r="C4692">
        <v>0</v>
      </c>
      <c r="D4692" t="s">
        <v>4080</v>
      </c>
      <c r="E4692">
        <v>2020</v>
      </c>
      <c r="F4692" s="9"/>
      <c r="H4692" s="20" t="str">
        <f t="shared" si="73"/>
        <v>(nextval('obj_part_id_seq'), (select id from obj_building_v where zip||'|'||street||'|'||name||'|'||volume = '8556|Käsereistrasse 12|Primarschule Wigoltingen, Altbau|2737.00'), 'P49', 0, null, 2020,null),</v>
      </c>
    </row>
    <row r="4693" spans="1:8" x14ac:dyDescent="0.25">
      <c r="A4693" s="9" t="s">
        <v>3973</v>
      </c>
      <c r="B4693" s="9" t="s">
        <v>1097</v>
      </c>
      <c r="C4693">
        <v>8</v>
      </c>
      <c r="D4693">
        <v>80</v>
      </c>
      <c r="E4693">
        <v>2020</v>
      </c>
      <c r="F4693" s="9" t="s">
        <v>3975</v>
      </c>
      <c r="H4693" s="20" t="str">
        <f t="shared" si="73"/>
        <v>(nextval('obj_part_id_seq'), (select id from obj_building_v where zip||'|'||street||'|'||name||'|'||volume = '8556|Käsereistrasse 12|Primarschule Wigoltingen, Altbau|2737.00'), 'P2', 8, 80, 2020,'Falzziegeldach ohne Unterdach, hinterlüftet, Vordach aus Holz und Ziegeleindeckung, Decke gegen Estrich: unisoliert (Winter kalt, Sommer sehr warm), Dachflächenfenster'),</v>
      </c>
    </row>
    <row r="4694" spans="1:8" x14ac:dyDescent="0.25">
      <c r="A4694" s="9" t="s">
        <v>3973</v>
      </c>
      <c r="B4694" s="9" t="s">
        <v>1099</v>
      </c>
      <c r="C4694">
        <v>0</v>
      </c>
      <c r="D4694" t="s">
        <v>4080</v>
      </c>
      <c r="E4694">
        <v>2020</v>
      </c>
      <c r="F4694" s="9"/>
      <c r="H4694" s="20" t="str">
        <f t="shared" si="73"/>
        <v>(nextval('obj_part_id_seq'), (select id from obj_building_v where zip||'|'||street||'|'||name||'|'||volume = '8556|Käsereistrasse 12|Primarschule Wigoltingen, Altbau|2737.00'), 'P3', 0, null, 2020,null),</v>
      </c>
    </row>
    <row r="4695" spans="1:8" x14ac:dyDescent="0.25">
      <c r="A4695" s="9" t="s">
        <v>3973</v>
      </c>
      <c r="B4695" s="9" t="s">
        <v>1100</v>
      </c>
      <c r="C4695">
        <v>7</v>
      </c>
      <c r="D4695">
        <v>80</v>
      </c>
      <c r="E4695">
        <v>2020</v>
      </c>
      <c r="F4695" s="9" t="s">
        <v>3976</v>
      </c>
      <c r="H4695" s="20" t="str">
        <f t="shared" si="73"/>
        <v>(nextval('obj_part_id_seq'), (select id from obj_building_v where zip||'|'||street||'|'||name||'|'||volume = '8556|Käsereistrasse 12|Primarschule Wigoltingen, Altbau|2737.00'), 'P4', 7, 80, 2020,'Mauerwerk verputzt, einige Risse sichtbar'),</v>
      </c>
    </row>
    <row r="4696" spans="1:8" x14ac:dyDescent="0.25">
      <c r="A4696" s="9" t="s">
        <v>3973</v>
      </c>
      <c r="B4696" s="9" t="s">
        <v>1102</v>
      </c>
      <c r="C4696">
        <v>10</v>
      </c>
      <c r="D4696">
        <v>80</v>
      </c>
      <c r="E4696">
        <v>2020</v>
      </c>
      <c r="F4696" s="9" t="s">
        <v>3977</v>
      </c>
      <c r="H4696" s="20" t="str">
        <f t="shared" si="73"/>
        <v>(nextval('obj_part_id_seq'), (select id from obj_building_v where zip||'|'||street||'|'||name||'|'||volume = '8556|Käsereistrasse 12|Primarschule Wigoltingen, Altbau|2737.00'), 'P5', 10, 80, 2020,'Holzfenster mit IV-Verglasung, Metalläden, tw. Holzläden, Holztüren, Aussentüre aus Metall'),</v>
      </c>
    </row>
    <row r="4697" spans="1:8" x14ac:dyDescent="0.25">
      <c r="A4697" s="9" t="s">
        <v>3973</v>
      </c>
      <c r="B4697" s="9" t="s">
        <v>1164</v>
      </c>
      <c r="C4697">
        <v>6</v>
      </c>
      <c r="D4697">
        <v>80</v>
      </c>
      <c r="E4697">
        <v>2020</v>
      </c>
      <c r="F4697" s="9" t="s">
        <v>3978</v>
      </c>
      <c r="H4697" s="20" t="str">
        <f t="shared" si="73"/>
        <v>(nextval('obj_part_id_seq'), (select id from obj_building_v where zip||'|'||street||'|'||name||'|'||volume = '8556|Käsereistrasse 12|Primarschule Wigoltingen, Altbau|2737.00'), 'P50', 6, 80, 2020,'Genügende Absicherung mit FI-Schutzschaltern, Beleuchtung älteren Datums, jedoch knapp ausreichend'),</v>
      </c>
    </row>
    <row r="4698" spans="1:8" x14ac:dyDescent="0.25">
      <c r="A4698" s="9" t="s">
        <v>3973</v>
      </c>
      <c r="B4698" s="9" t="s">
        <v>1166</v>
      </c>
      <c r="C4698">
        <v>1</v>
      </c>
      <c r="D4698">
        <v>85</v>
      </c>
      <c r="E4698">
        <v>2020</v>
      </c>
      <c r="F4698" s="9" t="s">
        <v>3979</v>
      </c>
      <c r="H4698" s="20" t="str">
        <f t="shared" si="73"/>
        <v>(nextval('obj_part_id_seq'), (select id from obj_building_v where zip||'|'||street||'|'||name||'|'||volume = '8556|Käsereistrasse 12|Primarschule Wigoltingen, Altbau|2737.00'), 'P51', 1, 85, 2020,'Server und Verkabelung'),</v>
      </c>
    </row>
    <row r="4699" spans="1:8" x14ac:dyDescent="0.25">
      <c r="A4699" s="9" t="s">
        <v>3973</v>
      </c>
      <c r="B4699" s="9" t="s">
        <v>1104</v>
      </c>
      <c r="C4699">
        <v>1</v>
      </c>
      <c r="D4699">
        <v>90</v>
      </c>
      <c r="E4699">
        <v>2020</v>
      </c>
      <c r="F4699" s="9" t="s">
        <v>1235</v>
      </c>
      <c r="H4699" s="20" t="str">
        <f t="shared" si="73"/>
        <v>(nextval('obj_part_id_seq'), (select id from obj_building_v where zip||'|'||street||'|'||name||'|'||volume = '8556|Käsereistrasse 12|Primarschule Wigoltingen, Altbau|2737.00'), 'P6', 1, 90, 2020,'Fernwärme'),</v>
      </c>
    </row>
    <row r="4700" spans="1:8" x14ac:dyDescent="0.25">
      <c r="A4700" s="9" t="s">
        <v>3973</v>
      </c>
      <c r="B4700" s="9" t="s">
        <v>1106</v>
      </c>
      <c r="C4700">
        <v>3</v>
      </c>
      <c r="D4700">
        <v>85</v>
      </c>
      <c r="E4700">
        <v>2020</v>
      </c>
      <c r="F4700" s="9" t="s">
        <v>1669</v>
      </c>
      <c r="H4700" s="20" t="str">
        <f t="shared" si="73"/>
        <v>(nextval('obj_part_id_seq'), (select id from obj_building_v where zip||'|'||street||'|'||name||'|'||volume = '8556|Käsereistrasse 12|Primarschule Wigoltingen, Altbau|2737.00'), 'P7', 3, 85, 2020,'Radiatoren mit Thermostat'),</v>
      </c>
    </row>
    <row r="4701" spans="1:8" x14ac:dyDescent="0.25">
      <c r="A4701" s="9" t="s">
        <v>3973</v>
      </c>
      <c r="B4701" s="9" t="s">
        <v>1108</v>
      </c>
      <c r="C4701">
        <v>4</v>
      </c>
      <c r="D4701">
        <v>80</v>
      </c>
      <c r="E4701">
        <v>2020</v>
      </c>
      <c r="F4701" s="9" t="s">
        <v>3980</v>
      </c>
      <c r="H4701" s="20" t="str">
        <f t="shared" si="73"/>
        <v>(nextval('obj_part_id_seq'), (select id from obj_building_v where zip||'|'||street||'|'||name||'|'||volume = '8556|Käsereistrasse 12|Primarschule Wigoltingen, Altbau|2737.00'), 'P8', 4, 80, 2020,'Sanitärleitungen sind leicht rostig, genügender Druck vorhanden'),</v>
      </c>
    </row>
    <row r="4702" spans="1:8" x14ac:dyDescent="0.25">
      <c r="A4702" s="9" t="s">
        <v>3973</v>
      </c>
      <c r="B4702" s="9" t="s">
        <v>1138</v>
      </c>
      <c r="C4702">
        <v>11</v>
      </c>
      <c r="D4702">
        <v>80</v>
      </c>
      <c r="E4702">
        <v>2020</v>
      </c>
      <c r="F4702" s="9" t="s">
        <v>3981</v>
      </c>
      <c r="H4702" s="20" t="str">
        <f t="shared" si="73"/>
        <v>(nextval('obj_part_id_seq'), (select id from obj_building_v where zip||'|'||street||'|'||name||'|'||volume = '8556|Käsereistrasse 12|Primarschule Wigoltingen, Altbau|2737.00'), 'P57', 11, 80, 2020,'Garderoben. Holzgeländer, Einbauschränke aus Holz, Küche neu 2019'),</v>
      </c>
    </row>
    <row r="4703" spans="1:8" x14ac:dyDescent="0.25">
      <c r="A4703" s="9" t="s">
        <v>3973</v>
      </c>
      <c r="B4703" s="9" t="s">
        <v>1140</v>
      </c>
      <c r="C4703">
        <v>8</v>
      </c>
      <c r="D4703">
        <v>85</v>
      </c>
      <c r="E4703">
        <v>2020</v>
      </c>
      <c r="F4703" s="9" t="s">
        <v>3982</v>
      </c>
      <c r="H4703" s="20" t="str">
        <f t="shared" si="73"/>
        <v>(nextval('obj_part_id_seq'), (select id from obj_building_v where zip||'|'||street||'|'||name||'|'||volume = '8556|Käsereistrasse 12|Primarschule Wigoltingen, Altbau|2737.00'), 'P58', 8, 85, 2020,'Boden: Keramik, Linol\nWand: verputzt, Tapeten, gestrichen, einge Risse sichtbar (OG)\nDecke: Gips, gestrichen'),</v>
      </c>
    </row>
    <row r="4704" spans="1:8" x14ac:dyDescent="0.25">
      <c r="A4704" s="9" t="s">
        <v>3973</v>
      </c>
      <c r="B4704" s="9" t="s">
        <v>1142</v>
      </c>
      <c r="C4704">
        <v>0</v>
      </c>
      <c r="D4704" t="s">
        <v>4080</v>
      </c>
      <c r="E4704">
        <v>2020</v>
      </c>
      <c r="F4704" s="9"/>
      <c r="H4704" s="20" t="str">
        <f t="shared" si="73"/>
        <v>(nextval('obj_part_id_seq'), (select id from obj_building_v where zip||'|'||street||'|'||name||'|'||volume = '8556|Käsereistrasse 12|Primarschule Wigoltingen, Altbau|2737.00'), 'P60', 0, null, 2020,null),</v>
      </c>
    </row>
    <row r="4705" spans="1:8" x14ac:dyDescent="0.25">
      <c r="A4705" s="9" t="s">
        <v>3973</v>
      </c>
      <c r="B4705" s="9" t="s">
        <v>1143</v>
      </c>
      <c r="C4705">
        <v>0</v>
      </c>
      <c r="D4705" t="s">
        <v>4080</v>
      </c>
      <c r="E4705">
        <v>2020</v>
      </c>
      <c r="F4705" s="9"/>
      <c r="H4705" s="20" t="str">
        <f t="shared" si="73"/>
        <v>(nextval('obj_part_id_seq'), (select id from obj_building_v where zip||'|'||street||'|'||name||'|'||volume = '8556|Käsereistrasse 12|Primarschule Wigoltingen, Altbau|2737.00'), 'P61', 0, null, 2020,null),</v>
      </c>
    </row>
    <row r="4706" spans="1:8" x14ac:dyDescent="0.25">
      <c r="A4706" s="9" t="s">
        <v>3973</v>
      </c>
      <c r="B4706" s="9" t="s">
        <v>1144</v>
      </c>
      <c r="C4706">
        <v>0</v>
      </c>
      <c r="D4706" t="s">
        <v>4080</v>
      </c>
      <c r="E4706">
        <v>2020</v>
      </c>
      <c r="F4706" s="9"/>
      <c r="H4706" s="20" t="str">
        <f t="shared" si="73"/>
        <v>(nextval('obj_part_id_seq'), (select id from obj_building_v where zip||'|'||street||'|'||name||'|'||volume = '8556|Käsereistrasse 12|Primarschule Wigoltingen, Altbau|2737.00'), 'P62', 0, null, 2020,null),</v>
      </c>
    </row>
    <row r="4707" spans="1:8" x14ac:dyDescent="0.25">
      <c r="A4707" s="9" t="s">
        <v>3983</v>
      </c>
      <c r="B4707" s="9" t="s">
        <v>1127</v>
      </c>
      <c r="C4707">
        <v>33</v>
      </c>
      <c r="D4707">
        <v>90</v>
      </c>
      <c r="E4707">
        <v>2020</v>
      </c>
      <c r="F4707" s="9" t="s">
        <v>2069</v>
      </c>
      <c r="H4707" s="20" t="str">
        <f t="shared" si="73"/>
        <v>(nextval('obj_part_id_seq'), (select id from obj_building_v where zip||'|'||street||'|'||name||'|'||volume = '8556|Bernrainstrasse 26|Kindergarten Haldengüetli, m Gge|1500.00'), 'P48', 33, 90, 2020,'Mauerwerk, Stahlbeton'),</v>
      </c>
    </row>
    <row r="4708" spans="1:8" x14ac:dyDescent="0.25">
      <c r="A4708" s="9" t="s">
        <v>3983</v>
      </c>
      <c r="B4708" s="9" t="s">
        <v>1129</v>
      </c>
      <c r="C4708">
        <v>8</v>
      </c>
      <c r="D4708">
        <v>85</v>
      </c>
      <c r="E4708">
        <v>2020</v>
      </c>
      <c r="F4708" s="9" t="s">
        <v>3984</v>
      </c>
      <c r="H4708" s="20" t="str">
        <f t="shared" si="73"/>
        <v>(nextval('obj_part_id_seq'), (select id from obj_building_v where zip||'|'||street||'|'||name||'|'||volume = '8556|Bernrainstrasse 26|Kindergarten Haldengüetli, m Gge|1500.00'), 'P49', 8, 85, 2020,'Holzbalkendecken mit Stützen und Unterzug'),</v>
      </c>
    </row>
    <row r="4709" spans="1:8" x14ac:dyDescent="0.25">
      <c r="A4709" s="9" t="s">
        <v>3983</v>
      </c>
      <c r="B4709" s="9" t="s">
        <v>1097</v>
      </c>
      <c r="C4709">
        <v>8</v>
      </c>
      <c r="D4709">
        <v>90</v>
      </c>
      <c r="E4709">
        <v>2020</v>
      </c>
      <c r="F4709" s="9" t="s">
        <v>3985</v>
      </c>
      <c r="H4709" s="20" t="str">
        <f t="shared" si="73"/>
        <v>(nextval('obj_part_id_seq'), (select id from obj_building_v where zip||'|'||street||'|'||name||'|'||volume = '8556|Bernrainstrasse 26|Kindergarten Haldengüetli, m Gge|1500.00'), 'P2', 8, 90, 2020,'Bieberschwanzziegel, tw. vermoost, Dachraum isoliert'),</v>
      </c>
    </row>
    <row r="4710" spans="1:8" x14ac:dyDescent="0.25">
      <c r="A4710" s="9" t="s">
        <v>3983</v>
      </c>
      <c r="B4710" s="9" t="s">
        <v>1099</v>
      </c>
      <c r="C4710">
        <v>0</v>
      </c>
      <c r="D4710" t="s">
        <v>4080</v>
      </c>
      <c r="E4710">
        <v>2020</v>
      </c>
      <c r="F4710" s="9"/>
      <c r="H4710" s="20" t="str">
        <f t="shared" si="73"/>
        <v>(nextval('obj_part_id_seq'), (select id from obj_building_v where zip||'|'||street||'|'||name||'|'||volume = '8556|Bernrainstrasse 26|Kindergarten Haldengüetli, m Gge|1500.00'), 'P3', 0, null, 2020,null),</v>
      </c>
    </row>
    <row r="4711" spans="1:8" x14ac:dyDescent="0.25">
      <c r="A4711" s="9" t="s">
        <v>3983</v>
      </c>
      <c r="B4711" s="9" t="s">
        <v>1100</v>
      </c>
      <c r="C4711">
        <v>7</v>
      </c>
      <c r="D4711">
        <v>85</v>
      </c>
      <c r="E4711">
        <v>2020</v>
      </c>
      <c r="F4711" s="9" t="s">
        <v>3986</v>
      </c>
      <c r="H4711" s="20" t="str">
        <f t="shared" si="73"/>
        <v>(nextval('obj_part_id_seq'), (select id from obj_building_v where zip||'|'||street||'|'||name||'|'||volume = '8556|Bernrainstrasse 26|Kindergarten Haldengüetli, m Gge|1500.00'), 'P4', 7, 85, 2020,'Mauerwerk, verputzt, im OG und DG Holzschalung, Holzfensterbänke verwittert'),</v>
      </c>
    </row>
    <row r="4712" spans="1:8" x14ac:dyDescent="0.25">
      <c r="A4712" s="9" t="s">
        <v>3983</v>
      </c>
      <c r="B4712" s="9" t="s">
        <v>1102</v>
      </c>
      <c r="C4712">
        <v>10</v>
      </c>
      <c r="D4712">
        <v>80</v>
      </c>
      <c r="E4712">
        <v>2020</v>
      </c>
      <c r="F4712" s="9" t="s">
        <v>3987</v>
      </c>
      <c r="H4712" s="20" t="str">
        <f t="shared" si="73"/>
        <v>(nextval('obj_part_id_seq'), (select id from obj_building_v where zip||'|'||street||'|'||name||'|'||volume = '8556|Bernrainstrasse 26|Kindergarten Haldengüetli, m Gge|1500.00'), 'P5', 10, 80, 2020,'Eingangstür  aus Holz, Fenster aus Holz und Metall, IV-Gläser ohne Beschichtung, Türschloss nicht mehr zeitgemäss'),</v>
      </c>
    </row>
    <row r="4713" spans="1:8" x14ac:dyDescent="0.25">
      <c r="A4713" s="9" t="s">
        <v>3983</v>
      </c>
      <c r="B4713" s="9" t="s">
        <v>1164</v>
      </c>
      <c r="C4713">
        <v>6</v>
      </c>
      <c r="D4713">
        <v>85</v>
      </c>
      <c r="E4713">
        <v>2020</v>
      </c>
      <c r="F4713" s="9" t="s">
        <v>3988</v>
      </c>
      <c r="H4713" s="20" t="str">
        <f t="shared" si="73"/>
        <v>(nextval('obj_part_id_seq'), (select id from obj_building_v where zip||'|'||street||'|'||name||'|'||volume = '8556|Bernrainstrasse 26|Kindergarten Haldengüetli, m Gge|1500.00'), 'P50', 6, 85, 2020,'Genügende Absicherung'),</v>
      </c>
    </row>
    <row r="4714" spans="1:8" x14ac:dyDescent="0.25">
      <c r="A4714" s="9" t="s">
        <v>3983</v>
      </c>
      <c r="B4714" s="9" t="s">
        <v>1166</v>
      </c>
      <c r="C4714">
        <v>1</v>
      </c>
      <c r="D4714">
        <v>90</v>
      </c>
      <c r="E4714">
        <v>2020</v>
      </c>
      <c r="F4714" s="9"/>
      <c r="H4714" s="20" t="str">
        <f t="shared" si="73"/>
        <v>(nextval('obj_part_id_seq'), (select id from obj_building_v where zip||'|'||street||'|'||name||'|'||volume = '8556|Bernrainstrasse 26|Kindergarten Haldengüetli, m Gge|1500.00'), 'P51', 1, 90, 2020,null),</v>
      </c>
    </row>
    <row r="4715" spans="1:8" x14ac:dyDescent="0.25">
      <c r="A4715" s="9" t="s">
        <v>3983</v>
      </c>
      <c r="B4715" s="9" t="s">
        <v>1104</v>
      </c>
      <c r="C4715">
        <v>1</v>
      </c>
      <c r="D4715">
        <v>90</v>
      </c>
      <c r="E4715">
        <v>2020</v>
      </c>
      <c r="F4715" s="9" t="s">
        <v>3989</v>
      </c>
      <c r="H4715" s="20" t="str">
        <f t="shared" si="73"/>
        <v>(nextval('obj_part_id_seq'), (select id from obj_building_v where zip||'|'||street||'|'||name||'|'||volume = '8556|Bernrainstrasse 26|Kindergarten Haldengüetli, m Gge|1500.00'), 'P6', 1, 90, 2020,'Gastherme, WW-Boiler'),</v>
      </c>
    </row>
    <row r="4716" spans="1:8" x14ac:dyDescent="0.25">
      <c r="A4716" s="9" t="s">
        <v>3983</v>
      </c>
      <c r="B4716" s="9" t="s">
        <v>1106</v>
      </c>
      <c r="C4716">
        <v>3</v>
      </c>
      <c r="D4716">
        <v>90</v>
      </c>
      <c r="E4716">
        <v>2020</v>
      </c>
      <c r="F4716" s="9" t="s">
        <v>3990</v>
      </c>
      <c r="H4716" s="20" t="str">
        <f t="shared" si="73"/>
        <v>(nextval('obj_part_id_seq'), (select id from obj_building_v where zip||'|'||street||'|'||name||'|'||volume = '8556|Bernrainstrasse 26|Kindergarten Haldengüetli, m Gge|1500.00'), 'P7', 3, 90, 2020,'Radiatoren mit Thermostaten, Bodenheizungen'),</v>
      </c>
    </row>
    <row r="4717" spans="1:8" x14ac:dyDescent="0.25">
      <c r="A4717" s="9" t="s">
        <v>3983</v>
      </c>
      <c r="B4717" s="9" t="s">
        <v>1108</v>
      </c>
      <c r="C4717">
        <v>4</v>
      </c>
      <c r="D4717">
        <v>90</v>
      </c>
      <c r="E4717">
        <v>2020</v>
      </c>
      <c r="F4717" s="9" t="s">
        <v>3991</v>
      </c>
      <c r="H4717" s="20" t="str">
        <f t="shared" si="73"/>
        <v>(nextval('obj_part_id_seq'), (select id from obj_building_v where zip||'|'||street||'|'||name||'|'||volume = '8556|Bernrainstrasse 26|Kindergarten Haldengüetli, m Gge|1500.00'), 'P8', 4, 90, 2020,'Druck genügend, Wasser kann ungehindert ablaufen, Leitungen weisen keine bekannten Mängel auf'),</v>
      </c>
    </row>
    <row r="4718" spans="1:8" x14ac:dyDescent="0.25">
      <c r="A4718" s="9" t="s">
        <v>3983</v>
      </c>
      <c r="B4718" s="9" t="s">
        <v>1138</v>
      </c>
      <c r="C4718">
        <v>11</v>
      </c>
      <c r="D4718">
        <v>80</v>
      </c>
      <c r="E4718">
        <v>2020</v>
      </c>
      <c r="F4718" s="9" t="s">
        <v>3992</v>
      </c>
      <c r="H4718" s="20" t="str">
        <f t="shared" si="73"/>
        <v>(nextval('obj_part_id_seq'), (select id from obj_building_v where zip||'|'||street||'|'||name||'|'||volume = '8556|Bernrainstrasse 26|Kindergarten Haldengüetli, m Gge|1500.00'), 'P57', 11, 80, 2020,'Garderoben, Küche alt, Einbauschränke, Holzgeländer, Holztreppe, Geländerhöhen nicht genügend'),</v>
      </c>
    </row>
    <row r="4719" spans="1:8" x14ac:dyDescent="0.25">
      <c r="A4719" s="9" t="s">
        <v>3983</v>
      </c>
      <c r="B4719" s="9" t="s">
        <v>1140</v>
      </c>
      <c r="C4719">
        <v>8</v>
      </c>
      <c r="D4719">
        <v>80</v>
      </c>
      <c r="E4719">
        <v>2020</v>
      </c>
      <c r="F4719" s="9" t="s">
        <v>3993</v>
      </c>
      <c r="H4719" s="20" t="str">
        <f t="shared" si="73"/>
        <v>(nextval('obj_part_id_seq'), (select id from obj_building_v where zip||'|'||street||'|'||name||'|'||volume = '8556|Bernrainstrasse 26|Kindergarten Haldengüetli, m Gge|1500.00'), 'P58', 8, 80, 2020,'Boden: einge Risse sichtbar, Teppich, Fugen in den WC, Zementboden, gestrichen\nDecke: Holzbalken, Dachraum, Holz, Gipsdecke\nWand: verputzt, Abrieb, gestrichen'),</v>
      </c>
    </row>
    <row r="4720" spans="1:8" x14ac:dyDescent="0.25">
      <c r="A4720" s="9" t="s">
        <v>3983</v>
      </c>
      <c r="B4720" s="9" t="s">
        <v>1142</v>
      </c>
      <c r="C4720">
        <v>0</v>
      </c>
      <c r="D4720" t="s">
        <v>4080</v>
      </c>
      <c r="E4720">
        <v>2020</v>
      </c>
      <c r="F4720" s="9"/>
      <c r="H4720" s="20" t="str">
        <f t="shared" si="73"/>
        <v>(nextval('obj_part_id_seq'), (select id from obj_building_v where zip||'|'||street||'|'||name||'|'||volume = '8556|Bernrainstrasse 26|Kindergarten Haldengüetli, m Gge|1500.00'), 'P60', 0, null, 2020,null),</v>
      </c>
    </row>
    <row r="4721" spans="1:8" x14ac:dyDescent="0.25">
      <c r="A4721" s="9" t="s">
        <v>3983</v>
      </c>
      <c r="B4721" s="9" t="s">
        <v>1143</v>
      </c>
      <c r="C4721">
        <v>0</v>
      </c>
      <c r="D4721" t="s">
        <v>4080</v>
      </c>
      <c r="E4721">
        <v>2020</v>
      </c>
      <c r="F4721" s="9"/>
      <c r="H4721" s="20" t="str">
        <f t="shared" si="73"/>
        <v>(nextval('obj_part_id_seq'), (select id from obj_building_v where zip||'|'||street||'|'||name||'|'||volume = '8556|Bernrainstrasse 26|Kindergarten Haldengüetli, m Gge|1500.00'), 'P61', 0, null, 2020,null),</v>
      </c>
    </row>
    <row r="4722" spans="1:8" x14ac:dyDescent="0.25">
      <c r="A4722" s="9" t="s">
        <v>3983</v>
      </c>
      <c r="B4722" s="9" t="s">
        <v>1144</v>
      </c>
      <c r="C4722">
        <v>0</v>
      </c>
      <c r="D4722" t="s">
        <v>4080</v>
      </c>
      <c r="E4722">
        <v>2020</v>
      </c>
      <c r="F4722" s="9"/>
      <c r="H4722" s="20" t="str">
        <f t="shared" si="73"/>
        <v>(nextval('obj_part_id_seq'), (select id from obj_building_v where zip||'|'||street||'|'||name||'|'||volume = '8556|Bernrainstrasse 26|Kindergarten Haldengüetli, m Gge|1500.00'), 'P62', 0, null, 2020,null),</v>
      </c>
    </row>
    <row r="4723" spans="1:8" x14ac:dyDescent="0.25">
      <c r="A4723" s="9" t="s">
        <v>3994</v>
      </c>
      <c r="B4723" s="9" t="s">
        <v>1127</v>
      </c>
      <c r="C4723">
        <v>41</v>
      </c>
      <c r="D4723">
        <v>90</v>
      </c>
      <c r="E4723">
        <v>2020</v>
      </c>
      <c r="F4723" s="9" t="s">
        <v>1369</v>
      </c>
      <c r="H4723" s="20" t="str">
        <f t="shared" si="73"/>
        <v>(nextval('obj_part_id_seq'), (select id from obj_building_v where zip||'|'||street||'|'||name||'|'||volume = '8564|Schulstrasse|Mehrzweckhalle &amp; Turnhalle Sonterswil|3008.00'), 'P48', 41, 90, 2020,'Stahlbeton, Mauerwerk'),</v>
      </c>
    </row>
    <row r="4724" spans="1:8" x14ac:dyDescent="0.25">
      <c r="A4724" s="9" t="s">
        <v>3994</v>
      </c>
      <c r="B4724" s="9" t="s">
        <v>1129</v>
      </c>
      <c r="C4724">
        <v>0</v>
      </c>
      <c r="D4724" t="s">
        <v>4080</v>
      </c>
      <c r="E4724">
        <v>2020</v>
      </c>
      <c r="F4724" s="9"/>
      <c r="H4724" s="20" t="str">
        <f t="shared" si="73"/>
        <v>(nextval('obj_part_id_seq'), (select id from obj_building_v where zip||'|'||street||'|'||name||'|'||volume = '8564|Schulstrasse|Mehrzweckhalle &amp; Turnhalle Sonterswil|3008.00'), 'P49', 0, null, 2020,null),</v>
      </c>
    </row>
    <row r="4725" spans="1:8" x14ac:dyDescent="0.25">
      <c r="A4725" s="9" t="s">
        <v>3994</v>
      </c>
      <c r="B4725" s="9" t="s">
        <v>1097</v>
      </c>
      <c r="C4725">
        <v>8</v>
      </c>
      <c r="D4725">
        <v>90</v>
      </c>
      <c r="E4725">
        <v>2020</v>
      </c>
      <c r="F4725" s="9" t="s">
        <v>3995</v>
      </c>
      <c r="H4725" s="20" t="str">
        <f t="shared" si="73"/>
        <v>(nextval('obj_part_id_seq'), (select id from obj_building_v where zip||'|'||street||'|'||name||'|'||volume = '8564|Schulstrasse|Mehrzweckhalle &amp; Turnhalle Sonterswil|3008.00'), 'P2', 8, 90, 2020,'Steildach mit Pfannenziegeln. Der Dachraum über der Turnhalle konnte nicht besichtigt werden. Keine Mängel bekannt.'),</v>
      </c>
    </row>
    <row r="4726" spans="1:8" x14ac:dyDescent="0.25">
      <c r="A4726" s="9" t="s">
        <v>3994</v>
      </c>
      <c r="B4726" s="9" t="s">
        <v>1099</v>
      </c>
      <c r="C4726">
        <v>0</v>
      </c>
      <c r="D4726" t="s">
        <v>4080</v>
      </c>
      <c r="E4726">
        <v>2020</v>
      </c>
      <c r="F4726" s="9"/>
      <c r="H4726" s="20" t="str">
        <f t="shared" si="73"/>
        <v>(nextval('obj_part_id_seq'), (select id from obj_building_v where zip||'|'||street||'|'||name||'|'||volume = '8564|Schulstrasse|Mehrzweckhalle &amp; Turnhalle Sonterswil|3008.00'), 'P3', 0, null, 2020,null),</v>
      </c>
    </row>
    <row r="4727" spans="1:8" x14ac:dyDescent="0.25">
      <c r="A4727" s="9" t="s">
        <v>3994</v>
      </c>
      <c r="B4727" s="9" t="s">
        <v>1100</v>
      </c>
      <c r="C4727">
        <v>7</v>
      </c>
      <c r="D4727">
        <v>90</v>
      </c>
      <c r="E4727">
        <v>2020</v>
      </c>
      <c r="F4727" s="9" t="s">
        <v>1716</v>
      </c>
      <c r="H4727" s="20" t="str">
        <f t="shared" si="73"/>
        <v>(nextval('obj_part_id_seq'), (select id from obj_building_v where zip||'|'||street||'|'||name||'|'||volume = '8564|Schulstrasse|Mehrzweckhalle &amp; Turnhalle Sonterswil|3008.00'), 'P4', 7, 90, 2020,'Mauerwerk, verputzt'),</v>
      </c>
    </row>
    <row r="4728" spans="1:8" x14ac:dyDescent="0.25">
      <c r="A4728" s="9" t="s">
        <v>3994</v>
      </c>
      <c r="B4728" s="9" t="s">
        <v>1102</v>
      </c>
      <c r="C4728">
        <v>10</v>
      </c>
      <c r="D4728">
        <v>90</v>
      </c>
      <c r="E4728">
        <v>2020</v>
      </c>
      <c r="F4728" s="9" t="s">
        <v>3996</v>
      </c>
      <c r="H4728" s="20" t="str">
        <f t="shared" si="73"/>
        <v>(nextval('obj_part_id_seq'), (select id from obj_building_v where zip||'|'||street||'|'||name||'|'||volume = '8564|Schulstrasse|Mehrzweckhalle &amp; Turnhalle Sonterswil|3008.00'), 'P5', 10, 90, 2020,'Eingangstür aus Alu und Glas, elektrische Markise'),</v>
      </c>
    </row>
    <row r="4729" spans="1:8" x14ac:dyDescent="0.25">
      <c r="A4729" s="9" t="s">
        <v>3994</v>
      </c>
      <c r="B4729" s="9" t="s">
        <v>1164</v>
      </c>
      <c r="C4729">
        <v>6</v>
      </c>
      <c r="D4729">
        <v>80</v>
      </c>
      <c r="E4729">
        <v>2020</v>
      </c>
      <c r="F4729" s="9" t="s">
        <v>3997</v>
      </c>
      <c r="H4729" s="20" t="str">
        <f t="shared" si="73"/>
        <v>(nextval('obj_part_id_seq'), (select id from obj_building_v where zip||'|'||street||'|'||name||'|'||volume = '8564|Schulstrasse|Mehrzweckhalle &amp; Turnhalle Sonterswil|3008.00'), 'P50', 6, 80, 2020,'Turnhallenbeleuchtung, Scheinwerfer und Beleuchtung für die Bühne'),</v>
      </c>
    </row>
    <row r="4730" spans="1:8" x14ac:dyDescent="0.25">
      <c r="A4730" s="9" t="s">
        <v>3994</v>
      </c>
      <c r="B4730" s="9" t="s">
        <v>1166</v>
      </c>
      <c r="C4730">
        <v>1</v>
      </c>
      <c r="D4730">
        <v>85</v>
      </c>
      <c r="E4730">
        <v>2020</v>
      </c>
      <c r="F4730" s="9" t="s">
        <v>3998</v>
      </c>
      <c r="H4730" s="20" t="str">
        <f t="shared" si="73"/>
        <v>(nextval('obj_part_id_seq'), (select id from obj_building_v where zip||'|'||street||'|'||name||'|'||volume = '8564|Schulstrasse|Mehrzweckhalle &amp; Turnhalle Sonterswil|3008.00'), 'P51', 1, 85, 2020,'Audioanlage, Lautsprecher'),</v>
      </c>
    </row>
    <row r="4731" spans="1:8" x14ac:dyDescent="0.25">
      <c r="A4731" s="9" t="s">
        <v>3994</v>
      </c>
      <c r="B4731" s="9" t="s">
        <v>1104</v>
      </c>
      <c r="C4731">
        <v>1</v>
      </c>
      <c r="D4731">
        <v>90</v>
      </c>
      <c r="E4731">
        <v>2020</v>
      </c>
      <c r="F4731" s="9" t="s">
        <v>1235</v>
      </c>
      <c r="H4731" s="20" t="str">
        <f t="shared" si="73"/>
        <v>(nextval('obj_part_id_seq'), (select id from obj_building_v where zip||'|'||street||'|'||name||'|'||volume = '8564|Schulstrasse|Mehrzweckhalle &amp; Turnhalle Sonterswil|3008.00'), 'P6', 1, 90, 2020,'Fernwärme'),</v>
      </c>
    </row>
    <row r="4732" spans="1:8" x14ac:dyDescent="0.25">
      <c r="A4732" s="9" t="s">
        <v>3994</v>
      </c>
      <c r="B4732" s="9" t="s">
        <v>1106</v>
      </c>
      <c r="C4732">
        <v>3</v>
      </c>
      <c r="D4732">
        <v>85</v>
      </c>
      <c r="E4732">
        <v>2020</v>
      </c>
      <c r="F4732" s="9" t="s">
        <v>2824</v>
      </c>
      <c r="H4732" s="20" t="str">
        <f t="shared" si="73"/>
        <v>(nextval('obj_part_id_seq'), (select id from obj_building_v where zip||'|'||street||'|'||name||'|'||volume = '8564|Schulstrasse|Mehrzweckhalle &amp; Turnhalle Sonterswil|3008.00'), 'P7', 3, 85, 2020,'Radiatoren'),</v>
      </c>
    </row>
    <row r="4733" spans="1:8" x14ac:dyDescent="0.25">
      <c r="A4733" s="9" t="s">
        <v>3994</v>
      </c>
      <c r="B4733" s="9" t="s">
        <v>1108</v>
      </c>
      <c r="C4733">
        <v>4</v>
      </c>
      <c r="D4733">
        <v>90</v>
      </c>
      <c r="E4733">
        <v>2020</v>
      </c>
      <c r="F4733" s="9" t="s">
        <v>3999</v>
      </c>
      <c r="H4733" s="20" t="str">
        <f t="shared" si="73"/>
        <v>(nextval('obj_part_id_seq'), (select id from obj_building_v where zip||'|'||street||'|'||name||'|'||volume = '8564|Schulstrasse|Mehrzweckhalle &amp; Turnhalle Sonterswil|3008.00'), 'P8', 4, 90, 2020,'Genügend Druck vorhanden, Apparate und Armaturen funktionstüchtig, keine Mängel bekannt'),</v>
      </c>
    </row>
    <row r="4734" spans="1:8" x14ac:dyDescent="0.25">
      <c r="A4734" s="9" t="s">
        <v>3994</v>
      </c>
      <c r="B4734" s="9" t="s">
        <v>1138</v>
      </c>
      <c r="C4734">
        <v>11</v>
      </c>
      <c r="D4734">
        <v>85</v>
      </c>
      <c r="E4734">
        <v>2020</v>
      </c>
      <c r="F4734" s="9" t="s">
        <v>4000</v>
      </c>
      <c r="H4734" s="20" t="str">
        <f t="shared" si="73"/>
        <v>(nextval('obj_part_id_seq'), (select id from obj_building_v where zip||'|'||street||'|'||name||'|'||volume = '8564|Schulstrasse|Mehrzweckhalle &amp; Turnhalle Sonterswil|3008.00'), 'P57', 11, 85, 2020,'Einbauschränke, Küche mit Geschirrspüler'),</v>
      </c>
    </row>
    <row r="4735" spans="1:8" x14ac:dyDescent="0.25">
      <c r="A4735" s="9" t="s">
        <v>3994</v>
      </c>
      <c r="B4735" s="9" t="s">
        <v>1140</v>
      </c>
      <c r="C4735">
        <v>8</v>
      </c>
      <c r="D4735">
        <v>85</v>
      </c>
      <c r="E4735">
        <v>2020</v>
      </c>
      <c r="F4735" s="9" t="s">
        <v>4001</v>
      </c>
      <c r="H4735" s="20" t="str">
        <f t="shared" si="73"/>
        <v>(nextval('obj_part_id_seq'), (select id from obj_building_v where zip||'|'||street||'|'||name||'|'||volume = '8564|Schulstrasse|Mehrzweckhalle &amp; Turnhalle Sonterswil|3008.00'), 'P58', 8, 85, 2020,'Decke: Holztäfer, Putz\nWand: Putz, Sichtmauerwerk, Keramikpl.\nBoden: Turnhallenboden, Tonplatten (Riss in einer Platte)'),</v>
      </c>
    </row>
    <row r="4736" spans="1:8" x14ac:dyDescent="0.25">
      <c r="A4736" s="9" t="s">
        <v>3994</v>
      </c>
      <c r="B4736" s="9" t="s">
        <v>1142</v>
      </c>
      <c r="C4736">
        <v>0</v>
      </c>
      <c r="D4736" t="s">
        <v>4080</v>
      </c>
      <c r="E4736">
        <v>2020</v>
      </c>
      <c r="F4736" s="9"/>
      <c r="H4736" s="20" t="str">
        <f t="shared" si="73"/>
        <v>(nextval('obj_part_id_seq'), (select id from obj_building_v where zip||'|'||street||'|'||name||'|'||volume = '8564|Schulstrasse|Mehrzweckhalle &amp; Turnhalle Sonterswil|3008.00'), 'P60', 0, null, 2020,null),</v>
      </c>
    </row>
    <row r="4737" spans="1:8" x14ac:dyDescent="0.25">
      <c r="A4737" s="9" t="s">
        <v>3994</v>
      </c>
      <c r="B4737" s="9" t="s">
        <v>1143</v>
      </c>
      <c r="C4737">
        <v>0</v>
      </c>
      <c r="D4737" t="s">
        <v>4080</v>
      </c>
      <c r="E4737">
        <v>2020</v>
      </c>
      <c r="F4737" s="9"/>
      <c r="H4737" s="20" t="str">
        <f t="shared" si="73"/>
        <v>(nextval('obj_part_id_seq'), (select id from obj_building_v where zip||'|'||street||'|'||name||'|'||volume = '8564|Schulstrasse|Mehrzweckhalle &amp; Turnhalle Sonterswil|3008.00'), 'P61', 0, null, 2020,null),</v>
      </c>
    </row>
    <row r="4738" spans="1:8" x14ac:dyDescent="0.25">
      <c r="A4738" s="9" t="s">
        <v>3994</v>
      </c>
      <c r="B4738" s="9" t="s">
        <v>1144</v>
      </c>
      <c r="C4738">
        <v>0</v>
      </c>
      <c r="D4738" t="s">
        <v>4080</v>
      </c>
      <c r="E4738">
        <v>2020</v>
      </c>
      <c r="F4738" s="9"/>
      <c r="H4738" s="20" t="str">
        <f t="shared" si="73"/>
        <v>(nextval('obj_part_id_seq'), (select id from obj_building_v where zip||'|'||street||'|'||name||'|'||volume = '8564|Schulstrasse|Mehrzweckhalle &amp; Turnhalle Sonterswil|3008.00'), 'P62', 0, null, 2020,null),</v>
      </c>
    </row>
    <row r="4739" spans="1:8" x14ac:dyDescent="0.25">
      <c r="A4739" s="9" t="s">
        <v>4002</v>
      </c>
      <c r="B4739" s="9" t="s">
        <v>1127</v>
      </c>
      <c r="C4739">
        <v>41</v>
      </c>
      <c r="D4739">
        <v>90</v>
      </c>
      <c r="E4739">
        <v>2020</v>
      </c>
      <c r="F4739" s="9" t="s">
        <v>1369</v>
      </c>
      <c r="H4739" s="20" t="str">
        <f t="shared" si="73"/>
        <v>(nextval('obj_part_id_seq'), (select id from obj_building_v where zip||'|'||street||'|'||name||'|'||volume = '8564|Schulstrasse 1|Turnhalle|4267.00'), 'P48', 41, 90, 2020,'Stahlbeton, Mauerwerk'),</v>
      </c>
    </row>
    <row r="4740" spans="1:8" x14ac:dyDescent="0.25">
      <c r="A4740" s="9" t="s">
        <v>4002</v>
      </c>
      <c r="B4740" s="9" t="s">
        <v>1129</v>
      </c>
      <c r="C4740">
        <v>0</v>
      </c>
      <c r="D4740" t="s">
        <v>4080</v>
      </c>
      <c r="E4740">
        <v>2020</v>
      </c>
      <c r="F4740" s="9"/>
      <c r="H4740" s="20" t="str">
        <f t="shared" si="73"/>
        <v>(nextval('obj_part_id_seq'), (select id from obj_building_v where zip||'|'||street||'|'||name||'|'||volume = '8564|Schulstrasse 1|Turnhalle|4267.00'), 'P49', 0, null, 2020,null),</v>
      </c>
    </row>
    <row r="4741" spans="1:8" x14ac:dyDescent="0.25">
      <c r="A4741" s="9" t="s">
        <v>4002</v>
      </c>
      <c r="B4741" s="9" t="s">
        <v>1097</v>
      </c>
      <c r="C4741">
        <v>8</v>
      </c>
      <c r="D4741">
        <v>90</v>
      </c>
      <c r="E4741">
        <v>2020</v>
      </c>
      <c r="F4741" s="9" t="s">
        <v>3995</v>
      </c>
      <c r="H4741" s="20" t="str">
        <f t="shared" ref="H4741:H4804" si="74">"(nextval('obj_part_id_seq'), (select id from obj_building_v where zip||'|'||street||'|'||name||'|'||volume = '"&amp;A4741&amp;"'), '"&amp;B4741&amp;"', "&amp;C4741&amp;", "&amp;D4741&amp;", "&amp;IF(ISBLANK(E4741),"null",E4741)&amp;","&amp;IF(ISBLANK(F4741),"null","'"&amp;F4741&amp;"'")&amp;"),"</f>
        <v>(nextval('obj_part_id_seq'), (select id from obj_building_v where zip||'|'||street||'|'||name||'|'||volume = '8564|Schulstrasse 1|Turnhalle|4267.00'), 'P2', 8, 90, 2020,'Steildach mit Pfannenziegeln. Der Dachraum über der Turnhalle konnte nicht besichtigt werden. Keine Mängel bekannt.'),</v>
      </c>
    </row>
    <row r="4742" spans="1:8" x14ac:dyDescent="0.25">
      <c r="A4742" s="9" t="s">
        <v>4002</v>
      </c>
      <c r="B4742" s="9" t="s">
        <v>1099</v>
      </c>
      <c r="C4742">
        <v>0</v>
      </c>
      <c r="D4742" t="s">
        <v>4080</v>
      </c>
      <c r="E4742">
        <v>2020</v>
      </c>
      <c r="F4742" s="9"/>
      <c r="H4742" s="20" t="str">
        <f t="shared" si="74"/>
        <v>(nextval('obj_part_id_seq'), (select id from obj_building_v where zip||'|'||street||'|'||name||'|'||volume = '8564|Schulstrasse 1|Turnhalle|4267.00'), 'P3', 0, null, 2020,null),</v>
      </c>
    </row>
    <row r="4743" spans="1:8" x14ac:dyDescent="0.25">
      <c r="A4743" s="9" t="s">
        <v>4002</v>
      </c>
      <c r="B4743" s="9" t="s">
        <v>1100</v>
      </c>
      <c r="C4743">
        <v>7</v>
      </c>
      <c r="D4743">
        <v>90</v>
      </c>
      <c r="E4743">
        <v>2020</v>
      </c>
      <c r="F4743" s="9" t="s">
        <v>4003</v>
      </c>
      <c r="H4743" s="20" t="str">
        <f t="shared" si="74"/>
        <v>(nextval('obj_part_id_seq'), (select id from obj_building_v where zip||'|'||street||'|'||name||'|'||volume = '8564|Schulstrasse 1|Turnhalle|4267.00'), 'P4', 7, 90, 2020,'KS Wände, Mauerwerk, verputzt, tw. mit Eternitschindeln'),</v>
      </c>
    </row>
    <row r="4744" spans="1:8" x14ac:dyDescent="0.25">
      <c r="A4744" s="9" t="s">
        <v>4002</v>
      </c>
      <c r="B4744" s="9" t="s">
        <v>1102</v>
      </c>
      <c r="C4744">
        <v>10</v>
      </c>
      <c r="D4744">
        <v>80</v>
      </c>
      <c r="E4744">
        <v>2020</v>
      </c>
      <c r="F4744" s="9" t="s">
        <v>4004</v>
      </c>
      <c r="H4744" s="20" t="str">
        <f t="shared" si="74"/>
        <v>(nextval('obj_part_id_seq'), (select id from obj_building_v where zip||'|'||street||'|'||name||'|'||volume = '8564|Schulstrasse 1|Turnhalle|4267.00'), 'P5', 10, 80, 2020,'Pfosten/Riegel-System, Holzfenster tw. verwittert'),</v>
      </c>
    </row>
    <row r="4745" spans="1:8" x14ac:dyDescent="0.25">
      <c r="A4745" s="9" t="s">
        <v>4002</v>
      </c>
      <c r="B4745" s="9" t="s">
        <v>1164</v>
      </c>
      <c r="C4745">
        <v>6</v>
      </c>
      <c r="D4745">
        <v>85</v>
      </c>
      <c r="E4745">
        <v>2020</v>
      </c>
      <c r="F4745" s="9" t="s">
        <v>4005</v>
      </c>
      <c r="H4745" s="20" t="str">
        <f t="shared" si="74"/>
        <v>(nextval('obj_part_id_seq'), (select id from obj_building_v where zip||'|'||street||'|'||name||'|'||volume = '8564|Schulstrasse 1|Turnhalle|4267.00'), 'P50', 6, 85, 2020,'Genügende Absicherung, FI-Schutzschalter vorh., Turnhallenbeleuchtung'),</v>
      </c>
    </row>
    <row r="4746" spans="1:8" x14ac:dyDescent="0.25">
      <c r="A4746" s="9" t="s">
        <v>4002</v>
      </c>
      <c r="B4746" s="9" t="s">
        <v>1166</v>
      </c>
      <c r="C4746">
        <v>1</v>
      </c>
      <c r="D4746">
        <v>90</v>
      </c>
      <c r="E4746">
        <v>2020</v>
      </c>
      <c r="F4746" s="9" t="s">
        <v>3940</v>
      </c>
      <c r="H4746" s="20" t="str">
        <f t="shared" si="74"/>
        <v>(nextval('obj_part_id_seq'), (select id from obj_building_v where zip||'|'||street||'|'||name||'|'||volume = '8564|Schulstrasse 1|Turnhalle|4267.00'), 'P51', 1, 90, 2020,'Audioanlage'),</v>
      </c>
    </row>
    <row r="4747" spans="1:8" x14ac:dyDescent="0.25">
      <c r="A4747" s="9" t="s">
        <v>4002</v>
      </c>
      <c r="B4747" s="9" t="s">
        <v>1104</v>
      </c>
      <c r="C4747">
        <v>1</v>
      </c>
      <c r="D4747">
        <v>90</v>
      </c>
      <c r="E4747">
        <v>2020</v>
      </c>
      <c r="F4747" s="9" t="s">
        <v>1235</v>
      </c>
      <c r="H4747" s="20" t="str">
        <f t="shared" si="74"/>
        <v>(nextval('obj_part_id_seq'), (select id from obj_building_v where zip||'|'||street||'|'||name||'|'||volume = '8564|Schulstrasse 1|Turnhalle|4267.00'), 'P6', 1, 90, 2020,'Fernwärme'),</v>
      </c>
    </row>
    <row r="4748" spans="1:8" x14ac:dyDescent="0.25">
      <c r="A4748" s="9" t="s">
        <v>4002</v>
      </c>
      <c r="B4748" s="9" t="s">
        <v>1106</v>
      </c>
      <c r="C4748">
        <v>3</v>
      </c>
      <c r="D4748">
        <v>80</v>
      </c>
      <c r="E4748">
        <v>2020</v>
      </c>
      <c r="F4748" s="9" t="s">
        <v>4006</v>
      </c>
      <c r="H4748" s="20" t="str">
        <f t="shared" si="74"/>
        <v>(nextval('obj_part_id_seq'), (select id from obj_building_v where zip||'|'||street||'|'||name||'|'||volume = '8564|Schulstrasse 1|Turnhalle|4267.00'), 'P7', 3, 80, 2020,'Heizung über Lüftung?'),</v>
      </c>
    </row>
    <row r="4749" spans="1:8" x14ac:dyDescent="0.25">
      <c r="A4749" s="9" t="s">
        <v>4002</v>
      </c>
      <c r="B4749" s="9" t="s">
        <v>1108</v>
      </c>
      <c r="C4749">
        <v>4</v>
      </c>
      <c r="D4749">
        <v>90</v>
      </c>
      <c r="E4749">
        <v>2020</v>
      </c>
      <c r="F4749" s="9" t="s">
        <v>4007</v>
      </c>
      <c r="H4749" s="20" t="str">
        <f t="shared" si="74"/>
        <v>(nextval('obj_part_id_seq'), (select id from obj_building_v where zip||'|'||street||'|'||name||'|'||volume = '8564|Schulstrasse 1|Turnhalle|4267.00'), 'P8', 4, 90, 2020,'Leitungen und Apparate funktionstüchtig, keine Mängel bekannt'),</v>
      </c>
    </row>
    <row r="4750" spans="1:8" x14ac:dyDescent="0.25">
      <c r="A4750" s="9" t="s">
        <v>4002</v>
      </c>
      <c r="B4750" s="9" t="s">
        <v>1138</v>
      </c>
      <c r="C4750">
        <v>11</v>
      </c>
      <c r="D4750">
        <v>85</v>
      </c>
      <c r="E4750">
        <v>2020</v>
      </c>
      <c r="F4750" s="9" t="s">
        <v>4008</v>
      </c>
      <c r="H4750" s="20" t="str">
        <f t="shared" si="74"/>
        <v>(nextval('obj_part_id_seq'), (select id from obj_building_v where zip||'|'||street||'|'||name||'|'||volume = '8564|Schulstrasse 1|Turnhalle|4267.00'), 'P57', 11, 85, 2020,'Tore zu Geräteräumen, Innentüren'),</v>
      </c>
    </row>
    <row r="4751" spans="1:8" x14ac:dyDescent="0.25">
      <c r="A4751" s="9" t="s">
        <v>4002</v>
      </c>
      <c r="B4751" s="9" t="s">
        <v>1140</v>
      </c>
      <c r="C4751">
        <v>8</v>
      </c>
      <c r="D4751">
        <v>85</v>
      </c>
      <c r="E4751">
        <v>2020</v>
      </c>
      <c r="F4751" s="9" t="s">
        <v>4009</v>
      </c>
      <c r="H4751" s="20" t="str">
        <f t="shared" si="74"/>
        <v>(nextval('obj_part_id_seq'), (select id from obj_building_v where zip||'|'||street||'|'||name||'|'||volume = '8564|Schulstrasse 1|Turnhalle|4267.00'), 'P58', 8, 85, 2020,'Wand: Sichtbeton, Kugelgarnteppich\nBoden: Kunststein, Turnhallenboden, Im UG Zement, gestrichen\nDecke: Holztäfer, Im UG Beton, gestrichen'),</v>
      </c>
    </row>
    <row r="4752" spans="1:8" x14ac:dyDescent="0.25">
      <c r="A4752" s="9" t="s">
        <v>4002</v>
      </c>
      <c r="B4752" s="9" t="s">
        <v>1142</v>
      </c>
      <c r="C4752">
        <v>0</v>
      </c>
      <c r="D4752" t="s">
        <v>4080</v>
      </c>
      <c r="E4752">
        <v>2020</v>
      </c>
      <c r="F4752" s="9"/>
      <c r="H4752" s="20" t="str">
        <f t="shared" si="74"/>
        <v>(nextval('obj_part_id_seq'), (select id from obj_building_v where zip||'|'||street||'|'||name||'|'||volume = '8564|Schulstrasse 1|Turnhalle|4267.00'), 'P60', 0, null, 2020,null),</v>
      </c>
    </row>
    <row r="4753" spans="1:8" x14ac:dyDescent="0.25">
      <c r="A4753" s="9" t="s">
        <v>4002</v>
      </c>
      <c r="B4753" s="9" t="s">
        <v>1143</v>
      </c>
      <c r="C4753">
        <v>0</v>
      </c>
      <c r="D4753" t="s">
        <v>4080</v>
      </c>
      <c r="E4753">
        <v>2020</v>
      </c>
      <c r="F4753" s="9"/>
      <c r="H4753" s="20" t="str">
        <f t="shared" si="74"/>
        <v>(nextval('obj_part_id_seq'), (select id from obj_building_v where zip||'|'||street||'|'||name||'|'||volume = '8564|Schulstrasse 1|Turnhalle|4267.00'), 'P61', 0, null, 2020,null),</v>
      </c>
    </row>
    <row r="4754" spans="1:8" x14ac:dyDescent="0.25">
      <c r="A4754" s="9" t="s">
        <v>4002</v>
      </c>
      <c r="B4754" s="9" t="s">
        <v>1144</v>
      </c>
      <c r="C4754">
        <v>0</v>
      </c>
      <c r="D4754" t="s">
        <v>4080</v>
      </c>
      <c r="E4754">
        <v>2020</v>
      </c>
      <c r="F4754" s="9"/>
      <c r="H4754" s="20" t="str">
        <f t="shared" si="74"/>
        <v>(nextval('obj_part_id_seq'), (select id from obj_building_v where zip||'|'||street||'|'||name||'|'||volume = '8564|Schulstrasse 1|Turnhalle|4267.00'), 'P62', 0, null, 2020,null),</v>
      </c>
    </row>
    <row r="4755" spans="1:8" x14ac:dyDescent="0.25">
      <c r="A4755" s="9" t="s">
        <v>4010</v>
      </c>
      <c r="B4755" s="9" t="s">
        <v>1127</v>
      </c>
      <c r="C4755">
        <v>37</v>
      </c>
      <c r="D4755">
        <v>85</v>
      </c>
      <c r="E4755">
        <v>2020</v>
      </c>
      <c r="F4755" s="9" t="s">
        <v>1369</v>
      </c>
      <c r="H4755" s="20" t="str">
        <f t="shared" si="74"/>
        <v>(nextval('obj_part_id_seq'), (select id from obj_building_v where zip||'|'||street||'|'||name||'|'||volume = '8564|Schulstrasse 1|Wohnhaus &amp; Garage|1307.00'), 'P48', 37, 85, 2020,'Stahlbeton, Mauerwerk'),</v>
      </c>
    </row>
    <row r="4756" spans="1:8" x14ac:dyDescent="0.25">
      <c r="A4756" s="9" t="s">
        <v>4010</v>
      </c>
      <c r="B4756" s="9" t="s">
        <v>1129</v>
      </c>
      <c r="C4756">
        <v>0</v>
      </c>
      <c r="D4756" t="s">
        <v>4080</v>
      </c>
      <c r="E4756">
        <v>2020</v>
      </c>
      <c r="F4756" s="9"/>
      <c r="H4756" s="20" t="str">
        <f t="shared" si="74"/>
        <v>(nextval('obj_part_id_seq'), (select id from obj_building_v where zip||'|'||street||'|'||name||'|'||volume = '8564|Schulstrasse 1|Wohnhaus &amp; Garage|1307.00'), 'P49', 0, null, 2020,null),</v>
      </c>
    </row>
    <row r="4757" spans="1:8" x14ac:dyDescent="0.25">
      <c r="A4757" s="9" t="s">
        <v>4010</v>
      </c>
      <c r="B4757" s="9" t="s">
        <v>1097</v>
      </c>
      <c r="C4757">
        <v>8</v>
      </c>
      <c r="D4757">
        <v>90</v>
      </c>
      <c r="E4757">
        <v>2020</v>
      </c>
      <c r="F4757" s="9" t="s">
        <v>4011</v>
      </c>
      <c r="H4757" s="20" t="str">
        <f t="shared" si="74"/>
        <v>(nextval('obj_part_id_seq'), (select id from obj_building_v where zip||'|'||street||'|'||name||'|'||volume = '8564|Schulstrasse 1|Wohnhaus &amp; Garage|1307.00'), 'P2', 8, 90, 2020,'Ziegeldach, Dachruam ausgebaut'),</v>
      </c>
    </row>
    <row r="4758" spans="1:8" x14ac:dyDescent="0.25">
      <c r="A4758" s="9" t="s">
        <v>4010</v>
      </c>
      <c r="B4758" s="9" t="s">
        <v>1099</v>
      </c>
      <c r="C4758">
        <v>0</v>
      </c>
      <c r="D4758" t="s">
        <v>4080</v>
      </c>
      <c r="E4758">
        <v>2020</v>
      </c>
      <c r="F4758" s="9"/>
      <c r="H4758" s="20" t="str">
        <f t="shared" si="74"/>
        <v>(nextval('obj_part_id_seq'), (select id from obj_building_v where zip||'|'||street||'|'||name||'|'||volume = '8564|Schulstrasse 1|Wohnhaus &amp; Garage|1307.00'), 'P3', 0, null, 2020,null),</v>
      </c>
    </row>
    <row r="4759" spans="1:8" x14ac:dyDescent="0.25">
      <c r="A4759" s="9" t="s">
        <v>4010</v>
      </c>
      <c r="B4759" s="9" t="s">
        <v>1100</v>
      </c>
      <c r="C4759">
        <v>7</v>
      </c>
      <c r="D4759">
        <v>85</v>
      </c>
      <c r="E4759">
        <v>2020</v>
      </c>
      <c r="F4759" s="9" t="s">
        <v>4012</v>
      </c>
      <c r="H4759" s="20" t="str">
        <f t="shared" si="74"/>
        <v>(nextval('obj_part_id_seq'), (select id from obj_building_v where zip||'|'||street||'|'||name||'|'||volume = '8564|Schulstrasse 1|Wohnhaus &amp; Garage|1307.00'), 'P4', 7, 85, 2020,'Eternit, Beton, gestrichen'),</v>
      </c>
    </row>
    <row r="4760" spans="1:8" x14ac:dyDescent="0.25">
      <c r="A4760" s="9" t="s">
        <v>4010</v>
      </c>
      <c r="B4760" s="9" t="s">
        <v>1102</v>
      </c>
      <c r="C4760">
        <v>11</v>
      </c>
      <c r="D4760">
        <v>85</v>
      </c>
      <c r="E4760">
        <v>2020</v>
      </c>
      <c r="F4760" s="9" t="s">
        <v>4013</v>
      </c>
      <c r="H4760" s="20" t="str">
        <f t="shared" si="74"/>
        <v>(nextval('obj_part_id_seq'), (select id from obj_building_v where zip||'|'||street||'|'||name||'|'||volume = '8564|Schulstrasse 1|Wohnhaus &amp; Garage|1307.00'), 'P5', 11, 85, 2020,'Eingangstüre aus Holz und Glas, Kunststofffenster ''98, Garagentor'),</v>
      </c>
    </row>
    <row r="4761" spans="1:8" x14ac:dyDescent="0.25">
      <c r="A4761" s="9" t="s">
        <v>4010</v>
      </c>
      <c r="B4761" s="9" t="s">
        <v>1110</v>
      </c>
      <c r="C4761">
        <v>4</v>
      </c>
      <c r="D4761">
        <v>80</v>
      </c>
      <c r="E4761">
        <v>2020</v>
      </c>
      <c r="F4761" s="9" t="s">
        <v>4014</v>
      </c>
      <c r="H4761" s="20" t="str">
        <f t="shared" si="74"/>
        <v>(nextval('obj_part_id_seq'), (select id from obj_building_v where zip||'|'||street||'|'||name||'|'||volume = '8564|Schulstrasse 1|Wohnhaus &amp; Garage|1307.00'), 'P9', 4, 80, 2020,'tw. nicht genügend abgesichert, FI-Schutzschalter vorh.'),</v>
      </c>
    </row>
    <row r="4762" spans="1:8" x14ac:dyDescent="0.25">
      <c r="A4762" s="9" t="s">
        <v>4010</v>
      </c>
      <c r="B4762" s="9" t="s">
        <v>1104</v>
      </c>
      <c r="C4762">
        <v>2</v>
      </c>
      <c r="D4762">
        <v>90</v>
      </c>
      <c r="E4762">
        <v>2020</v>
      </c>
      <c r="F4762" s="9" t="s">
        <v>4015</v>
      </c>
      <c r="H4762" s="20" t="str">
        <f t="shared" si="74"/>
        <v>(nextval('obj_part_id_seq'), (select id from obj_building_v where zip||'|'||street||'|'||name||'|'||volume = '8564|Schulstrasse 1|Wohnhaus &amp; Garage|1307.00'), 'P6', 2, 90, 2020,'Fernwärme von der Schule, Boiler'),</v>
      </c>
    </row>
    <row r="4763" spans="1:8" x14ac:dyDescent="0.25">
      <c r="A4763" s="9" t="s">
        <v>4010</v>
      </c>
      <c r="B4763" s="9" t="s">
        <v>1106</v>
      </c>
      <c r="C4763">
        <v>3</v>
      </c>
      <c r="D4763">
        <v>85</v>
      </c>
      <c r="E4763">
        <v>2020</v>
      </c>
      <c r="F4763" s="9" t="s">
        <v>1107</v>
      </c>
      <c r="H4763" s="20" t="str">
        <f t="shared" si="74"/>
        <v>(nextval('obj_part_id_seq'), (select id from obj_building_v where zip||'|'||street||'|'||name||'|'||volume = '8564|Schulstrasse 1|Wohnhaus &amp; Garage|1307.00'), 'P7', 3, 85, 2020,'Radiatoren mit Thermostaten'),</v>
      </c>
    </row>
    <row r="4764" spans="1:8" x14ac:dyDescent="0.25">
      <c r="A4764" s="9" t="s">
        <v>4010</v>
      </c>
      <c r="B4764" s="9" t="s">
        <v>1135</v>
      </c>
      <c r="C4764">
        <v>3</v>
      </c>
      <c r="D4764">
        <v>90</v>
      </c>
      <c r="E4764">
        <v>2020</v>
      </c>
      <c r="F4764" s="9" t="s">
        <v>4016</v>
      </c>
      <c r="H4764" s="20" t="str">
        <f t="shared" si="74"/>
        <v>(nextval('obj_part_id_seq'), (select id from obj_building_v where zip||'|'||street||'|'||name||'|'||volume = '8564|Schulstrasse 1|Wohnhaus &amp; Garage|1307.00'), 'P54', 3, 90, 2020,'WC, Duschen, keine Mängel bekannt'),</v>
      </c>
    </row>
    <row r="4765" spans="1:8" x14ac:dyDescent="0.25">
      <c r="A4765" s="9" t="s">
        <v>4010</v>
      </c>
      <c r="B4765" s="9" t="s">
        <v>1137</v>
      </c>
      <c r="C4765">
        <v>4</v>
      </c>
      <c r="D4765">
        <v>80</v>
      </c>
      <c r="E4765">
        <v>2020</v>
      </c>
      <c r="F4765" s="9" t="s">
        <v>4017</v>
      </c>
      <c r="H4765" s="20" t="str">
        <f t="shared" si="74"/>
        <v>(nextval('obj_part_id_seq'), (select id from obj_building_v where zip||'|'||street||'|'||name||'|'||volume = '8564|Schulstrasse 1|Wohnhaus &amp; Garage|1307.00'), 'P55', 4, 80, 2020,'Druck der Leitungen mangelhaft, tw. rostig (bei der Dusche)'),</v>
      </c>
    </row>
    <row r="4766" spans="1:8" x14ac:dyDescent="0.25">
      <c r="A4766" s="9" t="s">
        <v>4010</v>
      </c>
      <c r="B4766" s="9" t="s">
        <v>1155</v>
      </c>
      <c r="C4766">
        <v>0</v>
      </c>
      <c r="D4766" t="s">
        <v>4080</v>
      </c>
      <c r="E4766">
        <v>2020</v>
      </c>
      <c r="F4766" s="9"/>
      <c r="H4766" s="20" t="str">
        <f t="shared" si="74"/>
        <v>(nextval('obj_part_id_seq'), (select id from obj_building_v where zip||'|'||street||'|'||name||'|'||volume = '8564|Schulstrasse 1|Wohnhaus &amp; Garage|1307.00'), 'P56', 0, null, 2020,null),</v>
      </c>
    </row>
    <row r="4767" spans="1:8" x14ac:dyDescent="0.25">
      <c r="A4767" s="9" t="s">
        <v>4010</v>
      </c>
      <c r="B4767" s="9" t="s">
        <v>1138</v>
      </c>
      <c r="C4767">
        <v>9</v>
      </c>
      <c r="D4767">
        <v>90</v>
      </c>
      <c r="E4767">
        <v>2020</v>
      </c>
      <c r="F4767" s="9" t="s">
        <v>4018</v>
      </c>
      <c r="H4767" s="20" t="str">
        <f t="shared" si="74"/>
        <v>(nextval('obj_part_id_seq'), (select id from obj_building_v where zip||'|'||street||'|'||name||'|'||volume = '8564|Schulstrasse 1|Wohnhaus &amp; Garage|1307.00'), 'P57', 9, 90, 2020,'Einnbauschränke, Fenster- und Vorhangbretter, Innentüren aus Holz'),</v>
      </c>
    </row>
    <row r="4768" spans="1:8" x14ac:dyDescent="0.25">
      <c r="A4768" s="9" t="s">
        <v>4010</v>
      </c>
      <c r="B4768" s="9" t="s">
        <v>1140</v>
      </c>
      <c r="C4768">
        <v>8</v>
      </c>
      <c r="D4768">
        <v>90</v>
      </c>
      <c r="E4768">
        <v>2020</v>
      </c>
      <c r="F4768" s="9" t="s">
        <v>4019</v>
      </c>
      <c r="H4768" s="20" t="str">
        <f t="shared" si="74"/>
        <v>(nextval('obj_part_id_seq'), (select id from obj_building_v where zip||'|'||street||'|'||name||'|'||volume = '8564|Schulstrasse 1|Wohnhaus &amp; Garage|1307.00'), 'P58', 8, 90, 2020,'Boden: Parkett, Treppe: Teppich, PVC, Laminat\nWand: Tapette\nGarage und Keller: aus Beton'),</v>
      </c>
    </row>
    <row r="4769" spans="1:8" x14ac:dyDescent="0.25">
      <c r="A4769" s="9" t="s">
        <v>4010</v>
      </c>
      <c r="B4769" s="9" t="s">
        <v>1157</v>
      </c>
      <c r="C4769">
        <v>4</v>
      </c>
      <c r="D4769">
        <v>90</v>
      </c>
      <c r="E4769">
        <v>2020</v>
      </c>
      <c r="F4769" s="9" t="s">
        <v>4020</v>
      </c>
      <c r="H4769" s="20" t="str">
        <f t="shared" si="74"/>
        <v>(nextval('obj_part_id_seq'), (select id from obj_building_v where zip||'|'||street||'|'||name||'|'||volume = '8564|Schulstrasse 1|Wohnhaus &amp; Garage|1307.00'), 'P59', 4, 90, 2020,'Backofen, GK-Herd, GSP, Natursteinabdeckung'),</v>
      </c>
    </row>
    <row r="4770" spans="1:8" x14ac:dyDescent="0.25">
      <c r="A4770" s="9" t="s">
        <v>4010</v>
      </c>
      <c r="B4770" s="9" t="s">
        <v>1142</v>
      </c>
      <c r="C4770">
        <v>0</v>
      </c>
      <c r="D4770" t="s">
        <v>4080</v>
      </c>
      <c r="E4770">
        <v>2020</v>
      </c>
      <c r="F4770" s="9"/>
      <c r="H4770" s="20" t="str">
        <f t="shared" si="74"/>
        <v>(nextval('obj_part_id_seq'), (select id from obj_building_v where zip||'|'||street||'|'||name||'|'||volume = '8564|Schulstrasse 1|Wohnhaus &amp; Garage|1307.00'), 'P60', 0, null, 2020,null),</v>
      </c>
    </row>
    <row r="4771" spans="1:8" x14ac:dyDescent="0.25">
      <c r="A4771" s="9" t="s">
        <v>4010</v>
      </c>
      <c r="B4771" s="9" t="s">
        <v>1143</v>
      </c>
      <c r="C4771">
        <v>0</v>
      </c>
      <c r="D4771" t="s">
        <v>4080</v>
      </c>
      <c r="E4771">
        <v>2020</v>
      </c>
      <c r="F4771" s="9"/>
      <c r="H4771" s="20" t="str">
        <f t="shared" si="74"/>
        <v>(nextval('obj_part_id_seq'), (select id from obj_building_v where zip||'|'||street||'|'||name||'|'||volume = '8564|Schulstrasse 1|Wohnhaus &amp; Garage|1307.00'), 'P61', 0, null, 2020,null),</v>
      </c>
    </row>
    <row r="4772" spans="1:8" x14ac:dyDescent="0.25">
      <c r="A4772" s="9" t="s">
        <v>4010</v>
      </c>
      <c r="B4772" s="9" t="s">
        <v>1144</v>
      </c>
      <c r="C4772">
        <v>0</v>
      </c>
      <c r="D4772" t="s">
        <v>4080</v>
      </c>
      <c r="E4772">
        <v>2020</v>
      </c>
      <c r="F4772" s="9"/>
      <c r="H4772" s="20" t="str">
        <f t="shared" si="74"/>
        <v>(nextval('obj_part_id_seq'), (select id from obj_building_v where zip||'|'||street||'|'||name||'|'||volume = '8564|Schulstrasse 1|Wohnhaus &amp; Garage|1307.00'), 'P62', 0, null, 2020,null),</v>
      </c>
    </row>
    <row r="4773" spans="1:8" x14ac:dyDescent="0.25">
      <c r="A4773" s="9" t="s">
        <v>4021</v>
      </c>
      <c r="B4773" s="9" t="s">
        <v>1127</v>
      </c>
      <c r="C4773">
        <v>36</v>
      </c>
      <c r="D4773">
        <v>90</v>
      </c>
      <c r="E4773">
        <v>2020</v>
      </c>
      <c r="F4773" s="9" t="s">
        <v>1369</v>
      </c>
      <c r="H4773" s="20" t="str">
        <f t="shared" si="74"/>
        <v>(nextval('obj_part_id_seq'), (select id from obj_building_v where zip||'|'||street||'|'||name||'|'||volume = '8558|Schulstrasse 7|Mittelstufe Raperswilen Neubau|3405.00'), 'P48', 36, 90, 2020,'Stahlbeton, Mauerwerk'),</v>
      </c>
    </row>
    <row r="4774" spans="1:8" x14ac:dyDescent="0.25">
      <c r="A4774" s="9" t="s">
        <v>4021</v>
      </c>
      <c r="B4774" s="9" t="s">
        <v>1129</v>
      </c>
      <c r="C4774">
        <v>0</v>
      </c>
      <c r="D4774" t="s">
        <v>4080</v>
      </c>
      <c r="E4774">
        <v>2020</v>
      </c>
      <c r="F4774" s="9"/>
      <c r="H4774" s="20" t="str">
        <f t="shared" si="74"/>
        <v>(nextval('obj_part_id_seq'), (select id from obj_building_v where zip||'|'||street||'|'||name||'|'||volume = '8558|Schulstrasse 7|Mittelstufe Raperswilen Neubau|3405.00'), 'P49', 0, null, 2020,null),</v>
      </c>
    </row>
    <row r="4775" spans="1:8" x14ac:dyDescent="0.25">
      <c r="A4775" s="9" t="s">
        <v>4021</v>
      </c>
      <c r="B4775" s="9" t="s">
        <v>1097</v>
      </c>
      <c r="C4775">
        <v>6</v>
      </c>
      <c r="D4775">
        <v>90</v>
      </c>
      <c r="E4775">
        <v>2020</v>
      </c>
      <c r="F4775" s="9" t="s">
        <v>4022</v>
      </c>
      <c r="H4775" s="20" t="str">
        <f t="shared" si="74"/>
        <v>(nextval('obj_part_id_seq'), (select id from obj_building_v where zip||'|'||street||'|'||name||'|'||volume = '8558|Schulstrasse 7|Mittelstufe Raperswilen Neubau|3405.00'), 'P2', 6, 90, 2020,'Eternitschindeldach, Dachraum ist isoliert und trocken, Unterdach aus Pressspanplatten, Gaupe mit Eternitplatten verkl.'),</v>
      </c>
    </row>
    <row r="4776" spans="1:8" x14ac:dyDescent="0.25">
      <c r="A4776" s="9" t="s">
        <v>4021</v>
      </c>
      <c r="B4776" s="9" t="s">
        <v>1099</v>
      </c>
      <c r="C4776">
        <v>1</v>
      </c>
      <c r="D4776">
        <v>90</v>
      </c>
      <c r="E4776">
        <v>2020</v>
      </c>
      <c r="F4776" s="9" t="s">
        <v>4023</v>
      </c>
      <c r="H4776" s="20" t="str">
        <f t="shared" si="74"/>
        <v>(nextval('obj_part_id_seq'), (select id from obj_building_v where zip||'|'||street||'|'||name||'|'||volume = '8558|Schulstrasse 7|Mittelstufe Raperswilen Neubau|3405.00'), 'P3', 1, 90, 2020,'Kiesklebedach über der Garage'),</v>
      </c>
    </row>
    <row r="4777" spans="1:8" x14ac:dyDescent="0.25">
      <c r="A4777" s="9" t="s">
        <v>4021</v>
      </c>
      <c r="B4777" s="9" t="s">
        <v>1100</v>
      </c>
      <c r="C4777">
        <v>10</v>
      </c>
      <c r="D4777">
        <v>90</v>
      </c>
      <c r="E4777">
        <v>2020</v>
      </c>
      <c r="F4777" s="9" t="s">
        <v>1716</v>
      </c>
      <c r="H4777" s="20" t="str">
        <f t="shared" si="74"/>
        <v>(nextval('obj_part_id_seq'), (select id from obj_building_v where zip||'|'||street||'|'||name||'|'||volume = '8558|Schulstrasse 7|Mittelstufe Raperswilen Neubau|3405.00'), 'P4', 10, 90, 2020,'Mauerwerk, verputzt'),</v>
      </c>
    </row>
    <row r="4778" spans="1:8" x14ac:dyDescent="0.25">
      <c r="A4778" s="9" t="s">
        <v>4021</v>
      </c>
      <c r="B4778" s="9" t="s">
        <v>1102</v>
      </c>
      <c r="C4778">
        <v>9</v>
      </c>
      <c r="D4778">
        <v>90</v>
      </c>
      <c r="E4778">
        <v>2020</v>
      </c>
      <c r="F4778" s="9" t="s">
        <v>4024</v>
      </c>
      <c r="H4778" s="20" t="str">
        <f t="shared" si="74"/>
        <v>(nextval('obj_part_id_seq'), (select id from obj_building_v where zip||'|'||street||'|'||name||'|'||volume = '8558|Schulstrasse 7|Mittelstufe Raperswilen Neubau|3405.00'), 'P5', 9, 90, 2020,'Eingangstür aus Alu und Glas, Holz-/Metall-Fenster, tw. neuwertige Fenster ''13, Wohnung: Dachflächenfenster, Holzfenster'),</v>
      </c>
    </row>
    <row r="4779" spans="1:8" x14ac:dyDescent="0.25">
      <c r="A4779" s="9" t="s">
        <v>4021</v>
      </c>
      <c r="B4779" s="9" t="s">
        <v>1164</v>
      </c>
      <c r="C4779">
        <v>6</v>
      </c>
      <c r="D4779">
        <v>90</v>
      </c>
      <c r="E4779">
        <v>2020</v>
      </c>
      <c r="F4779" s="9" t="s">
        <v>4025</v>
      </c>
      <c r="H4779" s="20" t="str">
        <f t="shared" si="74"/>
        <v>(nextval('obj_part_id_seq'), (select id from obj_building_v where zip||'|'||street||'|'||name||'|'||volume = '8558|Schulstrasse 7|Mittelstufe Raperswilen Neubau|3405.00'), 'P50', 6, 90, 2020,'Sicherungen, FI-Schutzschalter'),</v>
      </c>
    </row>
    <row r="4780" spans="1:8" x14ac:dyDescent="0.25">
      <c r="A4780" s="9" t="s">
        <v>4021</v>
      </c>
      <c r="B4780" s="9" t="s">
        <v>1166</v>
      </c>
      <c r="C4780">
        <v>1</v>
      </c>
      <c r="D4780">
        <v>90</v>
      </c>
      <c r="E4780">
        <v>2020</v>
      </c>
      <c r="F4780" s="9" t="s">
        <v>4026</v>
      </c>
      <c r="H4780" s="20" t="str">
        <f t="shared" si="74"/>
        <v>(nextval('obj_part_id_seq'), (select id from obj_building_v where zip||'|'||street||'|'||name||'|'||volume = '8558|Schulstrasse 7|Mittelstufe Raperswilen Neubau|3405.00'), 'P51', 1, 90, 2020,'Sonnerie, TV/Telefon'),</v>
      </c>
    </row>
    <row r="4781" spans="1:8" x14ac:dyDescent="0.25">
      <c r="A4781" s="9" t="s">
        <v>4021</v>
      </c>
      <c r="B4781" s="9" t="s">
        <v>1104</v>
      </c>
      <c r="C4781">
        <v>1</v>
      </c>
      <c r="D4781">
        <v>90</v>
      </c>
      <c r="E4781">
        <v>2020</v>
      </c>
      <c r="F4781" s="9" t="s">
        <v>1235</v>
      </c>
      <c r="H4781" s="20" t="str">
        <f t="shared" si="74"/>
        <v>(nextval('obj_part_id_seq'), (select id from obj_building_v where zip||'|'||street||'|'||name||'|'||volume = '8558|Schulstrasse 7|Mittelstufe Raperswilen Neubau|3405.00'), 'P6', 1, 90, 2020,'Fernwärme'),</v>
      </c>
    </row>
    <row r="4782" spans="1:8" x14ac:dyDescent="0.25">
      <c r="A4782" s="9" t="s">
        <v>4021</v>
      </c>
      <c r="B4782" s="9" t="s">
        <v>1106</v>
      </c>
      <c r="C4782">
        <v>2</v>
      </c>
      <c r="D4782">
        <v>80</v>
      </c>
      <c r="E4782">
        <v>2020</v>
      </c>
      <c r="F4782" s="9" t="s">
        <v>4027</v>
      </c>
      <c r="H4782" s="20" t="str">
        <f t="shared" si="74"/>
        <v>(nextval('obj_part_id_seq'), (select id from obj_building_v where zip||'|'||street||'|'||name||'|'||volume = '8558|Schulstrasse 7|Mittelstufe Raperswilen Neubau|3405.00'), 'P7', 2, 80, 2020,'Radiatoren mit Thermostaten, in der Wohnung tw. keine Thermostate vorhanden'),</v>
      </c>
    </row>
    <row r="4783" spans="1:8" x14ac:dyDescent="0.25">
      <c r="A4783" s="9" t="s">
        <v>4021</v>
      </c>
      <c r="B4783" s="9" t="s">
        <v>1403</v>
      </c>
      <c r="C4783">
        <v>2</v>
      </c>
      <c r="D4783">
        <v>90</v>
      </c>
      <c r="E4783">
        <v>2020</v>
      </c>
      <c r="F4783" s="9" t="s">
        <v>4028</v>
      </c>
      <c r="H4783" s="20" t="str">
        <f t="shared" si="74"/>
        <v>(nextval('obj_part_id_seq'), (select id from obj_building_v where zip||'|'||street||'|'||name||'|'||volume = '8558|Schulstrasse 7|Mittelstufe Raperswilen Neubau|3405.00'), 'P52', 2, 90, 2020,'Garderobenlüftung'),</v>
      </c>
    </row>
    <row r="4784" spans="1:8" x14ac:dyDescent="0.25">
      <c r="A4784" s="9" t="s">
        <v>4021</v>
      </c>
      <c r="B4784" s="9" t="s">
        <v>1404</v>
      </c>
      <c r="C4784">
        <v>1</v>
      </c>
      <c r="D4784">
        <v>90</v>
      </c>
      <c r="E4784">
        <v>2020</v>
      </c>
      <c r="F4784" s="9" t="s">
        <v>4029</v>
      </c>
      <c r="H4784" s="20" t="str">
        <f t="shared" si="74"/>
        <v>(nextval('obj_part_id_seq'), (select id from obj_building_v where zip||'|'||street||'|'||name||'|'||volume = '8558|Schulstrasse 7|Mittelstufe Raperswilen Neubau|3405.00'), 'P53', 1, 90, 2020,'Lüftungsrohre und -gitter'),</v>
      </c>
    </row>
    <row r="4785" spans="1:8" x14ac:dyDescent="0.25">
      <c r="A4785" s="9" t="s">
        <v>4021</v>
      </c>
      <c r="B4785" s="9" t="s">
        <v>1108</v>
      </c>
      <c r="C4785">
        <v>4</v>
      </c>
      <c r="D4785">
        <v>85</v>
      </c>
      <c r="E4785">
        <v>2020</v>
      </c>
      <c r="F4785" s="9" t="s">
        <v>4030</v>
      </c>
      <c r="H4785" s="20" t="str">
        <f t="shared" si="74"/>
        <v>(nextval('obj_part_id_seq'), (select id from obj_building_v where zip||'|'||street||'|'||name||'|'||volume = '8558|Schulstrasse 7|Mittelstufe Raperswilen Neubau|3405.00'), 'P8', 4, 85, 2020,'Druck, Leitungen und Apparate in Ordnung, Duschen, WC,, Wohnung: Durchfluss und Ablauf in Ordnung, Waschmaschine'),</v>
      </c>
    </row>
    <row r="4786" spans="1:8" x14ac:dyDescent="0.25">
      <c r="A4786" s="9" t="s">
        <v>4021</v>
      </c>
      <c r="B4786" s="9" t="s">
        <v>1155</v>
      </c>
      <c r="C4786">
        <v>0</v>
      </c>
      <c r="D4786" t="s">
        <v>4080</v>
      </c>
      <c r="E4786">
        <v>2020</v>
      </c>
      <c r="F4786" s="9"/>
      <c r="H4786" s="20" t="str">
        <f t="shared" si="74"/>
        <v>(nextval('obj_part_id_seq'), (select id from obj_building_v where zip||'|'||street||'|'||name||'|'||volume = '8558|Schulstrasse 7|Mittelstufe Raperswilen Neubau|3405.00'), 'P56', 0, null, 2020,null),</v>
      </c>
    </row>
    <row r="4787" spans="1:8" x14ac:dyDescent="0.25">
      <c r="A4787" s="9" t="s">
        <v>4021</v>
      </c>
      <c r="B4787" s="9" t="s">
        <v>1138</v>
      </c>
      <c r="C4787">
        <v>12</v>
      </c>
      <c r="D4787">
        <v>85</v>
      </c>
      <c r="E4787">
        <v>2020</v>
      </c>
      <c r="F4787" s="9" t="s">
        <v>4031</v>
      </c>
      <c r="H4787" s="20" t="str">
        <f t="shared" si="74"/>
        <v>(nextval('obj_part_id_seq'), (select id from obj_building_v where zip||'|'||street||'|'||name||'|'||volume = '8558|Schulstrasse 7|Mittelstufe Raperswilen Neubau|3405.00'), 'P57', 12, 85, 2020,'Garderoben, Fenstersimse, Metallgitter im Geräterraum, Teeküche'),</v>
      </c>
    </row>
    <row r="4788" spans="1:8" x14ac:dyDescent="0.25">
      <c r="A4788" s="9" t="s">
        <v>4021</v>
      </c>
      <c r="B4788" s="9" t="s">
        <v>1140</v>
      </c>
      <c r="C4788">
        <v>9</v>
      </c>
      <c r="D4788">
        <v>85</v>
      </c>
      <c r="E4788">
        <v>2020</v>
      </c>
      <c r="F4788" s="9" t="s">
        <v>4032</v>
      </c>
      <c r="H4788" s="20" t="str">
        <f t="shared" si="74"/>
        <v>(nextval('obj_part_id_seq'), (select id from obj_building_v where zip||'|'||street||'|'||name||'|'||volume = '8558|Schulstrasse 7|Mittelstufe Raperswilen Neubau|3405.00'), 'P58', 9, 85, 2020,'Boden: Kunststein, Turnhallenboden, Linol, Parkett, Zement, gestrichen\nDecke: Holztäfer\nWand: Putz, Glasfasertapeten\nWohnung: Wand: verputzt, tw. Keramikplatten im WC Dach: Holztäfer, Boden: Kunststein, Parkett, Linol, Laminat, tw. abgenutzter Boden i'),</v>
      </c>
    </row>
    <row r="4789" spans="1:8" x14ac:dyDescent="0.25">
      <c r="A4789" s="9" t="s">
        <v>4021</v>
      </c>
      <c r="B4789" s="9" t="s">
        <v>1142</v>
      </c>
      <c r="C4789">
        <v>0</v>
      </c>
      <c r="D4789" t="s">
        <v>4080</v>
      </c>
      <c r="E4789">
        <v>2020</v>
      </c>
      <c r="F4789" s="9"/>
      <c r="H4789" s="20" t="str">
        <f t="shared" si="74"/>
        <v>(nextval('obj_part_id_seq'), (select id from obj_building_v where zip||'|'||street||'|'||name||'|'||volume = '8558|Schulstrasse 7|Mittelstufe Raperswilen Neubau|3405.00'), 'P60', 0, null, 2020,null),</v>
      </c>
    </row>
    <row r="4790" spans="1:8" x14ac:dyDescent="0.25">
      <c r="A4790" s="9" t="s">
        <v>4021</v>
      </c>
      <c r="B4790" s="9" t="s">
        <v>1143</v>
      </c>
      <c r="C4790">
        <v>0</v>
      </c>
      <c r="D4790" t="s">
        <v>4080</v>
      </c>
      <c r="E4790">
        <v>2020</v>
      </c>
      <c r="F4790" s="9"/>
      <c r="H4790" s="20" t="str">
        <f t="shared" si="74"/>
        <v>(nextval('obj_part_id_seq'), (select id from obj_building_v where zip||'|'||street||'|'||name||'|'||volume = '8558|Schulstrasse 7|Mittelstufe Raperswilen Neubau|3405.00'), 'P61', 0, null, 2020,null),</v>
      </c>
    </row>
    <row r="4791" spans="1:8" x14ac:dyDescent="0.25">
      <c r="A4791" s="9" t="s">
        <v>4021</v>
      </c>
      <c r="B4791" s="9" t="s">
        <v>1144</v>
      </c>
      <c r="C4791">
        <v>0</v>
      </c>
      <c r="D4791" t="s">
        <v>4080</v>
      </c>
      <c r="E4791">
        <v>2020</v>
      </c>
      <c r="F4791" s="9"/>
      <c r="H4791" s="20" t="str">
        <f t="shared" si="74"/>
        <v>(nextval('obj_part_id_seq'), (select id from obj_building_v where zip||'|'||street||'|'||name||'|'||volume = '8558|Schulstrasse 7|Mittelstufe Raperswilen Neubau|3405.00'), 'P62', 0, null, 2020,null),</v>
      </c>
    </row>
    <row r="4792" spans="1:8" x14ac:dyDescent="0.25">
      <c r="A4792" s="9" t="s">
        <v>4033</v>
      </c>
      <c r="B4792" s="9" t="s">
        <v>1127</v>
      </c>
      <c r="C4792">
        <v>38</v>
      </c>
      <c r="D4792">
        <v>90</v>
      </c>
      <c r="E4792">
        <v>2020</v>
      </c>
      <c r="F4792" s="9" t="s">
        <v>1369</v>
      </c>
      <c r="H4792" s="20" t="str">
        <f t="shared" si="74"/>
        <v>(nextval('obj_part_id_seq'), (select id from obj_building_v where zip||'|'||street||'|'||name||'|'||volume = '8558|Schulstrasse 7|Wohnhaus- Garage|1301.00'), 'P48', 38, 90, 2020,'Stahlbeton, Mauerwerk'),</v>
      </c>
    </row>
    <row r="4793" spans="1:8" x14ac:dyDescent="0.25">
      <c r="A4793" s="9" t="s">
        <v>4033</v>
      </c>
      <c r="B4793" s="9" t="s">
        <v>1129</v>
      </c>
      <c r="C4793">
        <v>0</v>
      </c>
      <c r="D4793" t="s">
        <v>4080</v>
      </c>
      <c r="E4793">
        <v>2020</v>
      </c>
      <c r="F4793" s="9"/>
      <c r="H4793" s="20" t="str">
        <f t="shared" si="74"/>
        <v>(nextval('obj_part_id_seq'), (select id from obj_building_v where zip||'|'||street||'|'||name||'|'||volume = '8558|Schulstrasse 7|Wohnhaus- Garage|1301.00'), 'P49', 0, null, 2020,null),</v>
      </c>
    </row>
    <row r="4794" spans="1:8" x14ac:dyDescent="0.25">
      <c r="A4794" s="9" t="s">
        <v>4033</v>
      </c>
      <c r="B4794" s="9" t="s">
        <v>1097</v>
      </c>
      <c r="C4794">
        <v>7</v>
      </c>
      <c r="D4794">
        <v>90</v>
      </c>
      <c r="E4794">
        <v>2020</v>
      </c>
      <c r="F4794" s="9" t="s">
        <v>4034</v>
      </c>
      <c r="H4794" s="20" t="str">
        <f t="shared" si="74"/>
        <v>(nextval('obj_part_id_seq'), (select id from obj_building_v where zip||'|'||street||'|'||name||'|'||volume = '8558|Schulstrasse 7|Wohnhaus- Garage|1301.00'), 'P2', 7, 90, 2020,'Eternitschindeldach, Dachraum trocken, Dachflächenfenster'),</v>
      </c>
    </row>
    <row r="4795" spans="1:8" x14ac:dyDescent="0.25">
      <c r="A4795" s="9" t="s">
        <v>4033</v>
      </c>
      <c r="B4795" s="9" t="s">
        <v>1099</v>
      </c>
      <c r="C4795">
        <v>1</v>
      </c>
      <c r="D4795">
        <v>90</v>
      </c>
      <c r="E4795">
        <v>2020</v>
      </c>
      <c r="F4795" s="9" t="s">
        <v>4035</v>
      </c>
      <c r="H4795" s="20" t="str">
        <f t="shared" si="74"/>
        <v>(nextval('obj_part_id_seq'), (select id from obj_building_v where zip||'|'||street||'|'||name||'|'||volume = '8558|Schulstrasse 7|Wohnhaus- Garage|1301.00'), 'P3', 1, 90, 2020,'Kiesklebedach über Garage; keine Mängel bekannt'),</v>
      </c>
    </row>
    <row r="4796" spans="1:8" x14ac:dyDescent="0.25">
      <c r="A4796" s="9" t="s">
        <v>4033</v>
      </c>
      <c r="B4796" s="9" t="s">
        <v>1100</v>
      </c>
      <c r="C4796">
        <v>7</v>
      </c>
      <c r="D4796">
        <v>90</v>
      </c>
      <c r="E4796">
        <v>2020</v>
      </c>
      <c r="F4796" s="9" t="s">
        <v>4036</v>
      </c>
      <c r="H4796" s="20" t="str">
        <f t="shared" si="74"/>
        <v>(nextval('obj_part_id_seq'), (select id from obj_building_v where zip||'|'||street||'|'||name||'|'||volume = '8558|Schulstrasse 7|Wohnhaus- Garage|1301.00'), 'P4', 7, 90, 2020,'Mauerwerk, verputzt, vermutlich mit AWD'),</v>
      </c>
    </row>
    <row r="4797" spans="1:8" x14ac:dyDescent="0.25">
      <c r="A4797" s="9" t="s">
        <v>4033</v>
      </c>
      <c r="B4797" s="9" t="s">
        <v>1102</v>
      </c>
      <c r="C4797">
        <v>11</v>
      </c>
      <c r="D4797">
        <v>85</v>
      </c>
      <c r="E4797">
        <v>2020</v>
      </c>
      <c r="F4797" s="9" t="s">
        <v>4037</v>
      </c>
      <c r="H4797" s="20" t="str">
        <f t="shared" si="74"/>
        <v>(nextval('obj_part_id_seq'), (select id from obj_building_v where zip||'|'||street||'|'||name||'|'||volume = '8558|Schulstrasse 7|Wohnhaus- Garage|1301.00'), 'P5', 11, 85, 2020,'Holzfenster'),</v>
      </c>
    </row>
    <row r="4798" spans="1:8" x14ac:dyDescent="0.25">
      <c r="A4798" s="9" t="s">
        <v>4033</v>
      </c>
      <c r="B4798" s="9" t="s">
        <v>1110</v>
      </c>
      <c r="C4798">
        <v>4</v>
      </c>
      <c r="D4798">
        <v>90</v>
      </c>
      <c r="E4798">
        <v>2020</v>
      </c>
      <c r="F4798" s="9" t="s">
        <v>3988</v>
      </c>
      <c r="H4798" s="20" t="str">
        <f t="shared" si="74"/>
        <v>(nextval('obj_part_id_seq'), (select id from obj_building_v where zip||'|'||street||'|'||name||'|'||volume = '8558|Schulstrasse 7|Wohnhaus- Garage|1301.00'), 'P9', 4, 90, 2020,'Genügende Absicherung'),</v>
      </c>
    </row>
    <row r="4799" spans="1:8" x14ac:dyDescent="0.25">
      <c r="A4799" s="9" t="s">
        <v>4033</v>
      </c>
      <c r="B4799" s="9" t="s">
        <v>1104</v>
      </c>
      <c r="C4799">
        <v>1</v>
      </c>
      <c r="D4799">
        <v>90</v>
      </c>
      <c r="E4799">
        <v>2020</v>
      </c>
      <c r="F4799" s="9" t="s">
        <v>1235</v>
      </c>
      <c r="H4799" s="20" t="str">
        <f t="shared" si="74"/>
        <v>(nextval('obj_part_id_seq'), (select id from obj_building_v where zip||'|'||street||'|'||name||'|'||volume = '8558|Schulstrasse 7|Wohnhaus- Garage|1301.00'), 'P6', 1, 90, 2020,'Fernwärme'),</v>
      </c>
    </row>
    <row r="4800" spans="1:8" x14ac:dyDescent="0.25">
      <c r="A4800" s="9" t="s">
        <v>4033</v>
      </c>
      <c r="B4800" s="9" t="s">
        <v>1106</v>
      </c>
      <c r="C4800">
        <v>3</v>
      </c>
      <c r="D4800">
        <v>90</v>
      </c>
      <c r="E4800">
        <v>2020</v>
      </c>
      <c r="F4800" s="9" t="s">
        <v>4038</v>
      </c>
      <c r="H4800" s="20" t="str">
        <f t="shared" si="74"/>
        <v>(nextval('obj_part_id_seq'), (select id from obj_building_v where zip||'|'||street||'|'||name||'|'||volume = '8558|Schulstrasse 7|Wohnhaus- Garage|1301.00'), 'P7', 3, 90, 2020,'Rdiatoren mit Thermostaten (mit wenigen Ausnahmen)'),</v>
      </c>
    </row>
    <row r="4801" spans="1:8" x14ac:dyDescent="0.25">
      <c r="A4801" s="9" t="s">
        <v>4033</v>
      </c>
      <c r="B4801" s="9" t="s">
        <v>1135</v>
      </c>
      <c r="C4801">
        <v>3</v>
      </c>
      <c r="D4801">
        <v>80</v>
      </c>
      <c r="E4801">
        <v>2020</v>
      </c>
      <c r="F4801" s="9" t="s">
        <v>4039</v>
      </c>
      <c r="H4801" s="20" t="str">
        <f t="shared" si="74"/>
        <v>(nextval('obj_part_id_seq'), (select id from obj_building_v where zip||'|'||street||'|'||name||'|'||volume = '8558|Schulstrasse 7|Wohnhaus- Garage|1301.00'), 'P54', 3, 80, 2020,'Apparate älter, jedoch funktionstüchtig, WM vorh.'),</v>
      </c>
    </row>
    <row r="4802" spans="1:8" x14ac:dyDescent="0.25">
      <c r="A4802" s="9" t="s">
        <v>4033</v>
      </c>
      <c r="B4802" s="9" t="s">
        <v>1137</v>
      </c>
      <c r="C4802">
        <v>4</v>
      </c>
      <c r="D4802">
        <v>90</v>
      </c>
      <c r="E4802">
        <v>2020</v>
      </c>
      <c r="F4802" s="9" t="s">
        <v>3680</v>
      </c>
      <c r="H4802" s="20" t="str">
        <f t="shared" si="74"/>
        <v>(nextval('obj_part_id_seq'), (select id from obj_building_v where zip||'|'||street||'|'||name||'|'||volume = '8558|Schulstrasse 7|Wohnhaus- Garage|1301.00'), 'P55', 4, 90, 2020,'Genügend Druck vorhanden, Wasser kann ungehindert ablaufen'),</v>
      </c>
    </row>
    <row r="4803" spans="1:8" x14ac:dyDescent="0.25">
      <c r="A4803" s="9" t="s">
        <v>4033</v>
      </c>
      <c r="B4803" s="9" t="s">
        <v>1155</v>
      </c>
      <c r="C4803">
        <v>0</v>
      </c>
      <c r="D4803" t="s">
        <v>4080</v>
      </c>
      <c r="E4803">
        <v>2020</v>
      </c>
      <c r="F4803" s="9"/>
      <c r="H4803" s="20" t="str">
        <f t="shared" si="74"/>
        <v>(nextval('obj_part_id_seq'), (select id from obj_building_v where zip||'|'||street||'|'||name||'|'||volume = '8558|Schulstrasse 7|Wohnhaus- Garage|1301.00'), 'P56', 0, null, 2020,null),</v>
      </c>
    </row>
    <row r="4804" spans="1:8" x14ac:dyDescent="0.25">
      <c r="A4804" s="9" t="s">
        <v>4033</v>
      </c>
      <c r="B4804" s="9" t="s">
        <v>1138</v>
      </c>
      <c r="C4804">
        <v>9</v>
      </c>
      <c r="D4804">
        <v>85</v>
      </c>
      <c r="E4804">
        <v>2020</v>
      </c>
      <c r="F4804" s="9" t="s">
        <v>4040</v>
      </c>
      <c r="H4804" s="20" t="str">
        <f t="shared" si="74"/>
        <v>(nextval('obj_part_id_seq'), (select id from obj_building_v where zip||'|'||street||'|'||name||'|'||volume = '8558|Schulstrasse 7|Wohnhaus- Garage|1301.00'), 'P57', 9, 85, 2020,'Einbauschränke, Metallgeländer'),</v>
      </c>
    </row>
    <row r="4805" spans="1:8" x14ac:dyDescent="0.25">
      <c r="A4805" s="9" t="s">
        <v>4033</v>
      </c>
      <c r="B4805" s="9" t="s">
        <v>1140</v>
      </c>
      <c r="C4805">
        <v>8</v>
      </c>
      <c r="D4805">
        <v>85</v>
      </c>
      <c r="E4805">
        <v>2020</v>
      </c>
      <c r="F4805" s="9" t="s">
        <v>4041</v>
      </c>
      <c r="H4805" s="20" t="str">
        <f t="shared" ref="H4805:H4841" si="75">"(nextval('obj_part_id_seq'), (select id from obj_building_v where zip||'|'||street||'|'||name||'|'||volume = '"&amp;A4805&amp;"'), '"&amp;B4805&amp;"', "&amp;C4805&amp;", "&amp;D4805&amp;", "&amp;IF(ISBLANK(E4805),"null",E4805)&amp;","&amp;IF(ISBLANK(F4805),"null","'"&amp;F4805&amp;"'")&amp;"),"</f>
        <v>(nextval('obj_part_id_seq'), (select id from obj_building_v where zip||'|'||street||'|'||name||'|'||volume = '8558|Schulstrasse 7|Wohnhaus- Garage|1301.00'), 'P58', 8, 85, 2020,'B: Kunststein, Parkett, Linol, Lamminat, Teppich, im Keller Naturboden'),</v>
      </c>
    </row>
    <row r="4806" spans="1:8" x14ac:dyDescent="0.25">
      <c r="A4806" s="9" t="s">
        <v>4033</v>
      </c>
      <c r="B4806" s="9" t="s">
        <v>1157</v>
      </c>
      <c r="C4806">
        <v>4</v>
      </c>
      <c r="D4806">
        <v>85</v>
      </c>
      <c r="E4806">
        <v>2020</v>
      </c>
      <c r="F4806" s="9" t="s">
        <v>4042</v>
      </c>
      <c r="H4806" s="20" t="str">
        <f t="shared" si="75"/>
        <v>(nextval('obj_part_id_seq'), (select id from obj_building_v where zip||'|'||street||'|'||name||'|'||volume = '8558|Schulstrasse 7|Wohnhaus- Garage|1301.00'), 'P59', 4, 85, 2020,'Küche mit Glaskeramikkochfelder, Backofen, GSP, Chromstahlbecken'),</v>
      </c>
    </row>
    <row r="4807" spans="1:8" x14ac:dyDescent="0.25">
      <c r="A4807" s="9" t="s">
        <v>4033</v>
      </c>
      <c r="B4807" s="9" t="s">
        <v>1142</v>
      </c>
      <c r="C4807">
        <v>0</v>
      </c>
      <c r="D4807" t="s">
        <v>4080</v>
      </c>
      <c r="E4807">
        <v>2020</v>
      </c>
      <c r="F4807" s="9"/>
      <c r="H4807" s="20" t="str">
        <f t="shared" si="75"/>
        <v>(nextval('obj_part_id_seq'), (select id from obj_building_v where zip||'|'||street||'|'||name||'|'||volume = '8558|Schulstrasse 7|Wohnhaus- Garage|1301.00'), 'P60', 0, null, 2020,null),</v>
      </c>
    </row>
    <row r="4808" spans="1:8" x14ac:dyDescent="0.25">
      <c r="A4808" s="9" t="s">
        <v>4033</v>
      </c>
      <c r="B4808" s="9" t="s">
        <v>1143</v>
      </c>
      <c r="C4808">
        <v>0</v>
      </c>
      <c r="D4808" t="s">
        <v>4080</v>
      </c>
      <c r="E4808">
        <v>2020</v>
      </c>
      <c r="F4808" s="9"/>
      <c r="H4808" s="20" t="str">
        <f t="shared" si="75"/>
        <v>(nextval('obj_part_id_seq'), (select id from obj_building_v where zip||'|'||street||'|'||name||'|'||volume = '8558|Schulstrasse 7|Wohnhaus- Garage|1301.00'), 'P61', 0, null, 2020,null),</v>
      </c>
    </row>
    <row r="4809" spans="1:8" x14ac:dyDescent="0.25">
      <c r="A4809" s="9" t="s">
        <v>4033</v>
      </c>
      <c r="B4809" s="9" t="s">
        <v>1144</v>
      </c>
      <c r="C4809">
        <v>0</v>
      </c>
      <c r="D4809" t="s">
        <v>4080</v>
      </c>
      <c r="E4809">
        <v>2020</v>
      </c>
      <c r="F4809" s="9"/>
      <c r="H4809" s="20" t="str">
        <f t="shared" si="75"/>
        <v>(nextval('obj_part_id_seq'), (select id from obj_building_v where zip||'|'||street||'|'||name||'|'||volume = '8558|Schulstrasse 7|Wohnhaus- Garage|1301.00'), 'P62', 0, null, 2020,null),</v>
      </c>
    </row>
    <row r="4810" spans="1:8" x14ac:dyDescent="0.25">
      <c r="A4810" s="9" t="s">
        <v>4043</v>
      </c>
      <c r="B4810" s="9" t="s">
        <v>1127</v>
      </c>
      <c r="C4810">
        <v>38</v>
      </c>
      <c r="D4810">
        <v>90</v>
      </c>
      <c r="E4810">
        <v>2021</v>
      </c>
      <c r="F4810" s="9" t="s">
        <v>4044</v>
      </c>
      <c r="H4810" s="20" t="str">
        <f t="shared" si="75"/>
        <v>(nextval('obj_part_id_seq'), (select id from obj_building_v where zip||'|'||street||'|'||name||'|'||volume = '5425|Aemmert, Schladstrasse 21|Schulhaus, Zwischenbau, Pausenhalle|8521.00'), 'P48', 38, 90, 2021,'Stahlbeton, Mauerwerk, Anbau 2017: Systemholzbau'),</v>
      </c>
    </row>
    <row r="4811" spans="1:8" x14ac:dyDescent="0.25">
      <c r="A4811" s="9" t="s">
        <v>4043</v>
      </c>
      <c r="B4811" s="9" t="s">
        <v>1129</v>
      </c>
      <c r="C4811">
        <v>0</v>
      </c>
      <c r="D4811" t="s">
        <v>4080</v>
      </c>
      <c r="E4811">
        <v>2021</v>
      </c>
      <c r="F4811" s="9"/>
      <c r="H4811" s="20" t="str">
        <f t="shared" si="75"/>
        <v>(nextval('obj_part_id_seq'), (select id from obj_building_v where zip||'|'||street||'|'||name||'|'||volume = '5425|Aemmert, Schladstrasse 21|Schulhaus, Zwischenbau, Pausenhalle|8521.00'), 'P49', 0, null, 2021,null),</v>
      </c>
    </row>
    <row r="4812" spans="1:8" x14ac:dyDescent="0.25">
      <c r="A4812" s="9" t="s">
        <v>4043</v>
      </c>
      <c r="B4812" s="9" t="s">
        <v>1097</v>
      </c>
      <c r="C4812">
        <v>5</v>
      </c>
      <c r="D4812">
        <v>85</v>
      </c>
      <c r="E4812">
        <v>2021</v>
      </c>
      <c r="F4812" s="9" t="s">
        <v>4045</v>
      </c>
      <c r="H4812" s="20" t="str">
        <f t="shared" si="75"/>
        <v>(nextval('obj_part_id_seq'), (select id from obj_building_v where zip||'|'||street||'|'||name||'|'||volume = '5425|Aemmert, Schladstrasse 21|Schulhaus, Zwischenbau, Pausenhalle|8521.00'), 'P2', 5, 85, 2021,'Ziegeldach mit Solarpanels, mit Ausnahme einer lecken Stelle* Dachraum trocken'),</v>
      </c>
    </row>
    <row r="4813" spans="1:8" x14ac:dyDescent="0.25">
      <c r="A4813" s="9" t="s">
        <v>4043</v>
      </c>
      <c r="B4813" s="9" t="s">
        <v>1099</v>
      </c>
      <c r="C4813">
        <v>3</v>
      </c>
      <c r="D4813">
        <v>90</v>
      </c>
      <c r="E4813">
        <v>2021</v>
      </c>
      <c r="F4813" s="9" t="s">
        <v>4046</v>
      </c>
      <c r="H4813" s="20" t="str">
        <f t="shared" si="75"/>
        <v>(nextval('obj_part_id_seq'), (select id from obj_building_v where zip||'|'||street||'|'||name||'|'||volume = '5425|Aemmert, Schladstrasse 21|Schulhaus, Zwischenbau, Pausenhalle|8521.00'), 'P3', 3, 90, 2021,'Anbau ''17: Kiesklebedach, bituminös mit Oblichter, keine Mängel bekannt'),</v>
      </c>
    </row>
    <row r="4814" spans="1:8" x14ac:dyDescent="0.25">
      <c r="A4814" s="9" t="s">
        <v>4043</v>
      </c>
      <c r="B4814" s="9" t="s">
        <v>1100</v>
      </c>
      <c r="C4814">
        <v>7</v>
      </c>
      <c r="D4814">
        <v>85</v>
      </c>
      <c r="E4814">
        <v>2021</v>
      </c>
      <c r="F4814" s="9" t="s">
        <v>4047</v>
      </c>
      <c r="H4814" s="20" t="str">
        <f t="shared" si="75"/>
        <v>(nextval('obj_part_id_seq'), (select id from obj_building_v where zip||'|'||street||'|'||name||'|'||volume = '5425|Aemmert, Schladstrasse 21|Schulhaus, Zwischenbau, Pausenhalle|8521.00'), 'P4', 7, 85, 2021,'Sichtbetonelemente, Eternitschindeln, Putz, Holzelemente bei Anbau mit Eternitplatten'),</v>
      </c>
    </row>
    <row r="4815" spans="1:8" x14ac:dyDescent="0.25">
      <c r="A4815" s="9" t="s">
        <v>4043</v>
      </c>
      <c r="B4815" s="9" t="s">
        <v>1102</v>
      </c>
      <c r="C4815">
        <v>10</v>
      </c>
      <c r="D4815">
        <v>85</v>
      </c>
      <c r="E4815">
        <v>2021</v>
      </c>
      <c r="F4815" s="9" t="s">
        <v>4048</v>
      </c>
      <c r="H4815" s="20" t="str">
        <f t="shared" si="75"/>
        <v>(nextval('obj_part_id_seq'), (select id from obj_building_v where zip||'|'||street||'|'||name||'|'||volume = '5425|Aemmert, Schladstrasse 21|Schulhaus, Zwischenbau, Pausenhalle|8521.00'), 'P5', 10, 85, 2021,'Holzfenster mit 2-fach-IV bei Anbau 2000: mit Textilstoren, Anbau 2017: 3-fach-IV mit Rafflamellenstoren'),</v>
      </c>
    </row>
    <row r="4816" spans="1:8" x14ac:dyDescent="0.25">
      <c r="A4816" s="9" t="s">
        <v>4043</v>
      </c>
      <c r="B4816" s="9" t="s">
        <v>1164</v>
      </c>
      <c r="C4816">
        <v>6</v>
      </c>
      <c r="D4816">
        <v>85</v>
      </c>
      <c r="E4816">
        <v>2021</v>
      </c>
      <c r="F4816" s="9" t="s">
        <v>4049</v>
      </c>
      <c r="H4816" s="20" t="str">
        <f t="shared" si="75"/>
        <v>(nextval('obj_part_id_seq'), (select id from obj_building_v where zip||'|'||street||'|'||name||'|'||volume = '5425|Aemmert, Schladstrasse 21|Schulhaus, Zwischenbau, Pausenhalle|8521.00'), 'P50', 6, 85, 2021,'Beleuchtung ''00, FI-Schutzschalter und alte Keramiksicherungen vorh.'),</v>
      </c>
    </row>
    <row r="4817" spans="1:8" x14ac:dyDescent="0.25">
      <c r="A4817" s="9" t="s">
        <v>4043</v>
      </c>
      <c r="B4817" s="9" t="s">
        <v>1166</v>
      </c>
      <c r="C4817">
        <v>1</v>
      </c>
      <c r="D4817">
        <v>85</v>
      </c>
      <c r="E4817">
        <v>2021</v>
      </c>
      <c r="F4817" s="9" t="s">
        <v>4050</v>
      </c>
      <c r="H4817" s="20" t="str">
        <f t="shared" si="75"/>
        <v>(nextval('obj_part_id_seq'), (select id from obj_building_v where zip||'|'||street||'|'||name||'|'||volume = '5425|Aemmert, Schladstrasse 21|Schulhaus, Zwischenbau, Pausenhalle|8521.00'), 'P51', 1, 85, 2021,'Audioanlage/Gong, EDV-Anlage (Server, Verkabelung)'),</v>
      </c>
    </row>
    <row r="4818" spans="1:8" x14ac:dyDescent="0.25">
      <c r="A4818" s="9" t="s">
        <v>4043</v>
      </c>
      <c r="B4818" s="9" t="s">
        <v>1104</v>
      </c>
      <c r="C4818">
        <v>1</v>
      </c>
      <c r="D4818">
        <v>85</v>
      </c>
      <c r="E4818">
        <v>2021</v>
      </c>
      <c r="F4818" s="9" t="s">
        <v>4051</v>
      </c>
      <c r="H4818" s="20" t="str">
        <f t="shared" si="75"/>
        <v>(nextval('obj_part_id_seq'), (select id from obj_building_v where zip||'|'||street||'|'||name||'|'||volume = '5425|Aemmert, Schladstrasse 21|Schulhaus, Zwischenbau, Pausenhalle|8521.00'), 'P6', 1, 85, 2021,'Fernwärme mit Plattentauscher (''90/91)'),</v>
      </c>
    </row>
    <row r="4819" spans="1:8" x14ac:dyDescent="0.25">
      <c r="A4819" s="9" t="s">
        <v>4043</v>
      </c>
      <c r="B4819" s="9" t="s">
        <v>1106</v>
      </c>
      <c r="C4819">
        <v>3</v>
      </c>
      <c r="D4819">
        <v>85</v>
      </c>
      <c r="E4819">
        <v>2021</v>
      </c>
      <c r="F4819" s="9" t="s">
        <v>4052</v>
      </c>
      <c r="H4819" s="20" t="str">
        <f t="shared" si="75"/>
        <v>(nextval('obj_part_id_seq'), (select id from obj_building_v where zip||'|'||street||'|'||name||'|'||volume = '5425|Aemmert, Schladstrasse 21|Schulhaus, Zwischenbau, Pausenhalle|8521.00'), 'P7', 3, 85, 2021,'Heizkörper mit Thermostaten bei Altbau und bei Anbau ''00, bei Anbau 2017: Bodenheizung'),</v>
      </c>
    </row>
    <row r="4820" spans="1:8" x14ac:dyDescent="0.25">
      <c r="A4820" s="9" t="s">
        <v>4043</v>
      </c>
      <c r="B4820" s="9" t="s">
        <v>1108</v>
      </c>
      <c r="C4820">
        <v>4</v>
      </c>
      <c r="D4820">
        <v>85</v>
      </c>
      <c r="E4820">
        <v>2021</v>
      </c>
      <c r="F4820" s="9" t="s">
        <v>4053</v>
      </c>
      <c r="H4820" s="20" t="str">
        <f t="shared" si="75"/>
        <v>(nextval('obj_part_id_seq'), (select id from obj_building_v where zip||'|'||street||'|'||name||'|'||volume = '5425|Aemmert, Schladstrasse 21|Schulhaus, Zwischenbau, Pausenhalle|8521.00'), 'P8', 4, 85, 2021,'Leitungen: genügend Druck vorhanden, gelegentlich etwas Rost im Leitungswasser, keine Mischventile vorh.'),</v>
      </c>
    </row>
    <row r="4821" spans="1:8" x14ac:dyDescent="0.25">
      <c r="A4821" s="9" t="s">
        <v>4043</v>
      </c>
      <c r="B4821" s="9" t="s">
        <v>1138</v>
      </c>
      <c r="C4821">
        <v>11</v>
      </c>
      <c r="D4821">
        <v>85</v>
      </c>
      <c r="E4821">
        <v>2021</v>
      </c>
      <c r="F4821" s="9" t="s">
        <v>4054</v>
      </c>
      <c r="H4821" s="20" t="str">
        <f t="shared" si="75"/>
        <v>(nextval('obj_part_id_seq'), (select id from obj_building_v where zip||'|'||street||'|'||name||'|'||volume = '5425|Aemmert, Schladstrasse 21|Schulhaus, Zwischenbau, Pausenhalle|8521.00'), 'P57', 11, 85, 2021,'Arbeitssimse, Innere Verglasungen (Fenster urspr. Fassade), Garderoben, Teeküche im Lehrerzimmer, Küche im Tagesstrukturraum mit GSP, Induktionsherd und Backofen, Geländer: h=1.00m'),</v>
      </c>
    </row>
    <row r="4822" spans="1:8" x14ac:dyDescent="0.25">
      <c r="A4822" s="9" t="s">
        <v>4043</v>
      </c>
      <c r="B4822" s="9" t="s">
        <v>1140</v>
      </c>
      <c r="C4822">
        <v>8</v>
      </c>
      <c r="D4822">
        <v>85</v>
      </c>
      <c r="E4822">
        <v>2021</v>
      </c>
      <c r="F4822" s="9" t="s">
        <v>4055</v>
      </c>
      <c r="H4822" s="20" t="str">
        <f t="shared" si="75"/>
        <v>(nextval('obj_part_id_seq'), (select id from obj_building_v where zip||'|'||street||'|'||name||'|'||volume = '5425|Aemmert, Schladstrasse 21|Schulhaus, Zwischenbau, Pausenhalle|8521.00'), 'P58', 8, 85, 2021,'B: Kunststeinplatten, Linol, Korkplatten (''90/91)\nW: Holz, Akustikdämmung, Putz, gestrichen, Glasfasertapeten, Holztafeln, Keramikpl. in WC, Abrieb im UG'),</v>
      </c>
    </row>
    <row r="4823" spans="1:8" x14ac:dyDescent="0.25">
      <c r="A4823" s="9" t="s">
        <v>4043</v>
      </c>
      <c r="B4823" s="9" t="s">
        <v>1142</v>
      </c>
      <c r="C4823">
        <v>0</v>
      </c>
      <c r="D4823" t="s">
        <v>4080</v>
      </c>
      <c r="E4823">
        <v>2021</v>
      </c>
      <c r="F4823" s="9"/>
      <c r="H4823" s="20" t="str">
        <f t="shared" si="75"/>
        <v>(nextval('obj_part_id_seq'), (select id from obj_building_v where zip||'|'||street||'|'||name||'|'||volume = '5425|Aemmert, Schladstrasse 21|Schulhaus, Zwischenbau, Pausenhalle|8521.00'), 'P60', 0, null, 2021,null),</v>
      </c>
    </row>
    <row r="4824" spans="1:8" x14ac:dyDescent="0.25">
      <c r="A4824" s="9" t="s">
        <v>4043</v>
      </c>
      <c r="B4824" s="9" t="s">
        <v>1143</v>
      </c>
      <c r="C4824">
        <v>3</v>
      </c>
      <c r="D4824">
        <v>90</v>
      </c>
      <c r="E4824">
        <v>2021</v>
      </c>
      <c r="F4824" s="9" t="s">
        <v>4056</v>
      </c>
      <c r="H4824" s="20" t="str">
        <f t="shared" si="75"/>
        <v>(nextval('obj_part_id_seq'), (select id from obj_building_v where zip||'|'||street||'|'||name||'|'||volume = '5425|Aemmert, Schladstrasse 21|Schulhaus, Zwischenbau, Pausenhalle|8521.00'), 'P61', 3, 90, 2021,'Aufzug, mechanische Lüftung im Anbau ''17'),</v>
      </c>
    </row>
    <row r="4825" spans="1:8" x14ac:dyDescent="0.25">
      <c r="A4825" s="9" t="s">
        <v>4043</v>
      </c>
      <c r="B4825" s="9" t="s">
        <v>1144</v>
      </c>
      <c r="C4825">
        <v>0</v>
      </c>
      <c r="D4825" t="s">
        <v>4080</v>
      </c>
      <c r="E4825">
        <v>2021</v>
      </c>
      <c r="F4825" s="9"/>
      <c r="H4825" s="20" t="str">
        <f t="shared" si="75"/>
        <v>(nextval('obj_part_id_seq'), (select id from obj_building_v where zip||'|'||street||'|'||name||'|'||volume = '5425|Aemmert, Schladstrasse 21|Schulhaus, Zwischenbau, Pausenhalle|8521.00'), 'P62', 0, null, 2021,null),</v>
      </c>
    </row>
    <row r="4826" spans="1:8" x14ac:dyDescent="0.25">
      <c r="A4826" s="9" t="s">
        <v>4057</v>
      </c>
      <c r="B4826" s="9" t="s">
        <v>1127</v>
      </c>
      <c r="C4826">
        <v>38</v>
      </c>
      <c r="D4826">
        <v>85</v>
      </c>
      <c r="E4826">
        <v>2021</v>
      </c>
      <c r="F4826" s="9" t="s">
        <v>1369</v>
      </c>
      <c r="H4826" s="20" t="str">
        <f t="shared" si="75"/>
        <v>(nextval('obj_part_id_seq'), (select id from obj_building_v where zip||'|'||street||'|'||name||'|'||volume = '5425|Aemmert, Schladstrasse 21|Mehrzweckhalle|6029.00'), 'P48', 38, 85, 2021,'Stahlbeton, Mauerwerk'),</v>
      </c>
    </row>
    <row r="4827" spans="1:8" x14ac:dyDescent="0.25">
      <c r="A4827" s="9" t="s">
        <v>4057</v>
      </c>
      <c r="B4827" s="9" t="s">
        <v>1129</v>
      </c>
      <c r="C4827">
        <v>0</v>
      </c>
      <c r="D4827" t="s">
        <v>4080</v>
      </c>
      <c r="E4827">
        <v>2021</v>
      </c>
      <c r="F4827" s="9"/>
      <c r="H4827" s="20" t="str">
        <f t="shared" si="75"/>
        <v>(nextval('obj_part_id_seq'), (select id from obj_building_v where zip||'|'||street||'|'||name||'|'||volume = '5425|Aemmert, Schladstrasse 21|Mehrzweckhalle|6029.00'), 'P49', 0, null, 2021,null),</v>
      </c>
    </row>
    <row r="4828" spans="1:8" x14ac:dyDescent="0.25">
      <c r="A4828" s="9" t="s">
        <v>4057</v>
      </c>
      <c r="B4828" s="9" t="s">
        <v>1097</v>
      </c>
      <c r="C4828">
        <v>8</v>
      </c>
      <c r="D4828">
        <v>85</v>
      </c>
      <c r="E4828">
        <v>2021</v>
      </c>
      <c r="F4828" s="9" t="s">
        <v>4058</v>
      </c>
      <c r="H4828" s="20" t="str">
        <f t="shared" si="75"/>
        <v>(nextval('obj_part_id_seq'), (select id from obj_building_v where zip||'|'||street||'|'||name||'|'||volume = '5425|Aemmert, Schladstrasse 21|Mehrzweckhalle|6029.00'), 'P2', 8, 85, 2021,'Falzziegeldach, mängelfrei, Dachraum wurde letztmalig vor 4-5 Monaten (Herbst 2020) besichtigt, PV-Panels*, Vordach in Welleternit'),</v>
      </c>
    </row>
    <row r="4829" spans="1:8" x14ac:dyDescent="0.25">
      <c r="A4829" s="9" t="s">
        <v>4057</v>
      </c>
      <c r="B4829" s="9" t="s">
        <v>1099</v>
      </c>
      <c r="C4829">
        <v>0</v>
      </c>
      <c r="D4829" t="s">
        <v>4080</v>
      </c>
      <c r="E4829">
        <v>2021</v>
      </c>
      <c r="F4829" s="9"/>
      <c r="H4829" s="20" t="str">
        <f t="shared" si="75"/>
        <v>(nextval('obj_part_id_seq'), (select id from obj_building_v where zip||'|'||street||'|'||name||'|'||volume = '5425|Aemmert, Schladstrasse 21|Mehrzweckhalle|6029.00'), 'P3', 0, null, 2021,null),</v>
      </c>
    </row>
    <row r="4830" spans="1:8" x14ac:dyDescent="0.25">
      <c r="A4830" s="9" t="s">
        <v>4057</v>
      </c>
      <c r="B4830" s="9" t="s">
        <v>1100</v>
      </c>
      <c r="C4830">
        <v>7</v>
      </c>
      <c r="D4830">
        <v>85</v>
      </c>
      <c r="E4830">
        <v>2021</v>
      </c>
      <c r="F4830" s="9" t="s">
        <v>4059</v>
      </c>
      <c r="H4830" s="20" t="str">
        <f t="shared" si="75"/>
        <v>(nextval('obj_part_id_seq'), (select id from obj_building_v where zip||'|'||street||'|'||name||'|'||volume = '5425|Aemmert, Schladstrasse 21|Mehrzweckhalle|6029.00'), 'P4', 7, 85, 2021,'Sichtbeton, Stirnfassaden verputzt'),</v>
      </c>
    </row>
    <row r="4831" spans="1:8" x14ac:dyDescent="0.25">
      <c r="A4831" s="9" t="s">
        <v>4057</v>
      </c>
      <c r="B4831" s="9" t="s">
        <v>1102</v>
      </c>
      <c r="C4831">
        <v>10</v>
      </c>
      <c r="D4831">
        <v>90</v>
      </c>
      <c r="E4831">
        <v>2021</v>
      </c>
      <c r="F4831" s="9" t="s">
        <v>4060</v>
      </c>
      <c r="H4831" s="20" t="str">
        <f t="shared" si="75"/>
        <v>(nextval('obj_part_id_seq'), (select id from obj_building_v where zip||'|'||street||'|'||name||'|'||volume = '5425|Aemmert, Schladstrasse 21|Mehrzweckhalle|6029.00'), 'P5', 10, 90, 2021,'Holzfenster mit 2-fach-IV ''07'),</v>
      </c>
    </row>
    <row r="4832" spans="1:8" x14ac:dyDescent="0.25">
      <c r="A4832" s="9" t="s">
        <v>4057</v>
      </c>
      <c r="B4832" s="9" t="s">
        <v>1164</v>
      </c>
      <c r="C4832">
        <v>6</v>
      </c>
      <c r="D4832">
        <v>80</v>
      </c>
      <c r="E4832">
        <v>2021</v>
      </c>
      <c r="F4832" s="9" t="s">
        <v>4061</v>
      </c>
      <c r="H4832" s="20" t="str">
        <f t="shared" si="75"/>
        <v>(nextval('obj_part_id_seq'), (select id from obj_building_v where zip||'|'||street||'|'||name||'|'||volume = '5425|Aemmert, Schladstrasse 21|Mehrzweckhalle|6029.00'), 'P50', 6, 80, 2021,'tw. alte Keramiksicherungen, Hallenbeleuchtung, keine Mängel bekannt, Bühnentechnik'),</v>
      </c>
    </row>
    <row r="4833" spans="1:8" x14ac:dyDescent="0.25">
      <c r="A4833" s="9" t="s">
        <v>4057</v>
      </c>
      <c r="B4833" s="9" t="s">
        <v>1166</v>
      </c>
      <c r="C4833">
        <v>1</v>
      </c>
      <c r="D4833">
        <v>85</v>
      </c>
      <c r="E4833">
        <v>2021</v>
      </c>
      <c r="F4833" s="9" t="s">
        <v>3940</v>
      </c>
      <c r="H4833" s="20" t="str">
        <f t="shared" si="75"/>
        <v>(nextval('obj_part_id_seq'), (select id from obj_building_v where zip||'|'||street||'|'||name||'|'||volume = '5425|Aemmert, Schladstrasse 21|Mehrzweckhalle|6029.00'), 'P51', 1, 85, 2021,'Audioanlage'),</v>
      </c>
    </row>
    <row r="4834" spans="1:8" x14ac:dyDescent="0.25">
      <c r="A4834" s="9" t="s">
        <v>4057</v>
      </c>
      <c r="B4834" s="9" t="s">
        <v>1104</v>
      </c>
      <c r="C4834">
        <v>1</v>
      </c>
      <c r="D4834">
        <v>85</v>
      </c>
      <c r="E4834">
        <v>2021</v>
      </c>
      <c r="F4834" s="9" t="s">
        <v>1235</v>
      </c>
      <c r="H4834" s="20" t="str">
        <f t="shared" si="75"/>
        <v>(nextval('obj_part_id_seq'), (select id from obj_building_v where zip||'|'||street||'|'||name||'|'||volume = '5425|Aemmert, Schladstrasse 21|Mehrzweckhalle|6029.00'), 'P6', 1, 85, 2021,'Fernwärme'),</v>
      </c>
    </row>
    <row r="4835" spans="1:8" x14ac:dyDescent="0.25">
      <c r="A4835" s="9" t="s">
        <v>4057</v>
      </c>
      <c r="B4835" s="9" t="s">
        <v>1106</v>
      </c>
      <c r="C4835">
        <v>3</v>
      </c>
      <c r="D4835">
        <v>80</v>
      </c>
      <c r="E4835">
        <v>2021</v>
      </c>
      <c r="F4835" s="9" t="s">
        <v>1107</v>
      </c>
      <c r="H4835" s="20" t="str">
        <f t="shared" si="75"/>
        <v>(nextval('obj_part_id_seq'), (select id from obj_building_v where zip||'|'||street||'|'||name||'|'||volume = '5425|Aemmert, Schladstrasse 21|Mehrzweckhalle|6029.00'), 'P7', 3, 80, 2021,'Radiatoren mit Thermostaten'),</v>
      </c>
    </row>
    <row r="4836" spans="1:8" x14ac:dyDescent="0.25">
      <c r="A4836" s="9" t="s">
        <v>4057</v>
      </c>
      <c r="B4836" s="9" t="s">
        <v>1108</v>
      </c>
      <c r="C4836">
        <v>4</v>
      </c>
      <c r="D4836">
        <v>80</v>
      </c>
      <c r="E4836">
        <v>2021</v>
      </c>
      <c r="F4836" s="9" t="s">
        <v>4062</v>
      </c>
      <c r="H4836" s="20" t="str">
        <f t="shared" si="75"/>
        <v>(nextval('obj_part_id_seq'), (select id from obj_building_v where zip||'|'||street||'|'||name||'|'||volume = '5425|Aemmert, Schladstrasse 21|Mehrzweckhalle|6029.00'), 'P8', 4, 80, 2021,'Leitungen alt, aber isoliert und i.O., isoliert, Apparate funktionstüchtig'),</v>
      </c>
    </row>
    <row r="4837" spans="1:8" x14ac:dyDescent="0.25">
      <c r="A4837" s="9" t="s">
        <v>4057</v>
      </c>
      <c r="B4837" s="9" t="s">
        <v>1138</v>
      </c>
      <c r="C4837">
        <v>11</v>
      </c>
      <c r="D4837">
        <v>80</v>
      </c>
      <c r="E4837">
        <v>2021</v>
      </c>
      <c r="F4837" s="9" t="s">
        <v>4063</v>
      </c>
      <c r="H4837" s="20" t="str">
        <f t="shared" si="75"/>
        <v>(nextval('obj_part_id_seq'), (select id from obj_building_v where zip||'|'||street||'|'||name||'|'||volume = '5425|Aemmert, Schladstrasse 21|Mehrzweckhalle|6029.00'), 'P57', 11, 80, 2021,'Aufbereitungsküche, Tore Geräteraum funktionstüchtig, Geländer: h=1.00m, Schiebetür Bühne, Einbauten Halle und Küche'),</v>
      </c>
    </row>
    <row r="4838" spans="1:8" x14ac:dyDescent="0.25">
      <c r="A4838" s="9" t="s">
        <v>4057</v>
      </c>
      <c r="B4838" s="9" t="s">
        <v>1140</v>
      </c>
      <c r="C4838">
        <v>8</v>
      </c>
      <c r="D4838">
        <v>85</v>
      </c>
      <c r="E4838">
        <v>2021</v>
      </c>
      <c r="F4838" s="9" t="s">
        <v>4064</v>
      </c>
      <c r="H4838" s="20" t="str">
        <f t="shared" si="75"/>
        <v>(nextval('obj_part_id_seq'), (select id from obj_building_v where zip||'|'||street||'|'||name||'|'||volume = '5425|Aemmert, Schladstrasse 21|Mehrzweckhalle|6029.00'), 'P58', 8, 85, 2021,'B: Kunststeinplatten, Porphyrplatten, Gussasphaltplatten in Garderoben, Turnhallenboden ''10, Parkett Bühne und Saal, Laminat in Lehrergarderobe/Sanitätszi.\nW: Keramikplatten, Putz, gestrichen\nD: Beton roh, tw. gestrichen, Putz, gestrichen'),</v>
      </c>
    </row>
    <row r="4839" spans="1:8" x14ac:dyDescent="0.25">
      <c r="A4839" s="9" t="s">
        <v>4057</v>
      </c>
      <c r="B4839" s="9" t="s">
        <v>1142</v>
      </c>
      <c r="C4839">
        <v>0</v>
      </c>
      <c r="D4839" t="s">
        <v>4080</v>
      </c>
      <c r="E4839">
        <v>2021</v>
      </c>
      <c r="F4839" s="9"/>
      <c r="H4839" s="20" t="str">
        <f t="shared" si="75"/>
        <v>(nextval('obj_part_id_seq'), (select id from obj_building_v where zip||'|'||street||'|'||name||'|'||volume = '5425|Aemmert, Schladstrasse 21|Mehrzweckhalle|6029.00'), 'P60', 0, null, 2021,null),</v>
      </c>
    </row>
    <row r="4840" spans="1:8" x14ac:dyDescent="0.25">
      <c r="A4840" s="9" t="s">
        <v>4057</v>
      </c>
      <c r="B4840" s="9" t="s">
        <v>1143</v>
      </c>
      <c r="C4840">
        <v>3</v>
      </c>
      <c r="D4840">
        <v>80</v>
      </c>
      <c r="E4840">
        <v>2021</v>
      </c>
      <c r="F4840" s="9" t="s">
        <v>2001</v>
      </c>
      <c r="H4840" s="20" t="str">
        <f t="shared" si="75"/>
        <v>(nextval('obj_part_id_seq'), (select id from obj_building_v where zip||'|'||street||'|'||name||'|'||volume = '5425|Aemmert, Schladstrasse 21|Mehrzweckhalle|6029.00'), 'P61', 3, 80, 2021,'Küchenabluft'),</v>
      </c>
    </row>
    <row r="4841" spans="1:8" x14ac:dyDescent="0.25">
      <c r="A4841" s="9" t="s">
        <v>4057</v>
      </c>
      <c r="B4841" s="9" t="s">
        <v>1144</v>
      </c>
      <c r="C4841">
        <v>0</v>
      </c>
      <c r="D4841" t="s">
        <v>4080</v>
      </c>
      <c r="E4841">
        <v>2021</v>
      </c>
      <c r="F4841" s="9"/>
      <c r="H4841" s="20" t="str">
        <f t="shared" si="75"/>
        <v>(nextval('obj_part_id_seq'), (select id from obj_building_v where zip||'|'||street||'|'||name||'|'||volume = '5425|Aemmert, Schladstrasse 21|Mehrzweckhalle|6029.00'), 'P62', 0, null, 2021,null),</v>
      </c>
    </row>
  </sheetData>
  <pageMargins left="0.7" right="0.7" top="0.78749999999999998" bottom="0.78749999999999998" header="0.51180555555555496" footer="0.51180555555555496"/>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E4B8D-3037-4C03-96A9-A7597E81DDFA}">
  <dimension ref="A1:D299"/>
  <sheetViews>
    <sheetView workbookViewId="0">
      <selection activeCell="C14" sqref="C14"/>
    </sheetView>
  </sheetViews>
  <sheetFormatPr defaultRowHeight="15" x14ac:dyDescent="0.25"/>
  <cols>
    <col min="1" max="1" width="91.28515625" style="26" bestFit="1" customWidth="1"/>
    <col min="2" max="2" width="9" style="27" customWidth="1"/>
    <col min="3" max="3" width="175.42578125" style="26" bestFit="1" customWidth="1"/>
    <col min="4" max="16384" width="9.140625" style="26"/>
  </cols>
  <sheetData>
    <row r="1" spans="1:4" x14ac:dyDescent="0.25">
      <c r="A1" s="26" t="s">
        <v>4691</v>
      </c>
      <c r="B1" s="27" t="s">
        <v>4690</v>
      </c>
      <c r="C1" s="26" t="s">
        <v>4689</v>
      </c>
    </row>
    <row r="2" spans="1:4" x14ac:dyDescent="0.25">
      <c r="A2" s="26" t="s">
        <v>4688</v>
      </c>
      <c r="B2" s="27" t="s">
        <v>4687</v>
      </c>
      <c r="C2" s="26" t="str">
        <f t="shared" ref="C2:C72" si="0">"update obj_building b set building_id = '"&amp;B2&amp;"' where b.zip||'-'||b.street||'-'||b.name = '"&amp;A2&amp;"';"</f>
        <v>update obj_building b set building_id = '0=0=0' where b.zip||'-'||b.street||'-'||b.name = '-Teststrasse.-Testgebäude1';</v>
      </c>
      <c r="D2" s="27"/>
    </row>
    <row r="3" spans="1:4" x14ac:dyDescent="0.25">
      <c r="A3" s="26" t="s">
        <v>4686</v>
      </c>
      <c r="B3" s="27" t="s">
        <v>4685</v>
      </c>
      <c r="C3" s="26" t="str">
        <f t="shared" si="0"/>
        <v>update obj_building b set building_id = '0=0=1' where b.zip||'-'||b.street||'-'||b.name = '1111-Rathausplatz 1-Rathaus';</v>
      </c>
    </row>
    <row r="4" spans="1:4" x14ac:dyDescent="0.25">
      <c r="A4" s="26" t="s">
        <v>4684</v>
      </c>
      <c r="B4" s="27" t="s">
        <v>4683</v>
      </c>
      <c r="C4" s="26" t="str">
        <f t="shared" si="0"/>
        <v>update obj_building b set building_id = '1=1' where b.zip||'-'||b.street||'-'||b.name = '7304--Rathaus';</v>
      </c>
    </row>
    <row r="5" spans="1:4" x14ac:dyDescent="0.25">
      <c r="A5" s="26" t="s">
        <v>4454</v>
      </c>
      <c r="B5" s="27" t="s">
        <v>4452</v>
      </c>
      <c r="C5" s="26" t="str">
        <f>"update obj_building b set building_id = '"&amp;B5&amp;"' where b.zip||'-'||b.street||'-'||b.name = '"&amp;A5&amp;"';"</f>
        <v>update obj_building b set building_id = '2=1' where b.zip||'-'||b.street||'-'||b.name = '7304--Alte Turnhalle';</v>
      </c>
    </row>
    <row r="6" spans="1:4" x14ac:dyDescent="0.25">
      <c r="A6" s="26" t="s">
        <v>4453</v>
      </c>
      <c r="B6" s="27" t="s">
        <v>4452</v>
      </c>
      <c r="C6" s="26" t="str">
        <f>"update obj_building b set building_id = '"&amp;B6&amp;"' where b.zip||'-'||b.street||'-'||b.name = '"&amp;A6&amp;"';"</f>
        <v>update obj_building b set building_id = '2=1' where b.zip||'-'||b.street||'-'||b.name = '8253-Schulstr. 38-Kindergarten Basadingen';</v>
      </c>
    </row>
    <row r="7" spans="1:4" x14ac:dyDescent="0.25">
      <c r="A7" s="26" t="s">
        <v>4451</v>
      </c>
      <c r="B7" s="27" t="s">
        <v>4450</v>
      </c>
      <c r="C7" s="26" t="str">
        <f>"update obj_building b set building_id = '"&amp;B7&amp;"' where b.zip||'-'||b.street||'-'||b.name = '"&amp;A7&amp;"';"</f>
        <v>update obj_building b set building_id = '2=2' where b.zip||'-'||b.street||'-'||b.name = '8253-Schulstrasse 5-best. Schulhaus Zentrum';</v>
      </c>
    </row>
    <row r="8" spans="1:4" x14ac:dyDescent="0.25">
      <c r="A8" s="26" t="s">
        <v>4449</v>
      </c>
      <c r="B8" s="27" t="s">
        <v>4448</v>
      </c>
      <c r="C8" s="26" t="str">
        <f>"update obj_building b set building_id = '"&amp;B8&amp;"' where b.zip||'-'||b.street||'-'||b.name = '"&amp;A8&amp;"';"</f>
        <v>update obj_building b set building_id = '2=2=1' where b.zip||'-'||b.street||'-'||b.name = '8253-Schulstrasse 5-Sanierung Schulhaus Zentrum';</v>
      </c>
    </row>
    <row r="9" spans="1:4" x14ac:dyDescent="0.25">
      <c r="A9" s="26" t="s">
        <v>4447</v>
      </c>
      <c r="B9" s="27" t="s">
        <v>4446</v>
      </c>
      <c r="C9" s="26" t="str">
        <f>"update obj_building b set building_id = '"&amp;B9&amp;"' where b.zip||'-'||b.street||'-'||b.name = '"&amp;A9&amp;"';"</f>
        <v>update obj_building b set building_id = '2=2=2' where b.zip||'-'||b.street||'-'||b.name = '8253-Schulstrasse 5-Janus Schulhaus Zentrum';</v>
      </c>
    </row>
    <row r="10" spans="1:4" x14ac:dyDescent="0.25">
      <c r="A10" s="26" t="s">
        <v>4445</v>
      </c>
      <c r="B10" s="27" t="s">
        <v>4444</v>
      </c>
      <c r="C10" s="26" t="str">
        <f>"update obj_building b set building_id = '"&amp;B10&amp;"' where b.zip||'-'||b.street||'-'||b.name = '"&amp;A10&amp;"';"</f>
        <v>update obj_building b set building_id = '2=3' where b.zip||'-'||b.street||'-'||b.name = '8255-Bahnhofstrasse 1-Schulhaus Schlattingen';</v>
      </c>
    </row>
    <row r="11" spans="1:4" x14ac:dyDescent="0.25">
      <c r="A11" s="26" t="s">
        <v>4443</v>
      </c>
      <c r="B11" s="27" t="s">
        <v>4442</v>
      </c>
      <c r="C11" s="26" t="str">
        <f>"update obj_building b set building_id = '"&amp;B11&amp;"' where b.zip||'-'||b.street||'-'||b.name = '"&amp;A11&amp;"';"</f>
        <v>update obj_building b set building_id = '2=4' where b.zip||'-'||b.street||'-'||b.name = '8253-Schützenstrasse-Kindergarten Schupfenzelg';</v>
      </c>
    </row>
    <row r="12" spans="1:4" x14ac:dyDescent="0.25">
      <c r="A12" s="26" t="s">
        <v>4682</v>
      </c>
      <c r="B12" s="27" t="s">
        <v>4681</v>
      </c>
      <c r="C12" s="26" t="str">
        <f t="shared" si="0"/>
        <v>update obj_building b set building_id = '10=01' where b.zip||'-'||b.street||'-'||b.name = '5620-Promenadenstrasse 13-MFH';</v>
      </c>
    </row>
    <row r="13" spans="1:4" x14ac:dyDescent="0.25">
      <c r="A13" s="26" t="s">
        <v>4680</v>
      </c>
      <c r="B13" s="27" t="s">
        <v>4679</v>
      </c>
      <c r="C13" s="26" t="str">
        <f t="shared" si="0"/>
        <v>update obj_building b set building_id = '10=02' where b.zip||'-'||b.street||'-'||b.name = '5620-Promenadenstrasse 15-Kindergarten Fuchsächer';</v>
      </c>
    </row>
    <row r="14" spans="1:4" x14ac:dyDescent="0.25">
      <c r="A14" s="26" t="s">
        <v>4678</v>
      </c>
      <c r="B14" s="27" t="s">
        <v>4677</v>
      </c>
      <c r="C14" s="26" t="str">
        <f t="shared" si="0"/>
        <v>update obj_building b set building_id = '10=03' where b.zip||'-'||b.street||'-'||b.name = '5620-Zugerstrasse 16/18/20-Gewerbe und Garage';</v>
      </c>
    </row>
    <row r="15" spans="1:4" x14ac:dyDescent="0.25">
      <c r="A15" s="26" t="s">
        <v>4676</v>
      </c>
      <c r="B15" s="27" t="s">
        <v>4675</v>
      </c>
      <c r="C15" s="26" t="str">
        <f t="shared" si="0"/>
        <v>update obj_building b set building_id = '10=04' where b.zip||'-'||b.street||'-'||b.name = '5620-Obertorplatz 3-Oberer Zoll ganzes Haus';</v>
      </c>
    </row>
    <row r="16" spans="1:4" x14ac:dyDescent="0.25">
      <c r="A16" s="26" t="s">
        <v>4674</v>
      </c>
      <c r="B16" s="27" t="s">
        <v>4673</v>
      </c>
      <c r="C16" s="26" t="str">
        <f t="shared" si="0"/>
        <v>update obj_building b set building_id = '10=05' where b.zip||'-'||b.street||'-'||b.name = '5620-Schellenhausplatz-Zeughaus';</v>
      </c>
    </row>
    <row r="17" spans="1:3" x14ac:dyDescent="0.25">
      <c r="A17" s="26" t="s">
        <v>4672</v>
      </c>
      <c r="B17" s="27" t="s">
        <v>4671</v>
      </c>
      <c r="C17" s="26" t="str">
        <f t="shared" si="0"/>
        <v>update obj_building b set building_id = '10=06' where b.zip||'-'||b.street||'-'||b.name = '5620-Schellenhausplatz-Schellenhaus';</v>
      </c>
    </row>
    <row r="18" spans="1:3" x14ac:dyDescent="0.25">
      <c r="A18" s="26" t="s">
        <v>4670</v>
      </c>
      <c r="B18" s="27" t="s">
        <v>4669</v>
      </c>
      <c r="C18" s="26" t="str">
        <f t="shared" si="0"/>
        <v>update obj_building b set building_id = '10=07' where b.zip||'-'||b.street||'-'||b.name = '5620-Augraben 1-Werkhof Neubau';</v>
      </c>
    </row>
    <row r="19" spans="1:3" x14ac:dyDescent="0.25">
      <c r="A19" s="26" t="s">
        <v>4668</v>
      </c>
      <c r="B19" s="27" t="s">
        <v>4667</v>
      </c>
      <c r="C19" s="26" t="str">
        <f t="shared" si="0"/>
        <v>update obj_building b set building_id = '10=08' where b.zip||'-'||b.street||'-'||b.name = '5620-Klosterweg 2-Bauamtsmagazin, Werkhof Altbau';</v>
      </c>
    </row>
    <row r="20" spans="1:3" x14ac:dyDescent="0.25">
      <c r="A20" s="26" t="s">
        <v>4666</v>
      </c>
      <c r="B20" s="27" t="s">
        <v>4665</v>
      </c>
      <c r="C20" s="26" t="str">
        <f t="shared" si="0"/>
        <v>update obj_building b set building_id = '10=09' where b.zip||'-'||b.street||'-'||b.name = '5620-Klosterweg 8-Klarakloster';</v>
      </c>
    </row>
    <row r="21" spans="1:3" x14ac:dyDescent="0.25">
      <c r="A21" s="26" t="s">
        <v>4664</v>
      </c>
      <c r="B21" s="27" t="s">
        <v>4663</v>
      </c>
      <c r="C21" s="26" t="str">
        <f t="shared" si="0"/>
        <v>update obj_building b set building_id = '10=10' where b.zip||'-'||b.street||'-'||b.name = '5620-Spiegelgasse 9-Kornhaus';</v>
      </c>
    </row>
    <row r="22" spans="1:3" x14ac:dyDescent="0.25">
      <c r="A22" s="26" t="s">
        <v>4662</v>
      </c>
      <c r="B22" s="27" t="s">
        <v>4661</v>
      </c>
      <c r="C22" s="26" t="str">
        <f t="shared" si="0"/>
        <v>update obj_building b set building_id = '10=11' where b.zip||'-'||b.street||'-'||b.name = '5620-Reussgasse 14A-Ortsmuseum';</v>
      </c>
    </row>
    <row r="23" spans="1:3" x14ac:dyDescent="0.25">
      <c r="A23" s="26" t="s">
        <v>4660</v>
      </c>
      <c r="B23" s="27" t="s">
        <v>4659</v>
      </c>
      <c r="C23" s="26" t="str">
        <f t="shared" si="0"/>
        <v>update obj_building b set building_id = '10=12' where b.zip||'-'||b.street||'-'||b.name = '5620-Rathausplatz 4-Haberhaus Polizeiposten';</v>
      </c>
    </row>
    <row r="24" spans="1:3" x14ac:dyDescent="0.25">
      <c r="A24" s="26" t="s">
        <v>4658</v>
      </c>
      <c r="B24" s="27" t="s">
        <v>4657</v>
      </c>
      <c r="C24" s="26" t="str">
        <f t="shared" si="0"/>
        <v>update obj_building b set building_id = '10=13' where b.zip||'-'||b.street||'-'||b.name = '5620-Rathausplatz 1-Rathaus';</v>
      </c>
    </row>
    <row r="25" spans="1:3" x14ac:dyDescent="0.25">
      <c r="A25" s="26" t="s">
        <v>4656</v>
      </c>
      <c r="B25" s="27" t="s">
        <v>4655</v>
      </c>
      <c r="C25" s="26" t="str">
        <f t="shared" si="0"/>
        <v>update obj_building b set building_id = '10=14' where b.zip||'-'||b.street||'-'||b.name = '5620-Rathausplatz 3-Parkgarage';</v>
      </c>
    </row>
    <row r="26" spans="1:3" x14ac:dyDescent="0.25">
      <c r="A26" s="26" t="s">
        <v>4654</v>
      </c>
      <c r="B26" s="27" t="s">
        <v>4653</v>
      </c>
      <c r="C26" s="26" t="str">
        <f t="shared" si="0"/>
        <v>update obj_building b set building_id = '10=15' where b.zip||'-'||b.street||'-'||b.name = '5620-Friedhofstrasse-Friedhofhalle';</v>
      </c>
    </row>
    <row r="27" spans="1:3" x14ac:dyDescent="0.25">
      <c r="A27" s="26" t="s">
        <v>4652</v>
      </c>
      <c r="B27" s="27" t="s">
        <v>4651</v>
      </c>
      <c r="C27" s="26" t="str">
        <f t="shared" si="0"/>
        <v>update obj_building b set building_id = '10=16' where b.zip||'-'||b.street||'-'||b.name = '5620-Schulgasse 8-Haus an der Reuss';</v>
      </c>
    </row>
    <row r="28" spans="1:3" x14ac:dyDescent="0.25">
      <c r="A28" s="26" t="s">
        <v>4650</v>
      </c>
      <c r="B28" s="27" t="s">
        <v>4649</v>
      </c>
      <c r="C28" s="26" t="str">
        <f t="shared" si="0"/>
        <v>update obj_building b set building_id = '10=17' where b.zip||'-'||b.street||'-'||b.name = '5626-Im Spilhof 6-Werkhof mit Wohnungen';</v>
      </c>
    </row>
    <row r="29" spans="1:3" x14ac:dyDescent="0.25">
      <c r="A29" s="26" t="s">
        <v>4648</v>
      </c>
      <c r="B29" s="27" t="s">
        <v>4647</v>
      </c>
      <c r="C29" s="26" t="str">
        <f t="shared" si="0"/>
        <v>update obj_building b set building_id = '10=18' where b.zip||'-'||b.street||'-'||b.name = '5620-Badstrasse 5-Sporthalle';</v>
      </c>
    </row>
    <row r="30" spans="1:3" x14ac:dyDescent="0.25">
      <c r="A30" s="26" t="s">
        <v>4646</v>
      </c>
      <c r="B30" s="27" t="s">
        <v>4645</v>
      </c>
      <c r="C30" s="26" t="str">
        <f t="shared" si="0"/>
        <v>update obj_building b set building_id = '10=19' where b.zip||'-'||b.street||'-'||b.name = '5626-Schulhausstrasse 6-Schulanlage Staffeln';</v>
      </c>
    </row>
    <row r="31" spans="1:3" x14ac:dyDescent="0.25">
      <c r="A31" s="26" t="s">
        <v>4644</v>
      </c>
      <c r="B31" s="27" t="s">
        <v>4643</v>
      </c>
      <c r="C31" s="26" t="str">
        <f t="shared" si="0"/>
        <v>update obj_building b set building_id = '10=20' where b.zip||'-'||b.street||'-'||b.name = '5620-Pfarrgasse 1-Schwarzschloss';</v>
      </c>
    </row>
    <row r="32" spans="1:3" x14ac:dyDescent="0.25">
      <c r="A32" s="26" t="s">
        <v>4642</v>
      </c>
      <c r="B32" s="27" t="s">
        <v>4641</v>
      </c>
      <c r="C32" s="26" t="str">
        <f t="shared" si="0"/>
        <v>update obj_building b set building_id = '10=21' where b.zip||'-'||b.street||'-'||b.name = '5620-Badstrasse 1-Dienstgebäude';</v>
      </c>
    </row>
    <row r="33" spans="1:3" x14ac:dyDescent="0.25">
      <c r="A33" s="26" t="s">
        <v>4640</v>
      </c>
      <c r="B33" s="27" t="s">
        <v>4639</v>
      </c>
      <c r="C33" s="26" t="str">
        <f t="shared" si="0"/>
        <v>update obj_building b set building_id = '11=01' where b.zip||'-'||b.street||'-'||b.name = '9220-Sandbänkli 4-Pavillon';</v>
      </c>
    </row>
    <row r="34" spans="1:3" x14ac:dyDescent="0.25">
      <c r="A34" s="26" t="s">
        <v>4638</v>
      </c>
      <c r="B34" s="27" t="s">
        <v>4637</v>
      </c>
      <c r="C34" s="26" t="str">
        <f t="shared" si="0"/>
        <v>update obj_building b set building_id = '11=02' where b.zip||'-'||b.street||'-'||b.name = '9223-Waldplatzstrasse-Primarschulanlage Kenzenau; Schulhaus, Wohnungen, Garage';</v>
      </c>
    </row>
    <row r="35" spans="1:3" x14ac:dyDescent="0.25">
      <c r="A35" s="26" t="s">
        <v>4636</v>
      </c>
      <c r="B35" s="27" t="s">
        <v>4635</v>
      </c>
      <c r="C35" s="26" t="str">
        <f t="shared" si="0"/>
        <v>update obj_building b set building_id = '11=03' where b.zip||'-'||b.street||'-'||b.name = '9223-Schulstrasse 10-Primarschulanlage Halden; Schulhaus, Wohnungen';</v>
      </c>
    </row>
    <row r="36" spans="1:3" x14ac:dyDescent="0.25">
      <c r="A36" s="26" t="s">
        <v>4634</v>
      </c>
      <c r="B36" s="27" t="s">
        <v>4633</v>
      </c>
      <c r="C36" s="26" t="str">
        <f t="shared" si="0"/>
        <v>update obj_building b set building_id = '11=04' where b.zip||'-'||b.street||'-'||b.name = '9220-Hoffnungsgut-Schulhaus (Altbau)';</v>
      </c>
    </row>
    <row r="37" spans="1:3" x14ac:dyDescent="0.25">
      <c r="A37" s="26" t="s">
        <v>4632</v>
      </c>
      <c r="B37" s="27" t="s">
        <v>4631</v>
      </c>
      <c r="C37" s="26" t="str">
        <f t="shared" si="0"/>
        <v>update obj_building b set building_id = '11=05' where b.zip||'-'||b.street||'-'||b.name = '9220-Hoffnungsgut-Schulhaus (Neubau)';</v>
      </c>
    </row>
    <row r="38" spans="1:3" x14ac:dyDescent="0.25">
      <c r="A38" s="26" t="s">
        <v>4630</v>
      </c>
      <c r="B38" s="27" t="s">
        <v>4629</v>
      </c>
      <c r="C38" s="26" t="str">
        <f t="shared" si="0"/>
        <v>update obj_building b set building_id = '11=06' where b.zip||'-'||b.street||'-'||b.name = '9220-Hoffnungsgut-Turnhallen, Wohnung';</v>
      </c>
    </row>
    <row r="39" spans="1:3" x14ac:dyDescent="0.25">
      <c r="A39" s="26" t="s">
        <v>4628</v>
      </c>
      <c r="B39" s="27" t="s">
        <v>4627</v>
      </c>
      <c r="C39" s="26" t="str">
        <f t="shared" si="0"/>
        <v>update obj_building b set building_id = '11=07' where b.zip||'-'||b.street||'-'||b.name = '9220-Hoffnungsgut-Garagen, Abstellgebäude';</v>
      </c>
    </row>
    <row r="40" spans="1:3" x14ac:dyDescent="0.25">
      <c r="A40" s="26" t="s">
        <v>4626</v>
      </c>
      <c r="B40" s="27" t="s">
        <v>4625</v>
      </c>
      <c r="C40" s="26" t="str">
        <f t="shared" si="0"/>
        <v>update obj_building b set building_id = '11=08' where b.zip||'-'||b.street||'-'||b.name = '9220-Hoffnungsgut/(Thurblick)-Kindergartenpavillon, Gartenhaus';</v>
      </c>
    </row>
    <row r="41" spans="1:3" x14ac:dyDescent="0.25">
      <c r="A41" s="26" t="s">
        <v>4624</v>
      </c>
      <c r="B41" s="27" t="s">
        <v>4623</v>
      </c>
      <c r="C41" s="26" t="str">
        <f t="shared" si="0"/>
        <v>update obj_building b set building_id = '11=10' where b.zip||'-'||b.street||'-'||b.name = '9220-Obertor 4-Schulhaus, Velounterstand';</v>
      </c>
    </row>
    <row r="42" spans="1:3" x14ac:dyDescent="0.25">
      <c r="A42" s="26" t="s">
        <v>4622</v>
      </c>
      <c r="B42" s="27" t="s">
        <v>4621</v>
      </c>
      <c r="C42" s="26" t="str">
        <f t="shared" si="0"/>
        <v>update obj_building b set building_id = '11=12' where b.zip||'-'||b.street||'-'||b.name = '9220-Turnerweg 4-Kindergarten Bitzi, Gerätehaus';</v>
      </c>
    </row>
    <row r="43" spans="1:3" x14ac:dyDescent="0.25">
      <c r="A43" s="26" t="s">
        <v>4620</v>
      </c>
      <c r="B43" s="27" t="s">
        <v>4619</v>
      </c>
      <c r="C43" s="26" t="str">
        <f t="shared" si="0"/>
        <v>update obj_building b set building_id = '11=14' where b.zip||'-'||b.street||'-'||b.name = '9220-Sandbänkli 4-Schulhaus Altbau';</v>
      </c>
    </row>
    <row r="44" spans="1:3" x14ac:dyDescent="0.25">
      <c r="A44" s="26" t="s">
        <v>4618</v>
      </c>
      <c r="B44" s="27" t="s">
        <v>4617</v>
      </c>
      <c r="C44" s="26" t="str">
        <f t="shared" si="0"/>
        <v>update obj_building b set building_id = '11=16' where b.zip||'-'||b.street||'-'||b.name = '9220-Sandbänkli 4-Aula';</v>
      </c>
    </row>
    <row r="45" spans="1:3" x14ac:dyDescent="0.25">
      <c r="A45" s="26" t="s">
        <v>4616</v>
      </c>
      <c r="B45" s="27" t="s">
        <v>4615</v>
      </c>
      <c r="C45" s="26" t="str">
        <f t="shared" si="0"/>
        <v>update obj_building b set building_id = '11=17' where b.zip||'-'||b.street||'-'||b.name = '9220-Sandbänkli-Velounterstand';</v>
      </c>
    </row>
    <row r="46" spans="1:3" x14ac:dyDescent="0.25">
      <c r="A46" s="26" t="s">
        <v>4614</v>
      </c>
      <c r="B46" s="27" t="s">
        <v>4613</v>
      </c>
      <c r="C46" s="26" t="str">
        <f t="shared" si="0"/>
        <v>update obj_building b set building_id = '11=19' where b.zip||'-'||b.street||'-'||b.name = '9220-Sandbäkli 4-Schulhaus Neubau, Pausenunterstand';</v>
      </c>
    </row>
    <row r="47" spans="1:3" x14ac:dyDescent="0.25">
      <c r="A47" s="26" t="s">
        <v>4612</v>
      </c>
      <c r="B47" s="27" t="s">
        <v>4611</v>
      </c>
      <c r="C47" s="26" t="str">
        <f t="shared" si="0"/>
        <v>update obj_building b set building_id = '11=20' where b.zip||'-'||b.street||'-'||b.name = '9220-Sandbänkli-Garage';</v>
      </c>
    </row>
    <row r="48" spans="1:3" x14ac:dyDescent="0.25">
      <c r="A48" s="26" t="s">
        <v>4610</v>
      </c>
      <c r="B48" s="27" t="s">
        <v>4609</v>
      </c>
      <c r="C48" s="26" t="str">
        <f t="shared" si="0"/>
        <v>update obj_building b set building_id = '11=21' where b.zip||'-'||b.street||'-'||b.name = '8589-Bruggfeld/Rofenstrasse 20-Schulhaus, Garage, Gerätehaus, Containerhaus, Gargengerättehaus';</v>
      </c>
    </row>
    <row r="49" spans="1:3" x14ac:dyDescent="0.25">
      <c r="A49" s="26" t="s">
        <v>4608</v>
      </c>
      <c r="B49" s="27" t="s">
        <v>4607</v>
      </c>
      <c r="C49" s="26" t="str">
        <f t="shared" si="0"/>
        <v>update obj_building b set building_id = '11=25' where b.zip||'-'||b.street||'-'||b.name = '9220-Ibergstrasse-Schulpavillon';</v>
      </c>
    </row>
    <row r="50" spans="1:3" x14ac:dyDescent="0.25">
      <c r="A50" s="26" t="s">
        <v>4606</v>
      </c>
      <c r="B50" s="27" t="s">
        <v>4605</v>
      </c>
      <c r="C50" s="26" t="str">
        <f t="shared" si="0"/>
        <v>update obj_building b set building_id = '11=26' where b.zip||'-'||b.street||'-'||b.name = '9216-Schulstrasse 7-Primarschulanlage Schulhaus';</v>
      </c>
    </row>
    <row r="51" spans="1:3" x14ac:dyDescent="0.25">
      <c r="A51" s="26" t="s">
        <v>4604</v>
      </c>
      <c r="B51" s="27" t="s">
        <v>4603</v>
      </c>
      <c r="C51" s="26" t="str">
        <f t="shared" si="0"/>
        <v>update obj_building b set building_id = '11=27' where b.zip||'-'||b.street||'-'||b.name = '9213-Hauptstrasse-Primarschulanlage: Schulhaus, Garage, Velounterstand';</v>
      </c>
    </row>
    <row r="52" spans="1:3" x14ac:dyDescent="0.25">
      <c r="A52" s="26" t="s">
        <v>4602</v>
      </c>
      <c r="B52" s="27" t="s">
        <v>4601</v>
      </c>
      <c r="C52" s="26" t="str">
        <f t="shared" si="0"/>
        <v>update obj_building b set building_id = '11=30' where b.zip||'-'||b.street||'-'||b.name = '8589-St. Gallerstrasse 6-Kindergarten';</v>
      </c>
    </row>
    <row r="53" spans="1:3" x14ac:dyDescent="0.25">
      <c r="A53" s="26" t="s">
        <v>4600</v>
      </c>
      <c r="B53" s="27" t="s">
        <v>4599</v>
      </c>
      <c r="C53" s="26" t="str">
        <f t="shared" si="0"/>
        <v>update obj_building b set building_id = '11=31' where b.zip||'-'||b.street||'-'||b.name = '8589-St. Gallerstrasse 4-Primarschulanlage Schulhaus';</v>
      </c>
    </row>
    <row r="54" spans="1:3" x14ac:dyDescent="0.25">
      <c r="A54" s="26" t="s">
        <v>4598</v>
      </c>
      <c r="B54" s="27" t="s">
        <v>4597</v>
      </c>
      <c r="C54" s="26" t="str">
        <f t="shared" si="0"/>
        <v>update obj_building b set building_id = '11=32' where b.zip||'-'||b.street||'-'||b.name = '8588-Kirchstrasse-Primarschulanlage Schulhaus alt';</v>
      </c>
    </row>
    <row r="55" spans="1:3" x14ac:dyDescent="0.25">
      <c r="A55" s="26" t="s">
        <v>4596</v>
      </c>
      <c r="B55" s="27" t="s">
        <v>4595</v>
      </c>
      <c r="C55" s="26" t="str">
        <f t="shared" si="0"/>
        <v>update obj_building b set building_id = '11=33' where b.zip||'-'||b.street||'-'||b.name = '8588-Kirchstrasse-Primarschulanlage Mehrzweckhalle';</v>
      </c>
    </row>
    <row r="56" spans="1:3" x14ac:dyDescent="0.25">
      <c r="A56" s="26" t="s">
        <v>4594</v>
      </c>
      <c r="B56" s="27" t="s">
        <v>4593</v>
      </c>
      <c r="C56" s="26" t="str">
        <f t="shared" si="0"/>
        <v>update obj_building b set building_id = '11=34' where b.zip||'-'||b.street||'-'||b.name = '8588-Kirchstrasse-Primarschulanlage Schulhaus Mittelbau';</v>
      </c>
    </row>
    <row r="57" spans="1:3" x14ac:dyDescent="0.25">
      <c r="A57" s="26" t="s">
        <v>4592</v>
      </c>
      <c r="B57" s="27" t="s">
        <v>4591</v>
      </c>
      <c r="C57" s="26" t="str">
        <f t="shared" si="0"/>
        <v>update obj_building b set building_id = '11=35' where b.zip||'-'||b.street||'-'||b.name = '8589-St. Gallerstrasse-Primarschulanlage Mehrzweckgebäude';</v>
      </c>
    </row>
    <row r="58" spans="1:3" x14ac:dyDescent="0.25">
      <c r="A58" s="26" t="s">
        <v>4590</v>
      </c>
      <c r="B58" s="27" t="s">
        <v>4589</v>
      </c>
      <c r="C58" s="26" t="str">
        <f t="shared" si="0"/>
        <v>update obj_building b set building_id = '11=36' where b.zip||'-'||b.street||'-'||b.name = '9220-Ibergstrasse-Kindergarten, Spielhaus und Anbau';</v>
      </c>
    </row>
    <row r="59" spans="1:3" x14ac:dyDescent="0.25">
      <c r="A59" s="26" t="s">
        <v>4588</v>
      </c>
      <c r="B59" s="27" t="s">
        <v>4587</v>
      </c>
      <c r="C59" s="26" t="str">
        <f t="shared" si="0"/>
        <v>update obj_building b set building_id = '11=38' where b.zip||'-'||b.street||'-'||b.name = '9220-Blidegg 4-Primarschulanlage Schulhaus, Velounterstand';</v>
      </c>
    </row>
    <row r="60" spans="1:3" x14ac:dyDescent="0.25">
      <c r="A60" s="26" t="s">
        <v>4586</v>
      </c>
      <c r="B60" s="27" t="s">
        <v>4585</v>
      </c>
      <c r="C60" s="26" t="str">
        <f t="shared" si="0"/>
        <v>update obj_building b set building_id = '11=39' where b.zip||'-'||b.street||'-'||b.name = '9220-Blidegg-Primarschulanlage Schulpavillon';</v>
      </c>
    </row>
    <row r="61" spans="1:3" x14ac:dyDescent="0.25">
      <c r="A61" s="26" t="s">
        <v>4584</v>
      </c>
      <c r="B61" s="27" t="s">
        <v>4583</v>
      </c>
      <c r="C61" s="26" t="str">
        <f t="shared" si="0"/>
        <v>update obj_building b set building_id = '11=41' where b.zip||'-'||b.street||'-'||b.name = '9225-Hoferberg-Primarschulanlage Schulhaus, Wohnungen';</v>
      </c>
    </row>
    <row r="62" spans="1:3" x14ac:dyDescent="0.25">
      <c r="A62" s="26" t="s">
        <v>4582</v>
      </c>
      <c r="B62" s="27" t="s">
        <v>4581</v>
      </c>
      <c r="C62" s="26" t="str">
        <f t="shared" si="0"/>
        <v>update obj_building b set building_id = '11=42' where b.zip||'-'||b.street||'-'||b.name = '9225-Hoferberg-Primarschulanlage Schulhaus, Turnhalle';</v>
      </c>
    </row>
    <row r="63" spans="1:3" x14ac:dyDescent="0.25">
      <c r="A63" s="26" t="s">
        <v>4580</v>
      </c>
      <c r="B63" s="27" t="s">
        <v>4579</v>
      </c>
      <c r="C63" s="26" t="str">
        <f t="shared" si="0"/>
        <v>update obj_building b set building_id = '11=43' where b.zip||'-'||b.street||'-'||b.name = '9220-Sandbänkli 5-Verwaltungsgebäude';</v>
      </c>
    </row>
    <row r="64" spans="1:3" x14ac:dyDescent="0.25">
      <c r="A64" s="26" t="s">
        <v>4578</v>
      </c>
      <c r="B64" s="27" t="s">
        <v>4577</v>
      </c>
      <c r="C64" s="26" t="str">
        <f t="shared" si="0"/>
        <v>update obj_building b set building_id = '12=01' where b.zip||'-'||b.street||'-'||b.name = '8022-Fraumünsterstrasse 8 und Stadthausquai 3,5,7-SNB';</v>
      </c>
    </row>
    <row r="65" spans="1:3" x14ac:dyDescent="0.25">
      <c r="A65" s="26" t="s">
        <v>4576</v>
      </c>
      <c r="B65" s="27" t="s">
        <v>4575</v>
      </c>
      <c r="C65" s="26" t="str">
        <f t="shared" si="0"/>
        <v>update obj_building b set building_id = '13=01' where b.zip||'-'||b.street||'-'||b.name = '8476-Unterdorf 8-Schulhaus und Kindergarten';</v>
      </c>
    </row>
    <row r="66" spans="1:3" x14ac:dyDescent="0.25">
      <c r="A66" s="26" t="s">
        <v>4574</v>
      </c>
      <c r="B66" s="27" t="s">
        <v>4573</v>
      </c>
      <c r="C66" s="26" t="str">
        <f t="shared" si="0"/>
        <v>update obj_building b set building_id = '13=02' where b.zip||'-'||b.street||'-'||b.name = '8477-Hauptstrasse 15-Schulhaus';</v>
      </c>
    </row>
    <row r="67" spans="1:3" x14ac:dyDescent="0.25">
      <c r="A67" s="26" t="s">
        <v>4572</v>
      </c>
      <c r="B67" s="27" t="s">
        <v>4571</v>
      </c>
      <c r="C67" s="26" t="str">
        <f t="shared" si="0"/>
        <v>update obj_building b set building_id = '13=03' where b.zip||'-'||b.street||'-'||b.name = '8468-Mülibachstrasse 18-Schulhaus mit Turnhalle';</v>
      </c>
    </row>
    <row r="68" spans="1:3" x14ac:dyDescent="0.25">
      <c r="A68" s="26" t="s">
        <v>4570</v>
      </c>
      <c r="B68" s="27" t="s">
        <v>4569</v>
      </c>
      <c r="C68" s="26" t="str">
        <f t="shared" si="0"/>
        <v>update obj_building b set building_id = '13=04' where b.zip||'-'||b.street||'-'||b.name = '8468-Mülibachstrasse 20-Haus Mülibach';</v>
      </c>
    </row>
    <row r="69" spans="1:3" x14ac:dyDescent="0.25">
      <c r="A69" s="26" t="s">
        <v>4568</v>
      </c>
      <c r="B69" s="27" t="s">
        <v>4567</v>
      </c>
      <c r="C69" s="26" t="str">
        <f t="shared" si="0"/>
        <v>update obj_building b set building_id = '13=05' where b.zip||'-'||b.street||'-'||b.name = '8476-Unterdorf 10-Wohnhaus mit Schopf';</v>
      </c>
    </row>
    <row r="70" spans="1:3" x14ac:dyDescent="0.25">
      <c r="A70" s="26" t="s">
        <v>4566</v>
      </c>
      <c r="B70" s="27" t="s">
        <v>4565</v>
      </c>
      <c r="C70" s="26" t="str">
        <f t="shared" si="0"/>
        <v>update obj_building b set building_id = '13=06' where b.zip||'-'||b.street||'-'||b.name = '8476-Bahnhofstrasse 8-Schulhausanlage';</v>
      </c>
    </row>
    <row r="71" spans="1:3" x14ac:dyDescent="0.25">
      <c r="A71" s="26" t="s">
        <v>4564</v>
      </c>
      <c r="B71" s="27" t="s">
        <v>4563</v>
      </c>
      <c r="C71" s="26" t="str">
        <f t="shared" si="0"/>
        <v>update obj_building b set building_id = '13=07' where b.zip||'-'||b.street||'-'||b.name = '8476-Bahnhofstrasse 7-Turnhalle';</v>
      </c>
    </row>
    <row r="72" spans="1:3" x14ac:dyDescent="0.25">
      <c r="A72" s="26" t="s">
        <v>4562</v>
      </c>
      <c r="B72" s="27" t="s">
        <v>4561</v>
      </c>
      <c r="C72" s="26" t="str">
        <f t="shared" si="0"/>
        <v>update obj_building b set building_id = '13=08' where b.zip||'-'||b.street||'-'||b.name = '8476-Bahnhofstrasse 7-Schulhausanlage';</v>
      </c>
    </row>
    <row r="73" spans="1:3" x14ac:dyDescent="0.25">
      <c r="A73" s="26" t="s">
        <v>4560</v>
      </c>
      <c r="B73" s="27" t="s">
        <v>4559</v>
      </c>
      <c r="C73" s="26" t="str">
        <f t="shared" ref="C73:C129" si="1">"update obj_building b set building_id = '"&amp;B73&amp;"' where b.zip||'-'||b.street||'-'||b.name = '"&amp;A73&amp;"';"</f>
        <v>update obj_building b set building_id = '13=09' where b.zip||'-'||b.street||'-'||b.name = '8477-Hanffeldstrasse 18-Kindergarten';</v>
      </c>
    </row>
    <row r="74" spans="1:3" x14ac:dyDescent="0.25">
      <c r="A74" s="26" t="s">
        <v>4558</v>
      </c>
      <c r="B74" s="27" t="s">
        <v>4557</v>
      </c>
      <c r="C74" s="26" t="str">
        <f t="shared" si="1"/>
        <v>update obj_building b set building_id = '13=10' where b.zip||'-'||b.street||'-'||b.name = '8476-Bahnhofstrasse 8-Sporthalle';</v>
      </c>
    </row>
    <row r="75" spans="1:3" x14ac:dyDescent="0.25">
      <c r="A75" s="26" t="s">
        <v>4556</v>
      </c>
      <c r="B75" s="27" t="s">
        <v>4555</v>
      </c>
      <c r="C75" s="26" t="str">
        <f t="shared" si="1"/>
        <v>update obj_building b set building_id = '14=01' where b.zip||'-'||b.street||'-'||b.name = '8444-Dorfstrasse 39-Kindergarten';</v>
      </c>
    </row>
    <row r="76" spans="1:3" x14ac:dyDescent="0.25">
      <c r="A76" s="26" t="s">
        <v>4554</v>
      </c>
      <c r="B76" s="27" t="s">
        <v>4553</v>
      </c>
      <c r="C76" s="26" t="str">
        <f t="shared" si="1"/>
        <v>update obj_building b set building_id = '15=01' where b.zip||'-'||b.street||'-'||b.name = '8620-Eggstrasse 68-EFH Leukens';</v>
      </c>
    </row>
    <row r="77" spans="1:3" x14ac:dyDescent="0.25">
      <c r="A77" s="26" t="s">
        <v>4552</v>
      </c>
      <c r="B77" s="27" t="s">
        <v>4551</v>
      </c>
      <c r="C77" s="26" t="str">
        <f t="shared" si="1"/>
        <v>update obj_building b set building_id = '16=01' where b.zip||'-'||b.street||'-'||b.name = '8006-Sonneggstrasse 42 + 44-MFH Sonnegg 42 + 44';</v>
      </c>
    </row>
    <row r="78" spans="1:3" x14ac:dyDescent="0.25">
      <c r="A78" s="26" t="s">
        <v>4550</v>
      </c>
      <c r="B78" s="27" t="s">
        <v>4549</v>
      </c>
      <c r="C78" s="26" t="str">
        <f t="shared" si="1"/>
        <v>update obj_building b set building_id = '17=01' where b.zip||'-'||b.street||'-'||b.name = '4950-Bahnhofstrasse 2-Mehrzweckgebäude';</v>
      </c>
    </row>
    <row r="79" spans="1:3" x14ac:dyDescent="0.25">
      <c r="A79" s="26" t="s">
        <v>4548</v>
      </c>
      <c r="B79" s="27" t="s">
        <v>4547</v>
      </c>
      <c r="C79" s="26" t="str">
        <f t="shared" si="1"/>
        <v>update obj_building b set building_id = '17=02' where b.zip||'-'||b.street||'-'||b.name = '4950-Bahnhofstrasse 4-Wohn- und Geschäftshaus';</v>
      </c>
    </row>
    <row r="80" spans="1:3" x14ac:dyDescent="0.25">
      <c r="A80" s="26" t="s">
        <v>4546</v>
      </c>
      <c r="B80" s="27" t="s">
        <v>4545</v>
      </c>
      <c r="C80" s="26" t="str">
        <f t="shared" si="1"/>
        <v>update obj_building b set building_id = '17=03' where b.zip||'-'||b.street||'-'||b.name = '4950-Bahnhofstrasse 6-Wohn- und Geschäftshaus';</v>
      </c>
    </row>
    <row r="81" spans="1:3" x14ac:dyDescent="0.25">
      <c r="A81" s="26" t="s">
        <v>4544</v>
      </c>
      <c r="B81" s="27" t="s">
        <v>4543</v>
      </c>
      <c r="C81" s="26" t="str">
        <f t="shared" si="1"/>
        <v>update obj_building b set building_id = '17=04' where b.zip||'-'||b.street||'-'||b.name = '4950-Buchenweg 5-Wohnhaus / Scheune';</v>
      </c>
    </row>
    <row r="82" spans="1:3" x14ac:dyDescent="0.25">
      <c r="A82" s="26" t="s">
        <v>4542</v>
      </c>
      <c r="B82" s="27" t="s">
        <v>4541</v>
      </c>
      <c r="C82" s="26" t="str">
        <f t="shared" si="1"/>
        <v>update obj_building b set building_id = '17=05' where b.zip||'-'||b.street||'-'||b.name = '4950-Marktgasse 2-Verwaltungsgebäude';</v>
      </c>
    </row>
    <row r="83" spans="1:3" x14ac:dyDescent="0.25">
      <c r="A83" s="26" t="s">
        <v>4540</v>
      </c>
      <c r="B83" s="27" t="s">
        <v>4539</v>
      </c>
      <c r="C83" s="26" t="str">
        <f t="shared" si="1"/>
        <v>update obj_building b set building_id = '17=06' where b.zip||'-'||b.street||'-'||b.name = '4950-Marktgasse 4-Geschäftshaus';</v>
      </c>
    </row>
    <row r="84" spans="1:3" x14ac:dyDescent="0.25">
      <c r="A84" s="26" t="s">
        <v>4538</v>
      </c>
      <c r="B84" s="27" t="s">
        <v>4537</v>
      </c>
      <c r="C84" s="26" t="str">
        <f t="shared" si="1"/>
        <v>update obj_building b set building_id = '17=07' where b.zip||'-'||b.street||'-'||b.name = '4950-Marktgasse 5b-Garagen / Tankraum / Parkplatz';</v>
      </c>
    </row>
    <row r="85" spans="1:3" x14ac:dyDescent="0.25">
      <c r="A85" s="26" t="s">
        <v>4536</v>
      </c>
      <c r="B85" s="27" t="s">
        <v>4535</v>
      </c>
      <c r="C85" s="26" t="str">
        <f t="shared" si="1"/>
        <v>update obj_building b set building_id = '17=08' where b.zip||'-'||b.street||'-'||b.name = '4950-Oberdorfstrasse 11c-Alte Turnhalle';</v>
      </c>
    </row>
    <row r="86" spans="1:3" x14ac:dyDescent="0.25">
      <c r="A86" s="26" t="s">
        <v>4534</v>
      </c>
      <c r="B86" s="27" t="s">
        <v>4533</v>
      </c>
      <c r="C86" s="26" t="str">
        <f t="shared" si="1"/>
        <v>update obj_building b set building_id = '17=09' where b.zip||'-'||b.street||'-'||b.name = '4950-Oberdorfstrasse 19-Wohnhaus und Büros';</v>
      </c>
    </row>
    <row r="87" spans="1:3" x14ac:dyDescent="0.25">
      <c r="A87" s="26" t="s">
        <v>4532</v>
      </c>
      <c r="B87" s="27" t="s">
        <v>4531</v>
      </c>
      <c r="C87" s="26" t="str">
        <f t="shared" si="1"/>
        <v>update obj_building b set building_id = '17=10' where b.zip||'-'||b.street||'-'||b.name = '4950-Spitalstrasse 14-Wohnhaus und Vereinslokal';</v>
      </c>
    </row>
    <row r="88" spans="1:3" x14ac:dyDescent="0.25">
      <c r="A88" s="26" t="s">
        <v>4530</v>
      </c>
      <c r="B88" s="27" t="s">
        <v>4529</v>
      </c>
      <c r="C88" s="26" t="str">
        <f t="shared" si="1"/>
        <v>update obj_building b set building_id = '17=11' where b.zip||'-'||b.street||'-'||b.name = '4950-Spitalstrasse 54a-Magazin, Museum';</v>
      </c>
    </row>
    <row r="89" spans="1:3" x14ac:dyDescent="0.25">
      <c r="A89" s="26" t="s">
        <v>4528</v>
      </c>
      <c r="B89" s="27" t="s">
        <v>4527</v>
      </c>
      <c r="C89" s="26" t="str">
        <f t="shared" si="1"/>
        <v>update obj_building b set building_id = '17=12' where b.zip||'-'||b.street||'-'||b.name = '4950-Nyffel 26-Schulhaus Nyffel';</v>
      </c>
    </row>
    <row r="90" spans="1:3" x14ac:dyDescent="0.25">
      <c r="A90" s="26" t="s">
        <v>4526</v>
      </c>
      <c r="B90" s="27" t="s">
        <v>4525</v>
      </c>
      <c r="C90" s="26" t="str">
        <f t="shared" si="1"/>
        <v>update obj_building b set building_id = '17=13' where b.zip||'-'||b.street||'-'||b.name = '4950-Bernstrasse 78-Schulhaus HPS Schüpbach';</v>
      </c>
    </row>
    <row r="91" spans="1:3" x14ac:dyDescent="0.25">
      <c r="A91" s="26" t="s">
        <v>4524</v>
      </c>
      <c r="B91" s="27" t="s">
        <v>4523</v>
      </c>
      <c r="C91" s="26" t="str">
        <f t="shared" si="1"/>
        <v>update obj_building b set building_id = '17=14' where b.zip||'-'||b.street||'-'||b.name = '4950-Dornackerweg 2-Turnhalle, Sportplatz';</v>
      </c>
    </row>
    <row r="92" spans="1:3" x14ac:dyDescent="0.25">
      <c r="A92" s="26" t="s">
        <v>4522</v>
      </c>
      <c r="B92" s="27" t="s">
        <v>4521</v>
      </c>
      <c r="C92" s="26" t="str">
        <f t="shared" si="1"/>
        <v>update obj_building b set building_id = '17=15' where b.zip||'-'||b.street||'-'||b.name = '4950-Friedhofweg 31a/37a-Friedhof, Leichenhalle';</v>
      </c>
    </row>
    <row r="93" spans="1:3" x14ac:dyDescent="0.25">
      <c r="A93" s="26" t="s">
        <v>4520</v>
      </c>
      <c r="B93" s="27" t="s">
        <v>4519</v>
      </c>
      <c r="C93" s="26" t="str">
        <f t="shared" si="1"/>
        <v>update obj_building b set building_id = '17=16' where b.zip||'-'||b.street||'-'||b.name = '4950-Hofmattstrasse 5/5a-Sekundarschulhaus';</v>
      </c>
    </row>
    <row r="94" spans="1:3" x14ac:dyDescent="0.25">
      <c r="A94" s="26" t="s">
        <v>4518</v>
      </c>
      <c r="B94" s="27" t="s">
        <v>4517</v>
      </c>
      <c r="C94" s="26" t="str">
        <f t="shared" si="1"/>
        <v>update obj_building b set building_id = '17=17' where b.zip||'-'||b.street||'-'||b.name = '4950-Lochmühleweg 2a-Pumpwerk, Elektrizität';</v>
      </c>
    </row>
    <row r="95" spans="1:3" x14ac:dyDescent="0.25">
      <c r="A95" s="26" t="s">
        <v>4516</v>
      </c>
      <c r="B95" s="27" t="s">
        <v>4515</v>
      </c>
      <c r="C95" s="26" t="str">
        <f t="shared" si="1"/>
        <v>update obj_building b set building_id = '17=18' where b.zip||'-'||b.street||'-'||b.name = '4950-Marktgasse 2-Restaurant';</v>
      </c>
    </row>
    <row r="96" spans="1:3" x14ac:dyDescent="0.25">
      <c r="A96" s="26" t="s">
        <v>4514</v>
      </c>
      <c r="B96" s="27" t="s">
        <v>4513</v>
      </c>
      <c r="C96" s="26" t="str">
        <f t="shared" si="1"/>
        <v>update obj_building b set building_id = '17=19' where b.zip||'-'||b.street||'-'||b.name = '4950-Marktgasse 4-Verwaltungsgebäude';</v>
      </c>
    </row>
    <row r="97" spans="1:3" x14ac:dyDescent="0.25">
      <c r="A97" s="26" t="s">
        <v>4512</v>
      </c>
      <c r="B97" s="27" t="s">
        <v>4511</v>
      </c>
      <c r="C97" s="26" t="str">
        <f t="shared" si="1"/>
        <v>update obj_building b set building_id = '17=20' where b.zip||'-'||b.street||'-'||b.name = '4950-Neuhausstrasse 15-Schulanlage Schwarzenbach';</v>
      </c>
    </row>
    <row r="98" spans="1:3" x14ac:dyDescent="0.25">
      <c r="A98" s="26" t="s">
        <v>4510</v>
      </c>
      <c r="B98" s="27" t="s">
        <v>4509</v>
      </c>
      <c r="C98" s="26" t="str">
        <f t="shared" si="1"/>
        <v>update obj_building b set building_id = '17=21' where b.zip||'-'||b.street||'-'||b.name = '4950-Oberdorfstrasse 4-Berufsschulhaus';</v>
      </c>
    </row>
    <row r="99" spans="1:3" x14ac:dyDescent="0.25">
      <c r="A99" s="26" t="s">
        <v>4508</v>
      </c>
      <c r="B99" s="27" t="s">
        <v>4507</v>
      </c>
      <c r="C99" s="26" t="str">
        <f t="shared" si="1"/>
        <v>update obj_building b set building_id = '17=22' where b.zip||'-'||b.street||'-'||b.name = '4950-Oberdorfstrasse 5-Velokeller';</v>
      </c>
    </row>
    <row r="100" spans="1:3" x14ac:dyDescent="0.25">
      <c r="A100" s="26" t="s">
        <v>4506</v>
      </c>
      <c r="B100" s="27" t="s">
        <v>4505</v>
      </c>
      <c r="C100" s="26" t="str">
        <f t="shared" si="1"/>
        <v>update obj_building b set building_id = '17=23' where b.zip||'-'||b.street||'-'||b.name = '4950-Oberdorfstrasse 11a-Schulhaus Städtli';</v>
      </c>
    </row>
    <row r="101" spans="1:3" x14ac:dyDescent="0.25">
      <c r="A101" s="26" t="s">
        <v>4504</v>
      </c>
      <c r="B101" s="27" t="s">
        <v>4503</v>
      </c>
      <c r="C101" s="26" t="str">
        <f t="shared" si="1"/>
        <v>update obj_building b set building_id = '17=24' where b.zip||'-'||b.street||'-'||b.name = '4950-Oberdorfstrasse 13/15/15b-Werkhof';</v>
      </c>
    </row>
    <row r="102" spans="1:3" x14ac:dyDescent="0.25">
      <c r="A102" s="26" t="s">
        <v>4502</v>
      </c>
      <c r="B102" s="27" t="s">
        <v>4501</v>
      </c>
      <c r="C102" s="26" t="str">
        <f t="shared" si="1"/>
        <v>update obj_building b set building_id = '17=25' where b.zip||'-'||b.street||'-'||b.name = '4950-Buchenweg 6b-Wasserversorgung';</v>
      </c>
    </row>
    <row r="103" spans="1:3" x14ac:dyDescent="0.25">
      <c r="A103" s="26" t="s">
        <v>4500</v>
      </c>
      <c r="B103" s="27" t="s">
        <v>4499</v>
      </c>
      <c r="C103" s="26" t="str">
        <f t="shared" si="1"/>
        <v>update obj_building b set building_id = '17=26' where b.zip||'-'||b.street||'-'||b.name = '4950-Huttwilwald 1a-Pumpwerk';</v>
      </c>
    </row>
    <row r="104" spans="1:3" x14ac:dyDescent="0.25">
      <c r="A104" s="26" t="s">
        <v>4498</v>
      </c>
      <c r="B104" s="27" t="s">
        <v>4497</v>
      </c>
      <c r="C104" s="26" t="str">
        <f t="shared" si="1"/>
        <v>update obj_building b set building_id = '17=27' where b.zip||'-'||b.street||'-'||b.name = '4950-Dornackerweg 2a/b-Wasserversorgung';</v>
      </c>
    </row>
    <row r="105" spans="1:3" x14ac:dyDescent="0.25">
      <c r="A105" s="26" t="s">
        <v>4496</v>
      </c>
      <c r="B105" s="27" t="s">
        <v>4495</v>
      </c>
      <c r="C105" s="26" t="str">
        <f t="shared" si="1"/>
        <v>update obj_building b set building_id = '17=28' where b.zip||'-'||b.street||'-'||b.name = '4950-innere Schlüecht 5a-Wasserversorgung';</v>
      </c>
    </row>
    <row r="106" spans="1:3" x14ac:dyDescent="0.25">
      <c r="A106" s="26" t="s">
        <v>4494</v>
      </c>
      <c r="B106" s="27" t="s">
        <v>4493</v>
      </c>
      <c r="C106" s="26" t="str">
        <f t="shared" si="1"/>
        <v>update obj_building b set building_id = '17=29' where b.zip||'-'||b.street||'-'||b.name = '4950-Möhrenweid 1a-Wasserversorgung';</v>
      </c>
    </row>
    <row r="107" spans="1:3" x14ac:dyDescent="0.25">
      <c r="A107" s="26" t="s">
        <v>4492</v>
      </c>
      <c r="B107" s="27" t="s">
        <v>4491</v>
      </c>
      <c r="C107" s="26" t="str">
        <f t="shared" si="1"/>
        <v>update obj_building b set building_id = '17=30' where b.zip||'-'||b.street||'-'||b.name = '4950-Willimatt 2a-Wasserversorgung';</v>
      </c>
    </row>
    <row r="108" spans="1:3" x14ac:dyDescent="0.25">
      <c r="A108" s="26" t="s">
        <v>4490</v>
      </c>
      <c r="B108" s="27" t="s">
        <v>4489</v>
      </c>
      <c r="C108" s="26" t="str">
        <f t="shared" si="1"/>
        <v>update obj_building b set building_id = '17=31' where b.zip||'-'||b.street||'-'||b.name = '4950-Dornackerweg 6-Zivilschutzanlage';</v>
      </c>
    </row>
    <row r="109" spans="1:3" x14ac:dyDescent="0.25">
      <c r="A109" s="26" t="s">
        <v>4488</v>
      </c>
      <c r="B109" s="27" t="s">
        <v>4487</v>
      </c>
      <c r="C109" s="26" t="str">
        <f t="shared" si="1"/>
        <v>update obj_building b set building_id = '17=32' where b.zip||'-'||b.street||'-'||b.name = '4950-Lindenstrasse 21-Zivilschutzanlage';</v>
      </c>
    </row>
    <row r="110" spans="1:3" x14ac:dyDescent="0.25">
      <c r="A110" s="26" t="s">
        <v>4486</v>
      </c>
      <c r="B110" s="27" t="s">
        <v>4485</v>
      </c>
      <c r="C110" s="26" t="str">
        <f t="shared" si="1"/>
        <v>update obj_building b set building_id = '17=33' where b.zip||'-'||b.street||'-'||b.name = '4950-Hoffmattstrasse 3-Feuerwehrmagazin';</v>
      </c>
    </row>
    <row r="111" spans="1:3" x14ac:dyDescent="0.25">
      <c r="A111" s="26" t="s">
        <v>4484</v>
      </c>
      <c r="B111" s="27" t="s">
        <v>4483</v>
      </c>
      <c r="C111" s="26" t="str">
        <f t="shared" si="1"/>
        <v>update obj_building b set building_id = '17=34' where b.zip||'-'||b.street||'-'||b.name = '4950-Moostrasse 2a-Garage Feuerwehr';</v>
      </c>
    </row>
    <row r="112" spans="1:3" x14ac:dyDescent="0.25">
      <c r="A112" s="26" t="s">
        <v>4482</v>
      </c>
      <c r="B112" s="27" t="s">
        <v>4481</v>
      </c>
      <c r="C112" s="26" t="str">
        <f t="shared" si="1"/>
        <v>update obj_building b set building_id = '17=35' where b.zip||'-'||b.street||'-'||b.name = '4950-Heimstrasse 1-Kindergarten Heimstrasse';</v>
      </c>
    </row>
    <row r="113" spans="1:3" x14ac:dyDescent="0.25">
      <c r="A113" s="26" t="s">
        <v>4480</v>
      </c>
      <c r="B113" s="27" t="s">
        <v>4479</v>
      </c>
      <c r="C113" s="26" t="str">
        <f t="shared" si="1"/>
        <v>update obj_building b set building_id = '18=01' where b.zip||'-'||b.street||'-'||b.name = '9471-St. Gallerstrasse 2-Rathaus';</v>
      </c>
    </row>
    <row r="114" spans="1:3" x14ac:dyDescent="0.25">
      <c r="A114" s="26" t="s">
        <v>4478</v>
      </c>
      <c r="B114" s="27" t="s">
        <v>4477</v>
      </c>
      <c r="C114" s="26" t="str">
        <f t="shared" si="1"/>
        <v>update obj_building b set building_id = '18=02' where b.zip||'-'||b.street||'-'||b.name = '9471-St. Gallerstrasse 6-Wohn- und Geschäftshaus';</v>
      </c>
    </row>
    <row r="115" spans="1:3" x14ac:dyDescent="0.25">
      <c r="A115" s="26" t="s">
        <v>4476</v>
      </c>
      <c r="B115" s="27" t="s">
        <v>4475</v>
      </c>
      <c r="C115" s="26" t="str">
        <f t="shared" si="1"/>
        <v>update obj_building b set building_id = '18=03' where b.zip||'-'||b.street||'-'||b.name = '9471-Brunnenweg 1-Bezirksgefängnis Wohnhaus';</v>
      </c>
    </row>
    <row r="116" spans="1:3" x14ac:dyDescent="0.25">
      <c r="A116" s="26" t="s">
        <v>4474</v>
      </c>
      <c r="B116" s="27" t="s">
        <v>4473</v>
      </c>
      <c r="C116" s="26" t="str">
        <f t="shared" si="1"/>
        <v>update obj_building b set building_id = '18=04' where b.zip||'-'||b.street||'-'||b.name = '9471-Kirchgasse 2-Bibliothek und altes Pfarrhaus';</v>
      </c>
    </row>
    <row r="117" spans="1:3" x14ac:dyDescent="0.25">
      <c r="A117" s="26" t="s">
        <v>4472</v>
      </c>
      <c r="B117" s="27" t="s">
        <v>4471</v>
      </c>
      <c r="C117" s="26" t="str">
        <f t="shared" si="1"/>
        <v>update obj_building b set building_id = '18=05' where b.zip||'-'||b.street||'-'||b.name = '9471-Schulhausstrasse 12-Logopädie mit Wohnung';</v>
      </c>
    </row>
    <row r="118" spans="1:3" x14ac:dyDescent="0.25">
      <c r="A118" s="26" t="s">
        <v>4470</v>
      </c>
      <c r="B118" s="27" t="s">
        <v>4469</v>
      </c>
      <c r="C118" s="26" t="str">
        <f t="shared" si="1"/>
        <v>update obj_building b set building_id = '18=06' where b.zip||'-'||b.street||'-'||b.name = '9471-Volksgartenstrasse 38-Feuerwehr- &amp; Zivilschutzanlage';</v>
      </c>
    </row>
    <row r="119" spans="1:3" x14ac:dyDescent="0.25">
      <c r="A119" s="26" t="s">
        <v>4468</v>
      </c>
      <c r="B119" s="27" t="s">
        <v>4467</v>
      </c>
      <c r="C119" s="26" t="str">
        <f t="shared" si="1"/>
        <v>update obj_building b set building_id = '18=07' where b.zip||'-'||b.street||'-'||b.name = '9471-Aeulistrasse 12-Kindertagesstätte und Pavillon';</v>
      </c>
    </row>
    <row r="120" spans="1:3" x14ac:dyDescent="0.25">
      <c r="A120" s="26" t="s">
        <v>4466</v>
      </c>
      <c r="B120" s="27" t="s">
        <v>4465</v>
      </c>
      <c r="C120" s="26" t="str">
        <f t="shared" si="1"/>
        <v>update obj_building b set building_id = '18=08' where b.zip||'-'||b.street||'-'||b.name = '9471-Aeulistrasse 10-Internationale Schule Rheintal';</v>
      </c>
    </row>
    <row r="121" spans="1:3" x14ac:dyDescent="0.25">
      <c r="A121" s="26" t="s">
        <v>4464</v>
      </c>
      <c r="B121" s="27" t="s">
        <v>4463</v>
      </c>
      <c r="C121" s="26" t="str">
        <f t="shared" si="1"/>
        <v>update obj_building b set building_id = '18=09' where b.zip||'-'||b.street||'-'||b.name = '9471-Langäulistrasse 20-Werkhalle (Werkhof)';</v>
      </c>
    </row>
    <row r="122" spans="1:3" x14ac:dyDescent="0.25">
      <c r="A122" s="26" t="s">
        <v>4462</v>
      </c>
      <c r="B122" s="27" t="s">
        <v>4461</v>
      </c>
      <c r="C122" s="26" t="str">
        <f t="shared" si="1"/>
        <v>update obj_building b set building_id = '18=10' where b.zip||'-'||b.street||'-'||b.name = '9471-Buchersplatz-Schiessanlage';</v>
      </c>
    </row>
    <row r="123" spans="1:3" x14ac:dyDescent="0.25">
      <c r="A123" s="26" t="s">
        <v>4460</v>
      </c>
      <c r="B123" s="27" t="s">
        <v>4459</v>
      </c>
      <c r="C123" s="26" t="str">
        <f t="shared" si="1"/>
        <v>update obj_building b set building_id = '18=11' where b.zip||'-'||b.street||'-'||b.name = '9471-Buchserau-Freibad Rheinau';</v>
      </c>
    </row>
    <row r="124" spans="1:3" x14ac:dyDescent="0.25">
      <c r="A124" s="26" t="s">
        <v>4458</v>
      </c>
      <c r="B124" s="27" t="s">
        <v>4457</v>
      </c>
      <c r="C124" s="26" t="str">
        <f t="shared" si="1"/>
        <v>update obj_building b set building_id = '18=12' where b.zip||'-'||b.street||'-'||b.name = '9471-Rheinau-Clubhaus FC Buchs';</v>
      </c>
    </row>
    <row r="125" spans="1:3" x14ac:dyDescent="0.25">
      <c r="A125" s="26" t="s">
        <v>4456</v>
      </c>
      <c r="B125" s="27" t="s">
        <v>4455</v>
      </c>
      <c r="C125" s="26" t="str">
        <f t="shared" si="1"/>
        <v>update obj_building b set building_id = '19=01' where b.zip||'-'||b.street||'-'||b.name = '5620-Obertorplatz-Parkgarage';</v>
      </c>
    </row>
    <row r="126" spans="1:3" x14ac:dyDescent="0.25">
      <c r="A126" s="26" t="s">
        <v>4441</v>
      </c>
      <c r="B126" s="27" t="s">
        <v>4440</v>
      </c>
      <c r="C126" s="26" t="str">
        <f t="shared" si="1"/>
        <v>update obj_building b set building_id = '20=01' where b.zip||'-'||b.street||'-'||b.name = '8335-Hermetsbüelweg 10-Hermetsbüel Oberstufe';</v>
      </c>
    </row>
    <row r="127" spans="1:3" x14ac:dyDescent="0.25">
      <c r="A127" s="26" t="s">
        <v>4439</v>
      </c>
      <c r="B127" s="27" t="s">
        <v>4438</v>
      </c>
      <c r="C127" s="26" t="str">
        <f t="shared" si="1"/>
        <v>update obj_building b set building_id = '20=02' where b.zip||'-'||b.street||'-'||b.name = '8335-Hermetsbüelweg 24-Turnhalle Hermetsbüel';</v>
      </c>
    </row>
    <row r="128" spans="1:3" x14ac:dyDescent="0.25">
      <c r="A128" s="26" t="s">
        <v>4437</v>
      </c>
      <c r="B128" s="27" t="s">
        <v>4436</v>
      </c>
      <c r="C128" s="26" t="str">
        <f t="shared" si="1"/>
        <v>update obj_building b set building_id = '20=03' where b.zip||'-'||b.street||'-'||b.name = '8335-Jakob Stutz-Str 60-Mehrzweckhalle';</v>
      </c>
    </row>
    <row r="129" spans="1:3" x14ac:dyDescent="0.25">
      <c r="A129" s="26" t="s">
        <v>4435</v>
      </c>
      <c r="B129" s="27" t="s">
        <v>4434</v>
      </c>
      <c r="C129" s="26" t="str">
        <f t="shared" si="1"/>
        <v>update obj_building b set building_id = '20=04' where b.zip||'-'||b.street||'-'||b.name = '8335-Hermetsbüelweg 8-Hauswartwohnung';</v>
      </c>
    </row>
    <row r="130" spans="1:3" x14ac:dyDescent="0.25">
      <c r="A130" s="26" t="s">
        <v>4433</v>
      </c>
      <c r="B130" s="27" t="s">
        <v>4432</v>
      </c>
      <c r="C130" s="26" t="str">
        <f t="shared" ref="C130:C193" si="2">"update obj_building b set building_id = '"&amp;B130&amp;"' where b.zip||'-'||b.street||'-'||b.name = '"&amp;A130&amp;"';"</f>
        <v>update obj_building b set building_id = '20=05' where b.zip||'-'||b.street||'-'||b.name = '8335-Hermetsbüelweg 9-Dorfschule';</v>
      </c>
    </row>
    <row r="131" spans="1:3" x14ac:dyDescent="0.25">
      <c r="A131" s="26" t="s">
        <v>4431</v>
      </c>
      <c r="B131" s="27" t="s">
        <v>4430</v>
      </c>
      <c r="C131" s="26" t="str">
        <f t="shared" si="2"/>
        <v>update obj_building b set building_id = '20=06' where b.zip||'-'||b.street||'-'||b.name = '8335-Wetzikerstrasse 20-Kiga Oberhittnau, Wohnung/Garage';</v>
      </c>
    </row>
    <row r="132" spans="1:3" x14ac:dyDescent="0.25">
      <c r="A132" s="26" t="s">
        <v>4429</v>
      </c>
      <c r="B132" s="27" t="s">
        <v>4428</v>
      </c>
      <c r="C132" s="26" t="str">
        <f t="shared" si="2"/>
        <v>update obj_building b set building_id = '20=07' where b.zip||'-'||b.street||'-'||b.name = '8335-Jakob Stutz-Str. 7-Kiga Unterhittnau und Wohnung';</v>
      </c>
    </row>
    <row r="133" spans="1:3" x14ac:dyDescent="0.25">
      <c r="A133" s="26" t="s">
        <v>4427</v>
      </c>
      <c r="B133" s="27" t="s">
        <v>4426</v>
      </c>
      <c r="C133" s="26" t="str">
        <f t="shared" si="2"/>
        <v>update obj_building b set building_id = '20=08' where b.zip||'-'||b.street||'-'||b.name = '8335-Jakob Stutz-Str 7A-Kiga Sonne';</v>
      </c>
    </row>
    <row r="134" spans="1:3" x14ac:dyDescent="0.25">
      <c r="A134" s="26" t="s">
        <v>4425</v>
      </c>
      <c r="B134" s="27" t="s">
        <v>4424</v>
      </c>
      <c r="C134" s="26" t="str">
        <f t="shared" si="2"/>
        <v>update obj_building b set building_id = '20=09' where b.zip||'-'||b.street||'-'||b.name = '8335-Oberdoftstrasse 21-Kiga Oberdorf';</v>
      </c>
    </row>
    <row r="135" spans="1:3" x14ac:dyDescent="0.25">
      <c r="A135" s="26" t="s">
        <v>4423</v>
      </c>
      <c r="B135" s="27" t="s">
        <v>4422</v>
      </c>
      <c r="C135" s="26" t="str">
        <f t="shared" si="2"/>
        <v>update obj_building b set building_id = '20=10' where b.zip||'-'||b.street||'-'||b.name = '8335-Hermetsbüelweg 16-Hermetsbüel Primar';</v>
      </c>
    </row>
    <row r="136" spans="1:3" x14ac:dyDescent="0.25">
      <c r="A136" s="26" t="s">
        <v>4421</v>
      </c>
      <c r="B136" s="27" t="s">
        <v>4420</v>
      </c>
      <c r="C136" s="26" t="str">
        <f t="shared" si="2"/>
        <v>update obj_building b set building_id = '21=01' where b.zip||'-'||b.street||'-'||b.name = '8104-Haslernstrasse 20-Villa';</v>
      </c>
    </row>
    <row r="137" spans="1:3" x14ac:dyDescent="0.25">
      <c r="A137" s="26" t="s">
        <v>4419</v>
      </c>
      <c r="B137" s="27" t="s">
        <v>4418</v>
      </c>
      <c r="C137" s="26" t="str">
        <f t="shared" si="2"/>
        <v>update obj_building b set building_id = '22=01' where b.zip||'-'||b.street||'-'||b.name = '9651-Obere Laui 1665-Ferienhaus';</v>
      </c>
    </row>
    <row r="138" spans="1:3" x14ac:dyDescent="0.25">
      <c r="A138" s="26" t="s">
        <v>4417</v>
      </c>
      <c r="B138" s="27" t="s">
        <v>4416</v>
      </c>
      <c r="C138" s="26" t="str">
        <f t="shared" si="2"/>
        <v>update obj_building b set building_id = '23=01' where b.zip||'-'||b.street||'-'||b.name = '4303-Dorfstrasse 17-Gemeindehaus inkl. Wohnung Hauswart und Feuerwehrmagazin Dorf';</v>
      </c>
    </row>
    <row r="139" spans="1:3" x14ac:dyDescent="0.25">
      <c r="A139" s="26" t="s">
        <v>4415</v>
      </c>
      <c r="B139" s="27" t="s">
        <v>4414</v>
      </c>
      <c r="C139" s="26" t="str">
        <f t="shared" si="2"/>
        <v>update obj_building b set building_id = '23=05' where b.zip||'-'||b.street||'-'||b.name = '4303-Dorfstrasse 18-Turnhalle Dorf';</v>
      </c>
    </row>
    <row r="140" spans="1:3" x14ac:dyDescent="0.25">
      <c r="A140" s="26" t="s">
        <v>4413</v>
      </c>
      <c r="B140" s="27" t="s">
        <v>4412</v>
      </c>
      <c r="C140" s="26" t="str">
        <f t="shared" si="2"/>
        <v>update obj_building b set building_id = '23=06' where b.zip||'-'||b.street||'-'||b.name = '4303-Dorfstrasse 20-Schulhaus Dorf inkl. Blockheizkraftwerk';</v>
      </c>
    </row>
    <row r="141" spans="1:3" x14ac:dyDescent="0.25">
      <c r="A141" s="26" t="s">
        <v>4411</v>
      </c>
      <c r="B141" s="27" t="s">
        <v>4410</v>
      </c>
      <c r="C141" s="26" t="str">
        <f t="shared" si="2"/>
        <v>update obj_building b set building_id = '23=08' where b.zip||'-'||b.street||'-'||b.name = '4303-Kastellstrasse 3-Löwenparking';</v>
      </c>
    </row>
    <row r="142" spans="1:3" x14ac:dyDescent="0.25">
      <c r="A142" s="26" t="s">
        <v>4409</v>
      </c>
      <c r="B142" s="27" t="s">
        <v>4408</v>
      </c>
      <c r="C142" s="26" t="str">
        <f t="shared" si="2"/>
        <v>update obj_building b set building_id = '23=09' where b.zip||'-'||b.street||'-'||b.name = '4303-Kirchgasse-Kirchturm';</v>
      </c>
    </row>
    <row r="143" spans="1:3" x14ac:dyDescent="0.25">
      <c r="A143" s="26" t="s">
        <v>4407</v>
      </c>
      <c r="B143" s="27" t="s">
        <v>4406</v>
      </c>
      <c r="C143" s="26" t="str">
        <f t="shared" si="2"/>
        <v>update obj_building b set building_id = '23=10' where b.zip||'-'||b.street||'-'||b.name = '4303-Dorfstrasse 19-Kindergarten Dorf';</v>
      </c>
    </row>
    <row r="144" spans="1:3" x14ac:dyDescent="0.25">
      <c r="A144" s="26" t="s">
        <v>4405</v>
      </c>
      <c r="B144" s="27" t="s">
        <v>4404</v>
      </c>
      <c r="C144" s="26" t="str">
        <f t="shared" si="2"/>
        <v>update obj_building b set building_id = '23=11' where b.zip||'-'||b.street||'-'||b.name = '4303-Dorfstrasse 19-Geräteschopf';</v>
      </c>
    </row>
    <row r="145" spans="1:3" x14ac:dyDescent="0.25">
      <c r="A145" s="26" t="s">
        <v>4403</v>
      </c>
      <c r="B145" s="27" t="s">
        <v>4402</v>
      </c>
      <c r="C145" s="26" t="str">
        <f t="shared" si="2"/>
        <v>update obj_building b set building_id = '23=12' where b.zip||'-'||b.street||'-'||b.name = '4303-Dorfstrasse 27-Wohnhaus Dorfstr. 27';</v>
      </c>
    </row>
    <row r="146" spans="1:3" x14ac:dyDescent="0.25">
      <c r="A146" s="26" t="s">
        <v>4401</v>
      </c>
      <c r="B146" s="27" t="s">
        <v>4400</v>
      </c>
      <c r="C146" s="26" t="str">
        <f t="shared" si="2"/>
        <v>update obj_building b set building_id = '23=13' where b.zip||'-'||b.street||'-'||b.name = '4303-Hintere Liebrüti-Schulhaus Liebrüti';</v>
      </c>
    </row>
    <row r="147" spans="1:3" x14ac:dyDescent="0.25">
      <c r="A147" s="26" t="s">
        <v>4399</v>
      </c>
      <c r="B147" s="27" t="s">
        <v>4398</v>
      </c>
      <c r="C147" s="26" t="str">
        <f t="shared" si="2"/>
        <v>update obj_building b set building_id = '23=14' where b.zip||'-'||b.street||'-'||b.name = '4303-Hintere Liebrüti-Pavillon Liebrüti';</v>
      </c>
    </row>
    <row r="148" spans="1:3" x14ac:dyDescent="0.25">
      <c r="A148" s="26" t="s">
        <v>4397</v>
      </c>
      <c r="B148" s="27" t="s">
        <v>4396</v>
      </c>
      <c r="C148" s="26" t="str">
        <f t="shared" si="2"/>
        <v>update obj_building b set building_id = '23=15' where b.zip||'-'||b.street||'-'||b.name = '4303-Hintere Liebrüti-Turnhalle Liebrüti';</v>
      </c>
    </row>
    <row r="149" spans="1:3" x14ac:dyDescent="0.25">
      <c r="A149" s="26" t="s">
        <v>4395</v>
      </c>
      <c r="B149" s="27" t="s">
        <v>4394</v>
      </c>
      <c r="C149" s="26" t="str">
        <f t="shared" si="2"/>
        <v>update obj_building b set building_id = '23=16' where b.zip||'-'||b.street||'-'||b.name = '4303-Hintere Liebrüti, Böttmeweg-Gerätehaus Liebrüti';</v>
      </c>
    </row>
    <row r="150" spans="1:3" x14ac:dyDescent="0.25">
      <c r="A150" s="26" t="s">
        <v>4393</v>
      </c>
      <c r="B150" s="27" t="s">
        <v>4392</v>
      </c>
      <c r="C150" s="26" t="str">
        <f t="shared" si="2"/>
        <v>update obj_building b set building_id = '23=17' where b.zip||'-'||b.street||'-'||b.name = '4303-Schwarzackerstrasse 59-KIGA Schwarzackerstrasse';</v>
      </c>
    </row>
    <row r="151" spans="1:3" x14ac:dyDescent="0.25">
      <c r="A151" s="26" t="s">
        <v>4391</v>
      </c>
      <c r="B151" s="27" t="s">
        <v>4390</v>
      </c>
      <c r="C151" s="26" t="str">
        <f t="shared" si="2"/>
        <v>update obj_building b set building_id = '23=18' where b.zip||'-'||b.street||'-'||b.name = '4303-Liebrütistrasse 14-KIGA Liebrütistrasse';</v>
      </c>
    </row>
    <row r="152" spans="1:3" x14ac:dyDescent="0.25">
      <c r="A152" s="26" t="s">
        <v>4389</v>
      </c>
      <c r="B152" s="27" t="s">
        <v>4388</v>
      </c>
      <c r="C152" s="26" t="str">
        <f t="shared" si="2"/>
        <v>update obj_building b set building_id = '23=19' where b.zip||'-'||b.street||'-'||b.name = '4303-Violaweg 75-KIGA Violaweg';</v>
      </c>
    </row>
    <row r="153" spans="1:3" x14ac:dyDescent="0.25">
      <c r="A153" s="26" t="s">
        <v>4387</v>
      </c>
      <c r="B153" s="27" t="s">
        <v>4386</v>
      </c>
      <c r="C153" s="26" t="str">
        <f t="shared" si="2"/>
        <v>update obj_building b set building_id = '23=20' where b.zip||'-'||b.street||'-'||b.name = '4303-Rosenweg 18-KIGA Rosenweg';</v>
      </c>
    </row>
    <row r="154" spans="1:3" x14ac:dyDescent="0.25">
      <c r="A154" s="26" t="s">
        <v>4385</v>
      </c>
      <c r="B154" s="27" t="s">
        <v>4384</v>
      </c>
      <c r="C154" s="26" t="str">
        <f t="shared" si="2"/>
        <v>update obj_building b set building_id = '23=21' where b.zip||'-'||b.street||'-'||b.name = '4303-Im Liner, Römerweg-Sportplatz im Liner';</v>
      </c>
    </row>
    <row r="155" spans="1:3" x14ac:dyDescent="0.25">
      <c r="A155" s="26" t="s">
        <v>4383</v>
      </c>
      <c r="B155" s="27" t="s">
        <v>4382</v>
      </c>
      <c r="C155" s="26" t="str">
        <f t="shared" si="2"/>
        <v>update obj_building b set building_id = '23=22' where b.zip||'-'||b.street||'-'||b.name = '4303-Im Liner-(Vereinshaus Kleingärten)';</v>
      </c>
    </row>
    <row r="156" spans="1:3" x14ac:dyDescent="0.25">
      <c r="A156" s="26" t="s">
        <v>4381</v>
      </c>
      <c r="B156" s="27" t="s">
        <v>4380</v>
      </c>
      <c r="C156" s="26" t="str">
        <f t="shared" si="2"/>
        <v>update obj_building b set building_id = '23=23' where b.zip||'-'||b.street||'-'||b.name = '4303-Friedhof-Abdankungshalle';</v>
      </c>
    </row>
    <row r="157" spans="1:3" x14ac:dyDescent="0.25">
      <c r="A157" s="26" t="s">
        <v>4379</v>
      </c>
      <c r="B157" s="27" t="s">
        <v>4378</v>
      </c>
      <c r="C157" s="26" t="str">
        <f t="shared" si="2"/>
        <v>update obj_building b set building_id = '23=24' where b.zip||'-'||b.street||'-'||b.name = '4303-Friedhof-Geräteraum';</v>
      </c>
    </row>
    <row r="158" spans="1:3" x14ac:dyDescent="0.25">
      <c r="A158" s="26" t="s">
        <v>4377</v>
      </c>
      <c r="B158" s="27" t="s">
        <v>4376</v>
      </c>
      <c r="C158" s="26" t="str">
        <f t="shared" si="2"/>
        <v>update obj_building b set building_id = '23=25' where b.zip||'-'||b.street||'-'||b.name = '4303-Lochmatt, Strandbadweg 59-Camping, Kiosk';</v>
      </c>
    </row>
    <row r="159" spans="1:3" x14ac:dyDescent="0.25">
      <c r="A159" s="26" t="s">
        <v>4375</v>
      </c>
      <c r="B159" s="27" t="s">
        <v>4374</v>
      </c>
      <c r="C159" s="26" t="str">
        <f t="shared" si="2"/>
        <v>update obj_building b set building_id = '23=26' where b.zip||'-'||b.street||'-'||b.name = '4303-Lochmatt-WC-Gebäude';</v>
      </c>
    </row>
    <row r="160" spans="1:3" x14ac:dyDescent="0.25">
      <c r="A160" s="26" t="s">
        <v>4373</v>
      </c>
      <c r="B160" s="27" t="s">
        <v>4372</v>
      </c>
      <c r="C160" s="26" t="str">
        <f t="shared" si="2"/>
        <v>update obj_building b set building_id = '23=27' where b.zip||'-'||b.street||'-'||b.name = '4303-Lochmatt-Garderobengebäude';</v>
      </c>
    </row>
    <row r="161" spans="1:3" x14ac:dyDescent="0.25">
      <c r="A161" s="26" t="s">
        <v>4371</v>
      </c>
      <c r="B161" s="27" t="s">
        <v>4370</v>
      </c>
      <c r="C161" s="26" t="str">
        <f t="shared" si="2"/>
        <v>update obj_building b set building_id = '23=28' where b.zip||'-'||b.street||'-'||b.name = '4303-Lochmatt-Magazin';</v>
      </c>
    </row>
    <row r="162" spans="1:3" x14ac:dyDescent="0.25">
      <c r="A162" s="26" t="s">
        <v>4369</v>
      </c>
      <c r="B162" s="27" t="s">
        <v>4368</v>
      </c>
      <c r="C162" s="26" t="str">
        <f t="shared" si="2"/>
        <v>update obj_building b set building_id = '23=29' where b.zip||'-'||b.street||'-'||b.name = '4303-Lochmatt-Betriebsgebäude';</v>
      </c>
    </row>
    <row r="163" spans="1:3" x14ac:dyDescent="0.25">
      <c r="A163" s="26" t="s">
        <v>4367</v>
      </c>
      <c r="B163" s="27" t="s">
        <v>4366</v>
      </c>
      <c r="C163" s="26" t="str">
        <f t="shared" si="2"/>
        <v>update obj_building b set building_id = '23=30' where b.zip||'-'||b.street||'-'||b.name = '4303-Lochmatt-Chlorgasgebäude';</v>
      </c>
    </row>
    <row r="164" spans="1:3" x14ac:dyDescent="0.25">
      <c r="A164" s="26" t="s">
        <v>4365</v>
      </c>
      <c r="B164" s="27" t="s">
        <v>4364</v>
      </c>
      <c r="C164" s="26" t="str">
        <f t="shared" si="2"/>
        <v>update obj_building b set building_id = '23=31' where b.zip||'-'||b.street||'-'||b.name = '4303-Rinaustrasse 26-Asylbewerberunterkunft';</v>
      </c>
    </row>
    <row r="165" spans="1:3" x14ac:dyDescent="0.25">
      <c r="A165" s="26" t="s">
        <v>4363</v>
      </c>
      <c r="B165" s="27" t="s">
        <v>4362</v>
      </c>
      <c r="C165" s="26" t="str">
        <f t="shared" si="2"/>
        <v>update obj_building b set building_id = '23=32' where b.zip||'-'||b.street||'-'||b.name = '4303-Rinaustrasse 28-Asylbewerberunterkunft';</v>
      </c>
    </row>
    <row r="166" spans="1:3" x14ac:dyDescent="0.25">
      <c r="A166" s="26" t="s">
        <v>4361</v>
      </c>
      <c r="B166" s="27" t="s">
        <v>4360</v>
      </c>
      <c r="C166" s="26" t="str">
        <f t="shared" si="2"/>
        <v>update obj_building b set building_id = '23=33' where b.zip||'-'||b.street||'-'||b.name = '4303-Guggeregge 1-Werkhof';</v>
      </c>
    </row>
    <row r="167" spans="1:3" x14ac:dyDescent="0.25">
      <c r="A167" s="26" t="s">
        <v>4359</v>
      </c>
      <c r="B167" s="27" t="s">
        <v>4358</v>
      </c>
      <c r="C167" s="26" t="str">
        <f t="shared" si="2"/>
        <v>update obj_building b set building_id = '23=34' where b.zip||'-'||b.street||'-'||b.name = '4303-Allmendgasse 13-Wohnhaus';</v>
      </c>
    </row>
    <row r="168" spans="1:3" x14ac:dyDescent="0.25">
      <c r="A168" s="26" t="s">
        <v>4357</v>
      </c>
      <c r="B168" s="27" t="s">
        <v>4356</v>
      </c>
      <c r="C168" s="26" t="str">
        <f t="shared" si="2"/>
        <v>update obj_building b set building_id = '23=35' where b.zip||'-'||b.street||'-'||b.name = '4303-Kirchgasse 21-Lötscher-Scheune';</v>
      </c>
    </row>
    <row r="169" spans="1:3" x14ac:dyDescent="0.25">
      <c r="A169" s="26" t="s">
        <v>4355</v>
      </c>
      <c r="B169" s="27" t="s">
        <v>4354</v>
      </c>
      <c r="C169" s="26" t="str">
        <f t="shared" si="2"/>
        <v>update obj_building b set building_id = '23=36' where b.zip||'-'||b.street||'-'||b.name = '4303-Kirchgasse 19-Alterswohnungen 6 Stk. inkl. Bürgerkeller';</v>
      </c>
    </row>
    <row r="170" spans="1:3" x14ac:dyDescent="0.25">
      <c r="A170" s="26" t="s">
        <v>4353</v>
      </c>
      <c r="B170" s="27" t="s">
        <v>4352</v>
      </c>
      <c r="C170" s="26" t="str">
        <f t="shared" si="2"/>
        <v>update obj_building b set building_id = '23=38' where b.zip||'-'||b.street||'-'||b.name = '4303-Kirchgasse 19-Fährihäuschen / Stübli';</v>
      </c>
    </row>
    <row r="171" spans="1:3" x14ac:dyDescent="0.25">
      <c r="A171" s="26" t="s">
        <v>4351</v>
      </c>
      <c r="B171" s="27" t="s">
        <v>4350</v>
      </c>
      <c r="C171" s="26" t="str">
        <f t="shared" si="2"/>
        <v>update obj_building b set building_id = '23=39' where b.zip||'-'||b.street||'-'||b.name = '4303-Rheinuferweg-Fährianlagestelle';</v>
      </c>
    </row>
    <row r="172" spans="1:3" x14ac:dyDescent="0.25">
      <c r="A172" s="26" t="s">
        <v>4349</v>
      </c>
      <c r="B172" s="27" t="s">
        <v>4348</v>
      </c>
      <c r="C172" s="26" t="str">
        <f t="shared" si="2"/>
        <v>update obj_building b set building_id = '23=40' where b.zip||'-'||b.street||'-'||b.name = '4303-Rheinuferweg-Zollhaus';</v>
      </c>
    </row>
    <row r="173" spans="1:3" x14ac:dyDescent="0.25">
      <c r="A173" s="26" t="s">
        <v>4347</v>
      </c>
      <c r="B173" s="27" t="s">
        <v>4346</v>
      </c>
      <c r="C173" s="26" t="str">
        <f t="shared" si="2"/>
        <v>update obj_building b set building_id = '23=41' where b.zip||'-'||b.street||'-'||b.name = '4303-Rheinuferweg-Pumpenhaus';</v>
      </c>
    </row>
    <row r="174" spans="1:3" x14ac:dyDescent="0.25">
      <c r="A174" s="26" t="s">
        <v>4345</v>
      </c>
      <c r="B174" s="27" t="s">
        <v>4344</v>
      </c>
      <c r="C174" s="26" t="str">
        <f t="shared" si="2"/>
        <v>update obj_building b set building_id = '23=42' where b.zip||'-'||b.street||'-'||b.name = '4303-Rheinuferweg-Wartehäuschen Fähri / Werkhaus';</v>
      </c>
    </row>
    <row r="175" spans="1:3" x14ac:dyDescent="0.25">
      <c r="A175" s="26" t="s">
        <v>4343</v>
      </c>
      <c r="B175" s="27" t="s">
        <v>4342</v>
      </c>
      <c r="C175" s="26" t="str">
        <f t="shared" si="2"/>
        <v>update obj_building b set building_id = '23=43' where b.zip||'-'||b.street||'-'||b.name = '4303-Rheinuferweg-Pumpihaus Clubhaus Rheingenossen';</v>
      </c>
    </row>
    <row r="176" spans="1:3" x14ac:dyDescent="0.25">
      <c r="A176" s="26" t="s">
        <v>4341</v>
      </c>
      <c r="B176" s="27" t="s">
        <v>4340</v>
      </c>
      <c r="C176" s="26" t="str">
        <f t="shared" si="2"/>
        <v>update obj_building b set building_id = '23=44' where b.zip||'-'||b.street||'-'||b.name = '4303-Rheinuferweg Ergolzbucht-Bootshaus Lochmatt';</v>
      </c>
    </row>
    <row r="177" spans="1:3" x14ac:dyDescent="0.25">
      <c r="A177" s="26" t="s">
        <v>4339</v>
      </c>
      <c r="B177" s="27" t="s">
        <v>4338</v>
      </c>
      <c r="C177" s="26" t="str">
        <f t="shared" si="2"/>
        <v>update obj_building b set building_id = '23=45' where b.zip||'-'||b.street||'-'||b.name = '4303-Dorfstrasse 35-Landgasthof Adler + Autounterstand';</v>
      </c>
    </row>
    <row r="178" spans="1:3" x14ac:dyDescent="0.25">
      <c r="A178" s="26" t="s">
        <v>4337</v>
      </c>
      <c r="B178" s="27" t="s">
        <v>4336</v>
      </c>
      <c r="C178" s="26" t="str">
        <f t="shared" si="2"/>
        <v>update obj_building b set building_id = '23=46' where b.zip||'-'||b.street||'-'||b.name = '4303-Violahof-Jugend- und Kulturzentrum Violahof';</v>
      </c>
    </row>
    <row r="179" spans="1:3" x14ac:dyDescent="0.25">
      <c r="A179" s="26" t="s">
        <v>4335</v>
      </c>
      <c r="B179" s="27" t="s">
        <v>4334</v>
      </c>
      <c r="C179" s="26" t="str">
        <f t="shared" si="2"/>
        <v>update obj_building b set building_id = '23=47' where b.zip||'-'||b.street||'-'||b.name = '4303-Violahof-Kinderkrippe';</v>
      </c>
    </row>
    <row r="180" spans="1:3" x14ac:dyDescent="0.25">
      <c r="A180" s="26" t="s">
        <v>4333</v>
      </c>
      <c r="B180" s="27" t="s">
        <v>4332</v>
      </c>
      <c r="C180" s="26" t="str">
        <f t="shared" si="2"/>
        <v>update obj_building b set building_id = '23=48' where b.zip||'-'||b.street||'-'||b.name = '4303-Violahof-Jugendhaus inkl. ehemaliger Polizeiposten';</v>
      </c>
    </row>
    <row r="181" spans="1:3" x14ac:dyDescent="0.25">
      <c r="A181" s="26" t="s">
        <v>4331</v>
      </c>
      <c r="B181" s="27" t="s">
        <v>4330</v>
      </c>
      <c r="C181" s="26" t="str">
        <f t="shared" si="2"/>
        <v>update obj_building b set building_id = '23=50' where b.zip||'-'||b.street||'-'||b.name = '4303-Violahof-Pfadihaus';</v>
      </c>
    </row>
    <row r="182" spans="1:3" x14ac:dyDescent="0.25">
      <c r="A182" s="26" t="s">
        <v>4329</v>
      </c>
      <c r="B182" s="27" t="s">
        <v>4328</v>
      </c>
      <c r="C182" s="26" t="str">
        <f t="shared" si="2"/>
        <v>update obj_building b set building_id = '23=51' where b.zip||'-'||b.street||'-'||b.name = '4303-Violahof-Feuerwehrmagazin';</v>
      </c>
    </row>
    <row r="183" spans="1:3" x14ac:dyDescent="0.25">
      <c r="A183" s="26" t="s">
        <v>4327</v>
      </c>
      <c r="B183" s="27" t="s">
        <v>4326</v>
      </c>
      <c r="C183" s="26" t="str">
        <f t="shared" si="2"/>
        <v>update obj_building b set building_id = '23=52' where b.zip||'-'||b.street||'-'||b.name = '4303-Rifälderhübel-Waldhütte';</v>
      </c>
    </row>
    <row r="184" spans="1:3" x14ac:dyDescent="0.25">
      <c r="A184" s="26" t="s">
        <v>4325</v>
      </c>
      <c r="B184" s="27" t="s">
        <v>4324</v>
      </c>
      <c r="C184" s="26" t="str">
        <f t="shared" si="2"/>
        <v>update obj_building b set building_id = '23=53' where b.zip||'-'||b.street||'-'||b.name = '4303-Stelliweg-Waldhütte';</v>
      </c>
    </row>
    <row r="185" spans="1:3" x14ac:dyDescent="0.25">
      <c r="A185" s="26" t="s">
        <v>4323</v>
      </c>
      <c r="B185" s="27" t="s">
        <v>4322</v>
      </c>
      <c r="C185" s="26" t="str">
        <f t="shared" si="2"/>
        <v>update obj_building b set building_id = '23=54' where b.zip||'-'||b.street||'-'||b.name = '4303-Strandbad-Materialraum';</v>
      </c>
    </row>
    <row r="186" spans="1:3" x14ac:dyDescent="0.25">
      <c r="A186" s="26" t="s">
        <v>4321</v>
      </c>
      <c r="B186" s="27" t="s">
        <v>4320</v>
      </c>
      <c r="C186" s="26" t="str">
        <f t="shared" si="2"/>
        <v>update obj_building b set building_id = '24=01' where b.zip||'-'||b.street||'-'||b.name = '8153-Katzenrütistrasse 4-Sekundarschulhaus Rümlang';</v>
      </c>
    </row>
    <row r="187" spans="1:3" x14ac:dyDescent="0.25">
      <c r="A187" s="26" t="s">
        <v>4319</v>
      </c>
      <c r="B187" s="27" t="s">
        <v>4318</v>
      </c>
      <c r="C187" s="26" t="str">
        <f t="shared" si="2"/>
        <v>update obj_building b set building_id = '24=02' where b.zip||'-'||b.street||'-'||b.name = '8153-Katzenrütistrasse bei 6-Primarschulhaus Rümlang inkl. Turnhalle';</v>
      </c>
    </row>
    <row r="188" spans="1:3" x14ac:dyDescent="0.25">
      <c r="A188" s="26" t="s">
        <v>4317</v>
      </c>
      <c r="B188" s="27" t="s">
        <v>4316</v>
      </c>
      <c r="C188" s="26" t="str">
        <f t="shared" si="2"/>
        <v>update obj_building b set building_id = '24=03' where b.zip||'-'||b.street||'-'||b.name = '8153-Im Hui-Pavillon';</v>
      </c>
    </row>
    <row r="189" spans="1:3" x14ac:dyDescent="0.25">
      <c r="A189" s="26" t="s">
        <v>4315</v>
      </c>
      <c r="B189" s="27" t="s">
        <v>4314</v>
      </c>
      <c r="C189" s="26" t="str">
        <f t="shared" si="2"/>
        <v>update obj_building b set building_id = '25=01' where b.zip||'-'||b.street||'-'||b.name = '8556-Käsereistrasse 10-Primarschule Wigoltingen';</v>
      </c>
    </row>
    <row r="190" spans="1:3" x14ac:dyDescent="0.25">
      <c r="A190" s="26" t="s">
        <v>4313</v>
      </c>
      <c r="B190" s="27" t="s">
        <v>4312</v>
      </c>
      <c r="C190" s="26" t="str">
        <f t="shared" si="2"/>
        <v>update obj_building b set building_id = '25=02' where b.zip||'-'||b.street||'-'||b.name = '8556-Käsereistrasse 10-Mehrzweckhalle';</v>
      </c>
    </row>
    <row r="191" spans="1:3" x14ac:dyDescent="0.25">
      <c r="A191" s="26" t="s">
        <v>4311</v>
      </c>
      <c r="B191" s="27" t="s">
        <v>4310</v>
      </c>
      <c r="C191" s="26" t="str">
        <f t="shared" si="2"/>
        <v>update obj_building b set building_id = '25=03' where b.zip||'-'||b.street||'-'||b.name = '8556-Käsereistrasse 10-Turnhalle (Sarnahalle)';</v>
      </c>
    </row>
    <row r="192" spans="1:3" x14ac:dyDescent="0.25">
      <c r="A192" s="26" t="s">
        <v>4309</v>
      </c>
      <c r="B192" s="27" t="s">
        <v>4308</v>
      </c>
      <c r="C192" s="26" t="str">
        <f t="shared" si="2"/>
        <v>update obj_building b set building_id = '25=04' where b.zip||'-'||b.street||'-'||b.name = '8556-Bahnhofstrasse 40-Werkzentrum';</v>
      </c>
    </row>
    <row r="193" spans="1:3" x14ac:dyDescent="0.25">
      <c r="A193" s="26" t="s">
        <v>4307</v>
      </c>
      <c r="B193" s="27" t="s">
        <v>4306</v>
      </c>
      <c r="C193" s="26" t="str">
        <f t="shared" si="2"/>
        <v>update obj_building b set building_id = '25=05' where b.zip||'-'||b.street||'-'||b.name = '8556-Kirchstrasse 12a-Sekundarschulgebäude';</v>
      </c>
    </row>
    <row r="194" spans="1:3" x14ac:dyDescent="0.25">
      <c r="A194" s="26" t="s">
        <v>4305</v>
      </c>
      <c r="B194" s="27" t="s">
        <v>4304</v>
      </c>
      <c r="C194" s="26" t="str">
        <f t="shared" ref="C194:C257" si="3">"update obj_building b set building_id = '"&amp;B194&amp;"' where b.zip||'-'||b.street||'-'||b.name = '"&amp;A194&amp;"';"</f>
        <v>update obj_building b set building_id = '25=06' where b.zip||'-'||b.street||'-'||b.name = '8556-Kirchstrasse 12a-Turnhallengebäude Sekundarschule';</v>
      </c>
    </row>
    <row r="195" spans="1:3" x14ac:dyDescent="0.25">
      <c r="A195" s="26" t="s">
        <v>4303</v>
      </c>
      <c r="B195" s="27" t="s">
        <v>4302</v>
      </c>
      <c r="C195" s="26" t="str">
        <f t="shared" si="3"/>
        <v>update obj_building b set building_id = '25=07' where b.zip||'-'||b.street||'-'||b.name = '8556-Kirchstrasse 10-Wohnhaus &amp; Garage';</v>
      </c>
    </row>
    <row r="196" spans="1:3" x14ac:dyDescent="0.25">
      <c r="A196" s="26" t="s">
        <v>4301</v>
      </c>
      <c r="B196" s="27" t="s">
        <v>4300</v>
      </c>
      <c r="C196" s="26" t="str">
        <f t="shared" si="3"/>
        <v>update obj_building b set building_id = '25=08' where b.zip||'-'||b.street||'-'||b.name = '8556-Käsereistrasse 12-Primarschule Wigoltingen, Altbau';</v>
      </c>
    </row>
    <row r="197" spans="1:3" x14ac:dyDescent="0.25">
      <c r="A197" s="26" t="s">
        <v>4299</v>
      </c>
      <c r="B197" s="27" t="s">
        <v>4298</v>
      </c>
      <c r="C197" s="26" t="str">
        <f t="shared" si="3"/>
        <v>update obj_building b set building_id = '25=09' where b.zip||'-'||b.street||'-'||b.name = '8556-Bernrainstrasse 26-Kindergarten Haldengüetli, m Gge';</v>
      </c>
    </row>
    <row r="198" spans="1:3" x14ac:dyDescent="0.25">
      <c r="A198" s="26" t="s">
        <v>4297</v>
      </c>
      <c r="B198" s="27" t="s">
        <v>4296</v>
      </c>
      <c r="C198" s="26" t="str">
        <f t="shared" si="3"/>
        <v>update obj_building b set building_id = '25=10' where b.zip||'-'||b.street||'-'||b.name = '8564-Schulstrasse 1-Primarschule Sonterswil  Erweiterungsbau';</v>
      </c>
    </row>
    <row r="199" spans="1:3" x14ac:dyDescent="0.25">
      <c r="A199" s="26" t="s">
        <v>4295</v>
      </c>
      <c r="B199" s="27" t="s">
        <v>4294</v>
      </c>
      <c r="C199" s="26" t="str">
        <f t="shared" si="3"/>
        <v>update obj_building b set building_id = '25=11' where b.zip||'-'||b.street||'-'||b.name = '8564-Schulstrasse-Mehrzweckhalle &amp; Turnhalle Sonterswil';</v>
      </c>
    </row>
    <row r="200" spans="1:3" x14ac:dyDescent="0.25">
      <c r="A200" s="26" t="s">
        <v>4293</v>
      </c>
      <c r="B200" s="27" t="s">
        <v>4292</v>
      </c>
      <c r="C200" s="26" t="str">
        <f t="shared" si="3"/>
        <v>update obj_building b set building_id = '25=12' where b.zip||'-'||b.street||'-'||b.name = '8564-Schulstrasse 1-Turnhalle';</v>
      </c>
    </row>
    <row r="201" spans="1:3" x14ac:dyDescent="0.25">
      <c r="A201" s="26" t="s">
        <v>4291</v>
      </c>
      <c r="B201" s="27" t="s">
        <v>4290</v>
      </c>
      <c r="C201" s="26" t="str">
        <f t="shared" si="3"/>
        <v>update obj_building b set building_id = '25=13' where b.zip||'-'||b.street||'-'||b.name = '8564-Schulstrasse 1-Wohnhaus &amp; Garage';</v>
      </c>
    </row>
    <row r="202" spans="1:3" x14ac:dyDescent="0.25">
      <c r="A202" s="26" t="s">
        <v>4289</v>
      </c>
      <c r="B202" s="27" t="s">
        <v>4288</v>
      </c>
      <c r="C202" s="26" t="str">
        <f t="shared" si="3"/>
        <v>update obj_building b set building_id = '25=14' where b.zip||'-'||b.street||'-'||b.name = '8556-Schulstrasse 7-Primarschule Raperswilen, Altbau inkl. Whg';</v>
      </c>
    </row>
    <row r="203" spans="1:3" x14ac:dyDescent="0.25">
      <c r="A203" s="26" t="s">
        <v>4287</v>
      </c>
      <c r="B203" s="27" t="s">
        <v>4286</v>
      </c>
      <c r="C203" s="26" t="str">
        <f t="shared" si="3"/>
        <v>update obj_building b set building_id = '25=15' where b.zip||'-'||b.street||'-'||b.name = '8558-Schulstrasse 7-Mittelstufe Raperswilen Neubau';</v>
      </c>
    </row>
    <row r="204" spans="1:3" x14ac:dyDescent="0.25">
      <c r="A204" s="26" t="s">
        <v>4285</v>
      </c>
      <c r="B204" s="27" t="s">
        <v>4284</v>
      </c>
      <c r="C204" s="26" t="str">
        <f t="shared" si="3"/>
        <v>update obj_building b set building_id = '25=16' where b.zip||'-'||b.street||'-'||b.name = '8558-Schulstrasse 7-Wohnhaus- Garage';</v>
      </c>
    </row>
    <row r="205" spans="1:3" x14ac:dyDescent="0.25">
      <c r="A205" s="26" t="s">
        <v>4283</v>
      </c>
      <c r="B205" s="27" t="s">
        <v>4282</v>
      </c>
      <c r="C205" s="26" t="str">
        <f t="shared" si="3"/>
        <v>update obj_building b set building_id = '26=01' where b.zip||'-'||b.street||'-'||b.name = '8335-Loweidstrasse-Schutzraum';</v>
      </c>
    </row>
    <row r="206" spans="1:3" x14ac:dyDescent="0.25">
      <c r="A206" s="26" t="s">
        <v>4281</v>
      </c>
      <c r="B206" s="27" t="s">
        <v>4280</v>
      </c>
      <c r="C206" s="26" t="str">
        <f t="shared" si="3"/>
        <v>update obj_building b set building_id = '26=02' where b.zip||'-'||b.street||'-'||b.name = '8335-Dürstelen-Feuerwehrgebäude';</v>
      </c>
    </row>
    <row r="207" spans="1:3" x14ac:dyDescent="0.25">
      <c r="A207" s="26" t="s">
        <v>4279</v>
      </c>
      <c r="B207" s="27" t="s">
        <v>4278</v>
      </c>
      <c r="C207" s="26" t="str">
        <f t="shared" si="3"/>
        <v>update obj_building b set building_id = '26=03' where b.zip||'-'||b.street||'-'||b.name = '8335-Dürstelenstrasse 73-Wohnhaus';</v>
      </c>
    </row>
    <row r="208" spans="1:3" x14ac:dyDescent="0.25">
      <c r="A208" s="26" t="s">
        <v>4277</v>
      </c>
      <c r="B208" s="27" t="s">
        <v>4276</v>
      </c>
      <c r="C208" s="26" t="str">
        <f t="shared" si="3"/>
        <v>update obj_building b set building_id = '26=04' where b.zip||'-'||b.street||'-'||b.name = '8335-Oberdorfstrasse 95-Wohnhaus';</v>
      </c>
    </row>
    <row r="209" spans="1:3" x14ac:dyDescent="0.25">
      <c r="A209" s="26" t="s">
        <v>4275</v>
      </c>
      <c r="B209" s="27" t="s">
        <v>4274</v>
      </c>
      <c r="C209" s="26" t="str">
        <f t="shared" si="3"/>
        <v>update obj_building b set building_id = '26=05' where b.zip||'-'||b.street||'-'||b.name = '8335-Oberdorfstrsse 91-Altersheim und Gartenhaus';</v>
      </c>
    </row>
    <row r="210" spans="1:3" x14ac:dyDescent="0.25">
      <c r="A210" s="26" t="s">
        <v>4273</v>
      </c>
      <c r="B210" s="27" t="s">
        <v>4272</v>
      </c>
      <c r="C210" s="26" t="str">
        <f t="shared" si="3"/>
        <v>update obj_building b set building_id = '26=06' where b.zip||'-'||b.street||'-'||b.name = '8335-Schulhausstrasse 2 bei 2-Schutzraum';</v>
      </c>
    </row>
    <row r="211" spans="1:3" x14ac:dyDescent="0.25">
      <c r="A211" s="26" t="s">
        <v>4271</v>
      </c>
      <c r="B211" s="27" t="s">
        <v>4270</v>
      </c>
      <c r="C211" s="26" t="str">
        <f>"update obj_building b set building_id = '"&amp;B211&amp;"' where b.zip||'-'||b.street||'-'||b.name||'-'||b.insured_value = '"&amp;A211&amp;"';"</f>
        <v>update obj_building b set building_id = '26=07' where b.zip||'-'||b.street||'-'||b.name||'-'||b.insured_value = '8335-Ghangetrietstrasse-Friedhofsgebäude-160';</v>
      </c>
    </row>
    <row r="212" spans="1:3" x14ac:dyDescent="0.25">
      <c r="A212" s="26" t="s">
        <v>4269</v>
      </c>
      <c r="B212" s="27" t="s">
        <v>4268</v>
      </c>
      <c r="C212" s="26" t="str">
        <f>"update obj_building b set building_id = '"&amp;B212&amp;"' where b.zip||'-'||b.street||'-'||b.name||'-'||b.insured_value = '"&amp;A212&amp;"';"</f>
        <v>update obj_building b set building_id = '26=08' where b.zip||'-'||b.street||'-'||b.name||'-'||b.insured_value = '8335-Ghangetrietstrasse-Friedhofsgebäude-530';</v>
      </c>
    </row>
    <row r="213" spans="1:3" x14ac:dyDescent="0.25">
      <c r="A213" s="26" t="s">
        <v>4267</v>
      </c>
      <c r="B213" s="27" t="s">
        <v>4266</v>
      </c>
      <c r="C213" s="26" t="str">
        <f t="shared" ref="C213:C244" si="4">"update obj_building b set building_id = '"&amp;B213&amp;"' where b.zip||'-'||b.street||'-'||b.name = '"&amp;A213&amp;"';"</f>
        <v>update obj_building b set building_id = '26=09' where b.zip||'-'||b.street||'-'||b.name = '8335-Dürstellenstrasse 8 bei 8-Zivilschutzanlage';</v>
      </c>
    </row>
    <row r="214" spans="1:3" x14ac:dyDescent="0.25">
      <c r="A214" s="26" t="s">
        <v>4265</v>
      </c>
      <c r="B214" s="27" t="s">
        <v>4264</v>
      </c>
      <c r="C214" s="26" t="str">
        <f t="shared" si="4"/>
        <v>update obj_building b set building_id = '26=10' where b.zip||'-'||b.street||'-'||b.name = '8335-Hermetsbüel-Zivilschutzanlage';</v>
      </c>
    </row>
    <row r="215" spans="1:3" x14ac:dyDescent="0.25">
      <c r="A215" s="26" t="s">
        <v>4263</v>
      </c>
      <c r="B215" s="27" t="s">
        <v>4262</v>
      </c>
      <c r="C215" s="26" t="str">
        <f t="shared" si="4"/>
        <v>update obj_building b set building_id = '26=11' where b.zip||'-'||b.street||'-'||b.name = '8335-Jakob Stuz-Strasse 54 bei 54-Altes Sekundarschulhaus inkl. Gerätehaus und Garagengebäude';</v>
      </c>
    </row>
    <row r="216" spans="1:3" x14ac:dyDescent="0.25">
      <c r="A216" s="26" t="s">
        <v>4261</v>
      </c>
      <c r="B216" s="27" t="s">
        <v>4260</v>
      </c>
      <c r="C216" s="26" t="str">
        <f t="shared" si="4"/>
        <v>update obj_building b set building_id = '27=01' where b.zip||'-'||b.street||'-'||b.name = '5425-Widenstrasse-Feuerwehrlokal, Bauamt, Zivilschutzgebäude';</v>
      </c>
    </row>
    <row r="217" spans="1:3" x14ac:dyDescent="0.25">
      <c r="A217" s="26" t="s">
        <v>4259</v>
      </c>
      <c r="B217" s="27" t="s">
        <v>4258</v>
      </c>
      <c r="C217" s="26" t="str">
        <f t="shared" si="4"/>
        <v>update obj_building b set building_id = '27=02' where b.zip||'-'||b.street||'-'||b.name = '5425-Aemmert, Schladstrasse 21-Schulhaus, Zwischenbau, Pausenhalle';</v>
      </c>
    </row>
    <row r="218" spans="1:3" x14ac:dyDescent="0.25">
      <c r="A218" s="26" t="s">
        <v>4257</v>
      </c>
      <c r="B218" s="27" t="s">
        <v>4256</v>
      </c>
      <c r="C218" s="26" t="str">
        <f t="shared" si="4"/>
        <v>update obj_building b set building_id = '27=03' where b.zip||'-'||b.street||'-'||b.name = '5425-Aemmert, Schladstrasse 21-Mehrzweckhalle';</v>
      </c>
    </row>
    <row r="219" spans="1:3" x14ac:dyDescent="0.25">
      <c r="A219" s="26" t="s">
        <v>4255</v>
      </c>
      <c r="B219" s="27" t="s">
        <v>4254</v>
      </c>
      <c r="C219" s="26" t="str">
        <f t="shared" si="4"/>
        <v>update obj_building b set building_id = '28=01' where b.zip||'-'||b.street||'-'||b.name = '5318-Hauptstrasse 108-MFH';</v>
      </c>
    </row>
    <row r="220" spans="1:3" x14ac:dyDescent="0.25">
      <c r="A220" s="26" t="s">
        <v>4253</v>
      </c>
      <c r="B220" s="27" t="s">
        <v>4252</v>
      </c>
      <c r="C220" s="26" t="str">
        <f t="shared" si="4"/>
        <v>update obj_building b set building_id = '28=02' where b.zip||'-'||b.street||'-'||b.name = '5318-Mitteldorf 45-Scheune';</v>
      </c>
    </row>
    <row r="221" spans="1:3" x14ac:dyDescent="0.25">
      <c r="A221" s="26" t="s">
        <v>4251</v>
      </c>
      <c r="B221" s="27" t="s">
        <v>4250</v>
      </c>
      <c r="C221" s="26" t="str">
        <f t="shared" si="4"/>
        <v>update obj_building b set building_id = '28=03' where b.zip||'-'||b.street||'-'||b.name = '5318-Hauptstrasse 46-EFH';</v>
      </c>
    </row>
    <row r="222" spans="1:3" x14ac:dyDescent="0.25">
      <c r="A222" s="26" t="s">
        <v>4249</v>
      </c>
      <c r="B222" s="27" t="s">
        <v>4248</v>
      </c>
      <c r="C222" s="26" t="str">
        <f t="shared" si="4"/>
        <v>update obj_building b set building_id = '28=04' where b.zip||'-'||b.street||'-'||b.name = '5318-Mitteldorf 47-Schopf mit Garage';</v>
      </c>
    </row>
    <row r="223" spans="1:3" x14ac:dyDescent="0.25">
      <c r="A223" s="26" t="s">
        <v>4247</v>
      </c>
      <c r="B223" s="27" t="s">
        <v>4246</v>
      </c>
      <c r="C223" s="26" t="str">
        <f t="shared" si="4"/>
        <v>update obj_building b set building_id = '3=1' where b.zip||'-'||b.street||'-'||b.name = '8479-Feldistrasse 6/8-Laubenhuus';</v>
      </c>
    </row>
    <row r="224" spans="1:3" x14ac:dyDescent="0.25">
      <c r="A224" s="26" t="s">
        <v>4245</v>
      </c>
      <c r="B224" s="27" t="s">
        <v>4244</v>
      </c>
      <c r="C224" s="26" t="str">
        <f t="shared" si="4"/>
        <v>update obj_building b set building_id = '4=1=1' where b.zip||'-'||b.street||'-'||b.name = '8266-Feldbach-Oberstufenschulhaus Feldbach';</v>
      </c>
    </row>
    <row r="225" spans="1:3" x14ac:dyDescent="0.25">
      <c r="A225" s="26" t="s">
        <v>4243</v>
      </c>
      <c r="B225" s="27" t="s">
        <v>4242</v>
      </c>
      <c r="C225" s="26" t="str">
        <f t="shared" si="4"/>
        <v>update obj_building b set building_id = '4=2' where b.zip||'-'||b.street||'-'||b.name = '8266-Frauenfelderstrasse 10-Hub gelb';</v>
      </c>
    </row>
    <row r="226" spans="1:3" x14ac:dyDescent="0.25">
      <c r="A226" s="26" t="s">
        <v>4241</v>
      </c>
      <c r="B226" s="27" t="s">
        <v>4240</v>
      </c>
      <c r="C226" s="26" t="str">
        <f t="shared" si="4"/>
        <v>update obj_building b set building_id = '4=3' where b.zip||'-'||b.street||'-'||b.name = '8266-Seestrasse 126-Seeschulhaus';</v>
      </c>
    </row>
    <row r="227" spans="1:3" x14ac:dyDescent="0.25">
      <c r="A227" s="26" t="s">
        <v>4239</v>
      </c>
      <c r="B227" s="27" t="s">
        <v>4238</v>
      </c>
      <c r="C227" s="26" t="str">
        <f t="shared" si="4"/>
        <v>update obj_building b set building_id = '4=4' where b.zip||'-'||b.street||'-'||b.name = '8266-Feldbach-Sport- und Mehrzweckhalle';</v>
      </c>
    </row>
    <row r="228" spans="1:3" x14ac:dyDescent="0.25">
      <c r="A228" s="26" t="s">
        <v>4237</v>
      </c>
      <c r="B228" s="27" t="s">
        <v>4236</v>
      </c>
      <c r="C228" s="26" t="str">
        <f t="shared" si="4"/>
        <v>update obj_building b set building_id = '4=5=1' where b.zip||'-'||b.street||'-'||b.name = '8266-Frauenfelderstrasse 8-Hub rot';</v>
      </c>
    </row>
    <row r="229" spans="1:3" x14ac:dyDescent="0.25">
      <c r="A229" s="26" t="s">
        <v>4235</v>
      </c>
      <c r="B229" s="27" t="s">
        <v>4234</v>
      </c>
      <c r="C229" s="26" t="str">
        <f t="shared" si="4"/>
        <v>update obj_building b set building_id = '4=6' where b.zip||'-'||b.street||'-'||b.name = '8266-Zelgistrasse 8-Doppelkindergarten';</v>
      </c>
    </row>
    <row r="230" spans="1:3" x14ac:dyDescent="0.25">
      <c r="A230" s="26" t="s">
        <v>4233</v>
      </c>
      <c r="B230" s="27" t="s">
        <v>4232</v>
      </c>
      <c r="C230" s="26" t="str">
        <f t="shared" si="4"/>
        <v>update obj_building b set building_id = '4=7' where b.zip||'-'||b.street||'-'||b.name = '8266-Hubstrasse-Hub blau';</v>
      </c>
    </row>
    <row r="231" spans="1:3" x14ac:dyDescent="0.25">
      <c r="A231" s="26" t="s">
        <v>4231</v>
      </c>
      <c r="B231" s="27" t="s">
        <v>4230</v>
      </c>
      <c r="C231" s="26" t="str">
        <f t="shared" si="4"/>
        <v>update obj_building b set building_id = '5=1' where b.zip||'-'||b.street||'-'||b.name = '5620-Badstrasse 3-Schulhaus Isenlauf';</v>
      </c>
    </row>
    <row r="232" spans="1:3" x14ac:dyDescent="0.25">
      <c r="A232" s="26" t="s">
        <v>4229</v>
      </c>
      <c r="B232" s="27" t="s">
        <v>4228</v>
      </c>
      <c r="C232" s="26" t="str">
        <f t="shared" si="4"/>
        <v>update obj_building b set building_id = '5=10' where b.zip||'-'||b.street||'-'||b.name = '5620-Klosterweg 6-Kindergarten Unterstadt';</v>
      </c>
    </row>
    <row r="233" spans="1:3" x14ac:dyDescent="0.25">
      <c r="A233" s="26" t="s">
        <v>4227</v>
      </c>
      <c r="B233" s="27" t="s">
        <v>4226</v>
      </c>
      <c r="C233" s="26" t="str">
        <f t="shared" si="4"/>
        <v>update obj_building b set building_id = '5=2' where b.zip||'-'||b.street||'-'||b.name = '5620-Kapuzinerhügel 5-Kindergarten Kapuzinerhügel';</v>
      </c>
    </row>
    <row r="234" spans="1:3" x14ac:dyDescent="0.25">
      <c r="A234" s="26" t="s">
        <v>4225</v>
      </c>
      <c r="B234" s="27" t="s">
        <v>4224</v>
      </c>
      <c r="C234" s="26" t="str">
        <f t="shared" si="4"/>
        <v>update obj_building b set building_id = '5=3' where b.zip||'-'||b.street||'-'||b.name = '5620-Wohlerstrasse-Reussbrücke-Saal, Zwischenbau';</v>
      </c>
    </row>
    <row r="235" spans="1:3" x14ac:dyDescent="0.25">
      <c r="A235" s="26" t="s">
        <v>4223</v>
      </c>
      <c r="B235" s="27" t="s">
        <v>4222</v>
      </c>
      <c r="C235" s="26" t="str">
        <f t="shared" si="4"/>
        <v>update obj_building b set building_id = '5=4' where b.zip||'-'||b.street||'-'||b.name = '5620-Kreuzmattstrasse 8-Feuerwehrlokal, SR und Wg.';</v>
      </c>
    </row>
    <row r="236" spans="1:3" x14ac:dyDescent="0.25">
      <c r="A236" s="26" t="s">
        <v>4221</v>
      </c>
      <c r="B236" s="27" t="s">
        <v>4220</v>
      </c>
      <c r="C236" s="26" t="str">
        <f t="shared" si="4"/>
        <v>update obj_building b set building_id = '5=5' where b.zip||'-'||b.street||'-'||b.name = '5620-Wohlerstrasse-Casino';</v>
      </c>
    </row>
    <row r="237" spans="1:3" x14ac:dyDescent="0.25">
      <c r="A237" s="26" t="s">
        <v>4219</v>
      </c>
      <c r="B237" s="27" t="s">
        <v>4218</v>
      </c>
      <c r="C237" s="26" t="str">
        <f t="shared" si="4"/>
        <v>update obj_building b set building_id = '5=6' where b.zip||'-'||b.street||'-'||b.name = '5620-Obertorplatz-Stadtschulhaus';</v>
      </c>
    </row>
    <row r="238" spans="1:3" x14ac:dyDescent="0.25">
      <c r="A238" s="26" t="s">
        <v>4217</v>
      </c>
      <c r="B238" s="27" t="s">
        <v>4216</v>
      </c>
      <c r="C238" s="26" t="str">
        <f t="shared" si="4"/>
        <v>update obj_building b set building_id = '5=7' where b.zip||'-'||b.street||'-'||b.name = '5620-Promenade-Promendenschulhaus';</v>
      </c>
    </row>
    <row r="239" spans="1:3" x14ac:dyDescent="0.25">
      <c r="A239" s="26" t="s">
        <v>4215</v>
      </c>
      <c r="B239" s="27" t="s">
        <v>4214</v>
      </c>
      <c r="C239" s="26" t="str">
        <f t="shared" si="4"/>
        <v>update obj_building b set building_id = '5=8' where b.zip||'-'||b.street||'-'||b.name = '5620-Gartenstrasse-Gartenschulhaus';</v>
      </c>
    </row>
    <row r="240" spans="1:3" x14ac:dyDescent="0.25">
      <c r="A240" s="26" t="s">
        <v>4213</v>
      </c>
      <c r="B240" s="27" t="s">
        <v>4212</v>
      </c>
      <c r="C240" s="26" t="str">
        <f t="shared" si="4"/>
        <v>update obj_building b set building_id = '5=9' where b.zip||'-'||b.street||'-'||b.name = '5620-Sportstrasse-Turnhalle Bärenmatt';</v>
      </c>
    </row>
    <row r="241" spans="1:3" x14ac:dyDescent="0.25">
      <c r="A241" s="26" t="s">
        <v>4211</v>
      </c>
      <c r="B241" s="27" t="s">
        <v>4210</v>
      </c>
      <c r="C241" s="26" t="str">
        <f t="shared" si="4"/>
        <v>update obj_building b set building_id = '6=1' where b.zip||'-'||b.street||'-'||b.name = '8556-Bernrainstr. 26-Kindergarten Haldengüetli';</v>
      </c>
    </row>
    <row r="242" spans="1:3" x14ac:dyDescent="0.25">
      <c r="A242" s="26" t="s">
        <v>4209</v>
      </c>
      <c r="B242" s="27" t="s">
        <v>4208</v>
      </c>
      <c r="C242" s="26" t="str">
        <f t="shared" si="4"/>
        <v>update obj_building b set building_id = '7=1' where b.zip||'-'||b.street||'-'||b.name = '8355-Käsernstrasse 1-Kindergarten Käsernstrasse';</v>
      </c>
    </row>
    <row r="243" spans="1:3" x14ac:dyDescent="0.25">
      <c r="A243" s="26" t="s">
        <v>4207</v>
      </c>
      <c r="B243" s="27" t="s">
        <v>4206</v>
      </c>
      <c r="C243" s="26" t="str">
        <f t="shared" si="4"/>
        <v>update obj_building b set building_id = '7=2' where b.zip||'-'||b.street||'-'||b.name = '8355-Schulstrasse 9-Altes Schulhaus Kindergarten';</v>
      </c>
    </row>
    <row r="244" spans="1:3" x14ac:dyDescent="0.25">
      <c r="A244" s="26" t="s">
        <v>4205</v>
      </c>
      <c r="B244" s="27" t="s">
        <v>4204</v>
      </c>
      <c r="C244" s="26" t="str">
        <f t="shared" si="4"/>
        <v>update obj_building b set building_id = '8=1' where b.zip||'-'||b.street||'-'||b.name = '3032-Bergfeldstrasse 8-Wohn- und Geschäftshaus';</v>
      </c>
    </row>
    <row r="245" spans="1:3" x14ac:dyDescent="0.25">
      <c r="A245" s="26" t="s">
        <v>4203</v>
      </c>
      <c r="B245" s="27" t="s">
        <v>4202</v>
      </c>
      <c r="C245" s="26" t="str">
        <f t="shared" ref="C245:C276" si="5">"update obj_building b set building_id = '"&amp;B245&amp;"' where b.zip||'-'||b.street||'-'||b.name = '"&amp;A245&amp;"';"</f>
        <v>update obj_building b set building_id = '8=10' where b.zip||'-'||b.street||'-'||b.name = '3034-Kappelenring 36/36a-Primarschule/Doppelturnhalle/KZ/WR';</v>
      </c>
    </row>
    <row r="246" spans="1:3" x14ac:dyDescent="0.25">
      <c r="A246" s="26" t="s">
        <v>4201</v>
      </c>
      <c r="B246" s="27" t="s">
        <v>4200</v>
      </c>
      <c r="C246" s="26" t="str">
        <f t="shared" si="5"/>
        <v>update obj_building b set building_id = '8=11' where b.zip||'-'||b.street||'-'||b.name = '3033-Schulgasse 14-Altes Schulhaus/Doppelkindergarten/Klassenzimmer/2 Whg.';</v>
      </c>
    </row>
    <row r="247" spans="1:3" x14ac:dyDescent="0.25">
      <c r="A247" s="26" t="s">
        <v>4199</v>
      </c>
      <c r="B247" s="27" t="s">
        <v>4198</v>
      </c>
      <c r="C247" s="26" t="str">
        <f t="shared" si="5"/>
        <v>update obj_building b set building_id = '8=12' where b.zip||'-'||b.street||'-'||b.name = '3033-Schulgasse 14a-Garage (Nebengebäude)';</v>
      </c>
    </row>
    <row r="248" spans="1:3" x14ac:dyDescent="0.25">
      <c r="A248" s="26" t="s">
        <v>4197</v>
      </c>
      <c r="B248" s="27" t="s">
        <v>4196</v>
      </c>
      <c r="C248" s="26" t="str">
        <f t="shared" si="5"/>
        <v>update obj_building b set building_id = '8=13' where b.zip||'-'||b.street||'-'||b.name = '3033-Schulgasse 16-Schulhaus, Pausenhalle, ZS-Anlage';</v>
      </c>
    </row>
    <row r="249" spans="1:3" x14ac:dyDescent="0.25">
      <c r="A249" s="26" t="s">
        <v>4195</v>
      </c>
      <c r="B249" s="27" t="s">
        <v>4194</v>
      </c>
      <c r="C249" s="26" t="str">
        <f t="shared" si="5"/>
        <v>update obj_building b set building_id = '8=14' where b.zip||'-'||b.street||'-'||b.name = '3033-Schulgasse 18-Doppelturnhalle';</v>
      </c>
    </row>
    <row r="250" spans="1:3" x14ac:dyDescent="0.25">
      <c r="A250" s="26" t="s">
        <v>4193</v>
      </c>
      <c r="B250" s="27" t="s">
        <v>4192</v>
      </c>
      <c r="C250" s="26" t="str">
        <f t="shared" si="5"/>
        <v>update obj_building b set building_id = '8=15' where b.zip||'-'||b.street||'-'||b.name = '3033-Hauptstrasse 22-Aufbahrungsgebäude, Abdankungshalle';</v>
      </c>
    </row>
    <row r="251" spans="1:3" x14ac:dyDescent="0.25">
      <c r="A251" s="26" t="s">
        <v>4191</v>
      </c>
      <c r="B251" s="27" t="s">
        <v>4190</v>
      </c>
      <c r="C251" s="26" t="str">
        <f t="shared" si="5"/>
        <v>update obj_building b set building_id = '8=16' where b.zip||'-'||b.street||'-'||b.name = '3033-Hauptstrasse 26-Verwaltungsgebäude (Gemeindehaus)';</v>
      </c>
    </row>
    <row r="252" spans="1:3" x14ac:dyDescent="0.25">
      <c r="A252" s="26" t="s">
        <v>4189</v>
      </c>
      <c r="B252" s="27" t="s">
        <v>4188</v>
      </c>
      <c r="C252" s="26" t="str">
        <f t="shared" si="5"/>
        <v>update obj_building b set building_id = '8=17' where b.zip||'-'||b.street||'-'||b.name = '3034-Schützenweg 50-Schützenhaus';</v>
      </c>
    </row>
    <row r="253" spans="1:3" x14ac:dyDescent="0.25">
      <c r="A253" s="26" t="s">
        <v>4187</v>
      </c>
      <c r="B253" s="27" t="s">
        <v>4186</v>
      </c>
      <c r="C253" s="26" t="str">
        <f t="shared" si="5"/>
        <v>update obj_building b set building_id = '8=18' where b.zip||'-'||b.street||'-'||b.name = '3034-Murzelenstrasse 80-Wohnhaus (3 Whg.)';</v>
      </c>
    </row>
    <row r="254" spans="1:3" x14ac:dyDescent="0.25">
      <c r="A254" s="26" t="s">
        <v>4185</v>
      </c>
      <c r="B254" s="27" t="s">
        <v>4184</v>
      </c>
      <c r="C254" s="26" t="str">
        <f t="shared" si="5"/>
        <v>update obj_building b set building_id = '8=19' where b.zip||'-'||b.street||'-'||b.name = '3034-Murzelenstrasse 82A-Garagen/Aussengeräteraum Schule';</v>
      </c>
    </row>
    <row r="255" spans="1:3" x14ac:dyDescent="0.25">
      <c r="A255" s="26" t="s">
        <v>4183</v>
      </c>
      <c r="B255" s="27" t="s">
        <v>4182</v>
      </c>
      <c r="C255" s="26" t="str">
        <f t="shared" si="5"/>
        <v>update obj_building b set building_id = '8=2' where b.zip||'-'||b.street||'-'||b.name = '3032-Dorfstrasse 45-Feuerwehrmagazin/3 Wohnungen';</v>
      </c>
    </row>
    <row r="256" spans="1:3" x14ac:dyDescent="0.25">
      <c r="A256" s="26" t="s">
        <v>4181</v>
      </c>
      <c r="B256" s="27" t="s">
        <v>4180</v>
      </c>
      <c r="C256" s="26" t="str">
        <f t="shared" si="5"/>
        <v>update obj_building b set building_id = '8=20' where b.zip||'-'||b.street||'-'||b.name = '3034-Murzelenstrasse 82-Schulhaus/Kindergarten/Hauswartwohnung';</v>
      </c>
    </row>
    <row r="257" spans="1:3" x14ac:dyDescent="0.25">
      <c r="A257" s="26" t="s">
        <v>4179</v>
      </c>
      <c r="B257" s="27" t="s">
        <v>4178</v>
      </c>
      <c r="C257" s="26" t="str">
        <f t="shared" si="5"/>
        <v>update obj_building b set building_id = '8=21' where b.zip||'-'||b.street||'-'||b.name = '3034-Murzelenstrasse 84-Turnhalle';</v>
      </c>
    </row>
    <row r="258" spans="1:3" x14ac:dyDescent="0.25">
      <c r="A258" s="26" t="s">
        <v>4177</v>
      </c>
      <c r="B258" s="27" t="s">
        <v>4176</v>
      </c>
      <c r="C258" s="26" t="str">
        <f t="shared" si="5"/>
        <v>update obj_building b set building_id = '8=22' where b.zip||'-'||b.street||'-'||b.name = '3043-Schülerweg 11-ZS-Lager/BSA/Einstellhalle/Rasenspielfeld';</v>
      </c>
    </row>
    <row r="259" spans="1:3" x14ac:dyDescent="0.25">
      <c r="A259" s="26" t="s">
        <v>4175</v>
      </c>
      <c r="B259" s="27" t="s">
        <v>4174</v>
      </c>
      <c r="C259" s="26" t="str">
        <f t="shared" si="5"/>
        <v>update obj_building b set building_id = '8=23' where b.zip||'-'||b.street||'-'||b.name = '3043-Schülerweg 12-Doppelkindergarten/Musikschule/Jugendtr.';</v>
      </c>
    </row>
    <row r="260" spans="1:3" x14ac:dyDescent="0.25">
      <c r="A260" s="26" t="s">
        <v>4173</v>
      </c>
      <c r="B260" s="27" t="s">
        <v>4172</v>
      </c>
      <c r="C260" s="26" t="str">
        <f t="shared" si="5"/>
        <v>update obj_building b set building_id = '8=24' where b.zip||'-'||b.street||'-'||b.name = '3043-Schülerweg 13-Velounterstand';</v>
      </c>
    </row>
    <row r="261" spans="1:3" x14ac:dyDescent="0.25">
      <c r="A261" s="26" t="s">
        <v>4171</v>
      </c>
      <c r="B261" s="27" t="s">
        <v>4170</v>
      </c>
      <c r="C261" s="26" t="str">
        <f t="shared" si="5"/>
        <v>update obj_building b set building_id = '8=25' where b.zip||'-'||b.street||'-'||b.name = '3043-Schülerweg 14-Turnhalle';</v>
      </c>
    </row>
    <row r="262" spans="1:3" x14ac:dyDescent="0.25">
      <c r="A262" s="26" t="s">
        <v>4169</v>
      </c>
      <c r="B262" s="27" t="s">
        <v>4168</v>
      </c>
      <c r="C262" s="26" t="str">
        <f t="shared" si="5"/>
        <v>update obj_building b set building_id = '8=26' where b.zip||'-'||b.street||'-'||b.name = '3043-Schülerweg 15-Primarschulhaus, ged. Pausenhalle, Anbau Nord';</v>
      </c>
    </row>
    <row r="263" spans="1:3" x14ac:dyDescent="0.25">
      <c r="A263" s="26" t="s">
        <v>4167</v>
      </c>
      <c r="B263" s="27" t="s">
        <v>4166</v>
      </c>
      <c r="C263" s="26" t="str">
        <f t="shared" si="5"/>
        <v>update obj_building b set building_id = '8=27' where b.zip||'-'||b.street||'-'||b.name = '3043-Schülerweg 16-Turnhalle/Hauswartwhg./Heizzentrale';</v>
      </c>
    </row>
    <row r="264" spans="1:3" x14ac:dyDescent="0.25">
      <c r="A264" s="26" t="s">
        <v>4165</v>
      </c>
      <c r="B264" s="27" t="s">
        <v>4164</v>
      </c>
      <c r="C264" s="26" t="str">
        <f t="shared" si="5"/>
        <v>update obj_building b set building_id = '8=28' where b.zip||'-'||b.street||'-'||b.name = '3043-Schülerweg 18-Oberstufenschulhaus/Aula';</v>
      </c>
    </row>
    <row r="265" spans="1:3" x14ac:dyDescent="0.25">
      <c r="A265" s="26" t="s">
        <v>4163</v>
      </c>
      <c r="B265" s="27" t="s">
        <v>4162</v>
      </c>
      <c r="C265" s="26" t="str">
        <f t="shared" si="5"/>
        <v>update obj_building b set building_id = '8=29' where b.zip||'-'||b.street||'-'||b.name = '3043-Alpenblickweg 10-Velounterstand';</v>
      </c>
    </row>
    <row r="266" spans="1:3" x14ac:dyDescent="0.25">
      <c r="A266" s="26" t="s">
        <v>4161</v>
      </c>
      <c r="B266" s="27" t="s">
        <v>4160</v>
      </c>
      <c r="C266" s="26" t="str">
        <f t="shared" si="5"/>
        <v>update obj_building b set building_id = '8=3' where b.zip||'-'||b.street||'-'||b.name = '3034-Schulstrasse 4-Schulhaus, Pausenhalle , Kita';</v>
      </c>
    </row>
    <row r="267" spans="1:3" x14ac:dyDescent="0.25">
      <c r="A267" s="26" t="s">
        <v>4159</v>
      </c>
      <c r="B267" s="27" t="s">
        <v>4158</v>
      </c>
      <c r="C267" s="26" t="str">
        <f t="shared" si="5"/>
        <v>update obj_building b set building_id = '8=30' where b.zip||'-'||b.street||'-'||b.name = '3049-Staatsstrasse 76-Schulhaus/Hausw.whg./Turnhalle/ZS';</v>
      </c>
    </row>
    <row r="268" spans="1:3" x14ac:dyDescent="0.25">
      <c r="A268" s="26" t="s">
        <v>4157</v>
      </c>
      <c r="B268" s="27" t="s">
        <v>4156</v>
      </c>
      <c r="C268" s="26" t="str">
        <f t="shared" si="5"/>
        <v>update obj_building b set building_id = '8=31' where b.zip||'-'||b.street||'-'||b.name = '3043-Lindenstrasse 4-Kulturelles Zentrum Reberhaus';</v>
      </c>
    </row>
    <row r="269" spans="1:3" x14ac:dyDescent="0.25">
      <c r="A269" s="26" t="s">
        <v>4155</v>
      </c>
      <c r="B269" s="27" t="s">
        <v>4154</v>
      </c>
      <c r="C269" s="26" t="str">
        <f t="shared" si="5"/>
        <v>update obj_building b set building_id = '8=32' where b.zip||'-'||b.street||'-'||b.name = '3043-Ahornweg 7-Feuerwehrmagazin/Schulungsraum';</v>
      </c>
    </row>
    <row r="270" spans="1:3" x14ac:dyDescent="0.25">
      <c r="A270" s="26" t="s">
        <v>4153</v>
      </c>
      <c r="B270" s="27" t="s">
        <v>4152</v>
      </c>
      <c r="C270" s="26" t="str">
        <f t="shared" si="5"/>
        <v>update obj_building b set building_id = '8=33' where b.zip||'-'||b.street||'-'||b.name = '3032-Kappelenring 34a-Kindergarten Kappelenring';</v>
      </c>
    </row>
    <row r="271" spans="1:3" x14ac:dyDescent="0.25">
      <c r="A271" s="26" t="s">
        <v>4151</v>
      </c>
      <c r="B271" s="27" t="s">
        <v>4150</v>
      </c>
      <c r="C271" s="26" t="str">
        <f t="shared" si="5"/>
        <v>update obj_building b set building_id = '8=4' where b.zip||'-'||b.street||'-'||b.name = '3034-Schulstrasse 5-Turnhalle und Lehrschwimmbecken';</v>
      </c>
    </row>
    <row r="272" spans="1:3" x14ac:dyDescent="0.25">
      <c r="A272" s="26" t="s">
        <v>4149</v>
      </c>
      <c r="B272" s="27" t="s">
        <v>4148</v>
      </c>
      <c r="C272" s="26" t="str">
        <f t="shared" si="5"/>
        <v>update obj_building b set building_id = '8=5' where b.zip||'-'||b.street||'-'||b.name = '3034-Schulstrasse 6-Wohnhaus (2 Wohnungen)';</v>
      </c>
    </row>
    <row r="273" spans="1:3" x14ac:dyDescent="0.25">
      <c r="A273" s="26" t="s">
        <v>4147</v>
      </c>
      <c r="B273" s="27" t="s">
        <v>4146</v>
      </c>
      <c r="C273" s="26" t="str">
        <f t="shared" si="5"/>
        <v>update obj_building b set building_id = '8=6' where b.zip||'-'||b.street||'-'||b.name = '3034-Schulstrasse 7-Schulhaus';</v>
      </c>
    </row>
    <row r="274" spans="1:3" x14ac:dyDescent="0.25">
      <c r="A274" s="26" t="s">
        <v>4145</v>
      </c>
      <c r="B274" s="27" t="s">
        <v>4144</v>
      </c>
      <c r="C274" s="26" t="str">
        <f t="shared" si="5"/>
        <v>update obj_building b set building_id = '8=7' where b.zip||'-'||b.street||'-'||b.name = '3034-Schulstrasse 9-Schulhaus/ZS-Anlage/Verbindungsgang';</v>
      </c>
    </row>
    <row r="275" spans="1:3" x14ac:dyDescent="0.25">
      <c r="A275" s="26" t="s">
        <v>4143</v>
      </c>
      <c r="B275" s="27" t="s">
        <v>4142</v>
      </c>
      <c r="C275" s="26" t="str">
        <f t="shared" si="5"/>
        <v>update obj_building b set building_id = '8=8' where b.zip||'-'||b.street||'-'||b.name = '3032-Araweg 9-Jugendtreff (Pavillon)';</v>
      </c>
    </row>
    <row r="276" spans="1:3" x14ac:dyDescent="0.25">
      <c r="A276" s="26" t="s">
        <v>4141</v>
      </c>
      <c r="B276" s="27" t="s">
        <v>4140</v>
      </c>
      <c r="C276" s="26" t="str">
        <f t="shared" si="5"/>
        <v>update obj_building b set building_id = '8=9' where b.zip||'-'||b.street||'-'||b.name = '3032-Hofenstrasse 54-Wohnhaus (private Kindertagesstätte)';</v>
      </c>
    </row>
    <row r="277" spans="1:3" x14ac:dyDescent="0.25">
      <c r="A277" s="26" t="s">
        <v>4139</v>
      </c>
      <c r="B277" s="27" t="s">
        <v>4138</v>
      </c>
      <c r="C277" s="26" t="str">
        <f t="shared" ref="C277:C308" si="6">"update obj_building b set building_id = '"&amp;B277&amp;"' where b.zip||'-'||b.street||'-'||b.name = '"&amp;A277&amp;"';"</f>
        <v>update obj_building b set building_id = '9=01' where b.zip||'-'||b.street||'-'||b.name = '9470-Schulhausstrasse 4-Wohnhaus (Musikschule)';</v>
      </c>
    </row>
    <row r="278" spans="1:3" x14ac:dyDescent="0.25">
      <c r="A278" s="26" t="s">
        <v>4137</v>
      </c>
      <c r="B278" s="27" t="s">
        <v>4136</v>
      </c>
      <c r="C278" s="26" t="str">
        <f t="shared" si="6"/>
        <v>update obj_building b set building_id = '9=02' where b.zip||'-'||b.street||'-'||b.name = '9470-Schulhausstrasse 10-Schulhaus Grof';</v>
      </c>
    </row>
    <row r="279" spans="1:3" x14ac:dyDescent="0.25">
      <c r="A279" s="26" t="s">
        <v>4135</v>
      </c>
      <c r="B279" s="27" t="s">
        <v>4134</v>
      </c>
      <c r="C279" s="26" t="str">
        <f t="shared" si="6"/>
        <v>update obj_building b set building_id = '9=03' where b.zip||'-'||b.street||'-'||b.name = '9470-Schulhausstrasse 30-OZ Grof Neubau';</v>
      </c>
    </row>
    <row r="280" spans="1:3" x14ac:dyDescent="0.25">
      <c r="A280" s="26" t="s">
        <v>4133</v>
      </c>
      <c r="B280" s="27" t="s">
        <v>4132</v>
      </c>
      <c r="C280" s="26" t="str">
        <f t="shared" si="6"/>
        <v>update obj_building b set building_id = '9=04' where b.zip||'-'||b.street||'-'||b.name = '9470-Schulhausstrasse 27-OZ Grof Altbau';</v>
      </c>
    </row>
    <row r="281" spans="1:3" x14ac:dyDescent="0.25">
      <c r="A281" s="26" t="s">
        <v>4131</v>
      </c>
      <c r="B281" s="27" t="s">
        <v>4130</v>
      </c>
      <c r="C281" s="26" t="str">
        <f t="shared" si="6"/>
        <v>update obj_building b set building_id = '9=05' where b.zip||'-'||b.street||'-'||b.name = '9470-Turnhallenstrasse-Turnhalle Buchserbach';</v>
      </c>
    </row>
    <row r="282" spans="1:3" x14ac:dyDescent="0.25">
      <c r="A282" s="26" t="s">
        <v>4129</v>
      </c>
      <c r="B282" s="27" t="s">
        <v>4128</v>
      </c>
      <c r="C282" s="26" t="str">
        <f t="shared" si="6"/>
        <v>update obj_building b set building_id = '9=06' where b.zip||'-'||b.street||'-'||b.name = '9470-Turnhallenstrasse 2-Klassenzimmer Buchserbach';</v>
      </c>
    </row>
    <row r="283" spans="1:3" x14ac:dyDescent="0.25">
      <c r="A283" s="26" t="s">
        <v>4127</v>
      </c>
      <c r="B283" s="27" t="s">
        <v>4126</v>
      </c>
      <c r="C283" s="26" t="str">
        <f t="shared" si="6"/>
        <v>update obj_building b set building_id = '9=07' where b.zip||'-'||b.street||'-'||b.name = '9470-Turnhallenstrasse 4-Altes Gewerbeschulhaus Buchserbach';</v>
      </c>
    </row>
    <row r="284" spans="1:3" x14ac:dyDescent="0.25">
      <c r="A284" s="26" t="s">
        <v>4125</v>
      </c>
      <c r="B284" s="27" t="s">
        <v>4124</v>
      </c>
      <c r="C284" s="26" t="str">
        <f t="shared" si="6"/>
        <v>update obj_building b set building_id = '9=08' where b.zip||'-'||b.street||'-'||b.name = '9470-Kreuzgasse 14-Kindergarten Altendorf';</v>
      </c>
    </row>
    <row r="285" spans="1:3" x14ac:dyDescent="0.25">
      <c r="A285" s="26" t="s">
        <v>4123</v>
      </c>
      <c r="B285" s="27" t="s">
        <v>4122</v>
      </c>
      <c r="C285" s="26" t="str">
        <f t="shared" si="6"/>
        <v>update obj_building b set building_id = '9=09' where b.zip||'-'||b.street||'-'||b.name = '9470-Churerstrasse 117-Schulhaus (Neubau) Räfis';</v>
      </c>
    </row>
    <row r="286" spans="1:3" x14ac:dyDescent="0.25">
      <c r="A286" s="26" t="s">
        <v>4121</v>
      </c>
      <c r="B286" s="27" t="s">
        <v>4120</v>
      </c>
      <c r="C286" s="26" t="str">
        <f t="shared" si="6"/>
        <v>update obj_building b set building_id = '9=10' where b.zip||'-'||b.street||'-'||b.name = '9470-Churerstrasse 119-Schulhaus (Altbau) Räfis';</v>
      </c>
    </row>
    <row r="287" spans="1:3" x14ac:dyDescent="0.25">
      <c r="A287" s="26" t="s">
        <v>4119</v>
      </c>
      <c r="B287" s="27" t="s">
        <v>4118</v>
      </c>
      <c r="C287" s="26" t="str">
        <f t="shared" si="6"/>
        <v>update obj_building b set building_id = '9=11' where b.zip||'-'||b.street||'-'||b.name = '9470-Churerstrasse 119-Magazin';</v>
      </c>
    </row>
    <row r="288" spans="1:3" x14ac:dyDescent="0.25">
      <c r="A288" s="26" t="s">
        <v>4117</v>
      </c>
      <c r="B288" s="27" t="s">
        <v>4116</v>
      </c>
      <c r="C288" s="26" t="str">
        <f t="shared" si="6"/>
        <v>update obj_building b set building_id = '9=12' where b.zip||'-'||b.street||'-'||b.name = '9470-Churerstrasse 119-Turnhalle';</v>
      </c>
    </row>
    <row r="289" spans="1:3" x14ac:dyDescent="0.25">
      <c r="A289" s="26" t="s">
        <v>4115</v>
      </c>
      <c r="B289" s="27" t="s">
        <v>4114</v>
      </c>
      <c r="C289" s="26" t="str">
        <f t="shared" si="6"/>
        <v>update obj_building b set building_id = '9=13' where b.zip||'-'||b.street||'-'||b.name = '9470-Volksgartenstrasse 1-Kindergarten Kappeli mit Wohnung und Garage';</v>
      </c>
    </row>
    <row r="290" spans="1:3" x14ac:dyDescent="0.25">
      <c r="A290" s="26" t="s">
        <v>4113</v>
      </c>
      <c r="B290" s="27" t="s">
        <v>4112</v>
      </c>
      <c r="C290" s="26" t="str">
        <f t="shared" si="6"/>
        <v>update obj_building b set building_id = '9=14' where b.zip||'-'||b.street||'-'||b.name = '9470-Hanflandstr. 5-Schulhaus Hanfland';</v>
      </c>
    </row>
    <row r="291" spans="1:3" x14ac:dyDescent="0.25">
      <c r="A291" s="26" t="s">
        <v>4111</v>
      </c>
      <c r="B291" s="27" t="s">
        <v>4110</v>
      </c>
      <c r="C291" s="26" t="str">
        <f t="shared" si="6"/>
        <v>update obj_building b set building_id = '9=15' where b.zip||'-'||b.street||'-'||b.name = '9470-Hanflandstr. 5-Turnhalle';</v>
      </c>
    </row>
    <row r="292" spans="1:3" x14ac:dyDescent="0.25">
      <c r="A292" s="26" t="s">
        <v>4109</v>
      </c>
      <c r="B292" s="27" t="s">
        <v>4108</v>
      </c>
      <c r="C292" s="26" t="str">
        <f t="shared" si="6"/>
        <v>update obj_building b set building_id = '9=16' where b.zip||'-'||b.street||'-'||b.name = '9470-Hanflandstr. 3-Kindergarten / HW-Wohnung';</v>
      </c>
    </row>
    <row r="293" spans="1:3" x14ac:dyDescent="0.25">
      <c r="A293" s="26" t="s">
        <v>4107</v>
      </c>
      <c r="B293" s="27" t="s">
        <v>4106</v>
      </c>
      <c r="C293" s="26" t="str">
        <f t="shared" si="6"/>
        <v>update obj_building b set building_id = '9=17' where b.zip||'-'||b.street||'-'||b.name = '9470-Birkenaustrasse 12-Kindergarten-Pavillon Birkenau';</v>
      </c>
    </row>
    <row r="294" spans="1:3" x14ac:dyDescent="0.25">
      <c r="A294" s="26" t="s">
        <v>4105</v>
      </c>
      <c r="B294" s="27" t="s">
        <v>4104</v>
      </c>
      <c r="C294" s="26" t="str">
        <f t="shared" si="6"/>
        <v>update obj_building b set building_id = '9=18' where b.zip||'-'||b.street||'-'||b.name = '9470-Heldaustrasse 48-Aula OZ Flös';</v>
      </c>
    </row>
    <row r="295" spans="1:3" x14ac:dyDescent="0.25">
      <c r="A295" s="26" t="s">
        <v>4103</v>
      </c>
      <c r="B295" s="27" t="s">
        <v>4102</v>
      </c>
      <c r="C295" s="26" t="str">
        <f t="shared" si="6"/>
        <v>update obj_building b set building_id = '9=19' where b.zip||'-'||b.street||'-'||b.name = '9470-Heldaustrasse 50-Schulanlage / Hallenbad';</v>
      </c>
    </row>
    <row r="296" spans="1:3" x14ac:dyDescent="0.25">
      <c r="A296" s="26" t="s">
        <v>4101</v>
      </c>
      <c r="B296" s="27" t="s">
        <v>4100</v>
      </c>
      <c r="C296" s="26" t="str">
        <f t="shared" si="6"/>
        <v>update obj_building b set building_id = '9=20' where b.zip||'-'||b.street||'-'||b.name = '9470-Flösweg 3-Kindergarten-Pavillon';</v>
      </c>
    </row>
    <row r="297" spans="1:3" x14ac:dyDescent="0.25">
      <c r="A297" s="26" t="s">
        <v>4099</v>
      </c>
      <c r="B297" s="27" t="s">
        <v>4098</v>
      </c>
      <c r="C297" s="26" t="str">
        <f t="shared" si="6"/>
        <v>update obj_building b set building_id = '9=22' where b.zip||'-'||b.street||'-'||b.name = '9470-Volksgartenstrasse 12-Schulhaus Kappeli';</v>
      </c>
    </row>
    <row r="298" spans="1:3" x14ac:dyDescent="0.25">
      <c r="A298" s="26" t="s">
        <v>4097</v>
      </c>
      <c r="B298" s="27" t="s">
        <v>4096</v>
      </c>
      <c r="C298" s="26" t="str">
        <f t="shared" si="6"/>
        <v>update obj_building b set building_id = '9=23' where b.zip||'-'||b.street||'-'||b.name = '9470-Volksgartenstrasse 12-Pavillon Hilfsschule';</v>
      </c>
    </row>
    <row r="299" spans="1:3" x14ac:dyDescent="0.25">
      <c r="A299" s="26" t="s">
        <v>4095</v>
      </c>
      <c r="B299" s="27" t="s">
        <v>4094</v>
      </c>
      <c r="C299" s="26" t="str">
        <f t="shared" si="6"/>
        <v>update obj_building b set building_id = '9=24' where b.zip||'-'||b.street||'-'||b.name = '8444--altes Postlokal';</v>
      </c>
    </row>
  </sheetData>
  <autoFilter ref="A1:C300" xr:uid="{F22900E3-D559-4520-90BC-F19A4BCD2DB0}"/>
  <pageMargins left="0.7" right="0.7" top="0.75" bottom="0.75" header="0.3" footer="0.3"/>
  <pageSetup paperSize="9" orientation="portrait" horizontalDpi="4294967295" verticalDpi="4294967295"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F4C31-8217-4220-9F80-36FB9B86F06B}">
  <dimension ref="A1:E86"/>
  <sheetViews>
    <sheetView workbookViewId="0"/>
  </sheetViews>
  <sheetFormatPr defaultRowHeight="15" x14ac:dyDescent="0.25"/>
  <cols>
    <col min="2" max="2" width="26.140625" customWidth="1"/>
    <col min="3" max="3" width="11.140625" customWidth="1"/>
    <col min="4" max="4" width="11.140625" style="25" customWidth="1"/>
    <col min="5" max="5" width="114.7109375" bestFit="1" customWidth="1"/>
  </cols>
  <sheetData>
    <row r="1" spans="1:5" x14ac:dyDescent="0.25">
      <c r="A1" t="s">
        <v>4074</v>
      </c>
      <c r="C1" t="s">
        <v>4075</v>
      </c>
      <c r="D1" t="s">
        <v>4076</v>
      </c>
    </row>
    <row r="2" spans="1:5" x14ac:dyDescent="0.25">
      <c r="A2" t="s">
        <v>4077</v>
      </c>
      <c r="B2" t="s">
        <v>4078</v>
      </c>
      <c r="E2" t="str">
        <f>"insert into code_building_price_index(id, name) values ('"&amp;A2&amp;"', '" &amp;B2&amp;"');"</f>
        <v>insert into code_building_price_index(id, name) values ('ch-ZRH', 'Baukostenindex Zürich');</v>
      </c>
    </row>
    <row r="3" spans="1:5" x14ac:dyDescent="0.25">
      <c r="E3" t="s">
        <v>4079</v>
      </c>
    </row>
    <row r="4" spans="1:5" x14ac:dyDescent="0.25">
      <c r="C4">
        <v>1939</v>
      </c>
      <c r="D4" s="25">
        <v>100</v>
      </c>
      <c r="E4" t="str">
        <f>"('"&amp;A$2&amp;"', " &amp;C4&amp;", " &amp;D4&amp;"),"</f>
        <v>('ch-ZRH', 1939, 100),</v>
      </c>
    </row>
    <row r="5" spans="1:5" x14ac:dyDescent="0.25">
      <c r="C5">
        <v>1940</v>
      </c>
      <c r="D5" s="25">
        <v>112.4</v>
      </c>
      <c r="E5" t="str">
        <f t="shared" ref="E5:E68" si="0">"('"&amp;A$2&amp;"', " &amp;C5&amp;", " &amp;D5&amp;"),"</f>
        <v>('ch-ZRH', 1940, 112.4),</v>
      </c>
    </row>
    <row r="6" spans="1:5" x14ac:dyDescent="0.25">
      <c r="C6">
        <v>1941</v>
      </c>
      <c r="D6" s="25">
        <v>121.1</v>
      </c>
      <c r="E6" t="str">
        <f t="shared" si="0"/>
        <v>('ch-ZRH', 1941, 121.1),</v>
      </c>
    </row>
    <row r="7" spans="1:5" x14ac:dyDescent="0.25">
      <c r="C7">
        <v>1942</v>
      </c>
      <c r="D7" s="25">
        <v>139.6</v>
      </c>
      <c r="E7" t="str">
        <f t="shared" si="0"/>
        <v>('ch-ZRH', 1942, 139.6),</v>
      </c>
    </row>
    <row r="8" spans="1:5" x14ac:dyDescent="0.25">
      <c r="C8">
        <v>1943</v>
      </c>
      <c r="D8" s="25">
        <v>147.1</v>
      </c>
      <c r="E8" t="str">
        <f t="shared" si="0"/>
        <v>('ch-ZRH', 1943, 147.1),</v>
      </c>
    </row>
    <row r="9" spans="1:5" x14ac:dyDescent="0.25">
      <c r="C9">
        <v>1944</v>
      </c>
      <c r="D9" s="25">
        <v>155.4</v>
      </c>
      <c r="E9" t="str">
        <f t="shared" si="0"/>
        <v>('ch-ZRH', 1944, 155.4),</v>
      </c>
    </row>
    <row r="10" spans="1:5" x14ac:dyDescent="0.25">
      <c r="C10">
        <v>1945</v>
      </c>
      <c r="D10" s="25">
        <v>160.5</v>
      </c>
      <c r="E10" t="str">
        <f t="shared" si="0"/>
        <v>('ch-ZRH', 1945, 160.5),</v>
      </c>
    </row>
    <row r="11" spans="1:5" x14ac:dyDescent="0.25">
      <c r="C11">
        <v>1946</v>
      </c>
      <c r="D11" s="25">
        <v>165.9</v>
      </c>
      <c r="E11" t="str">
        <f t="shared" si="0"/>
        <v>('ch-ZRH', 1946, 165.9),</v>
      </c>
    </row>
    <row r="12" spans="1:5" x14ac:dyDescent="0.25">
      <c r="C12">
        <v>1947</v>
      </c>
      <c r="D12" s="25">
        <v>183.7</v>
      </c>
      <c r="E12" t="str">
        <f t="shared" si="0"/>
        <v>('ch-ZRH', 1947, 183.7),</v>
      </c>
    </row>
    <row r="13" spans="1:5" x14ac:dyDescent="0.25">
      <c r="C13">
        <v>1948</v>
      </c>
      <c r="D13" s="25">
        <v>196.6</v>
      </c>
      <c r="E13" t="str">
        <f t="shared" si="0"/>
        <v>('ch-ZRH', 1948, 196.6),</v>
      </c>
    </row>
    <row r="14" spans="1:5" x14ac:dyDescent="0.25">
      <c r="C14">
        <v>1949</v>
      </c>
      <c r="D14" s="25">
        <v>194.9</v>
      </c>
      <c r="E14" t="str">
        <f t="shared" si="0"/>
        <v>('ch-ZRH', 1949, 194.9),</v>
      </c>
    </row>
    <row r="15" spans="1:5" x14ac:dyDescent="0.25">
      <c r="C15">
        <v>1950</v>
      </c>
      <c r="D15" s="25">
        <v>183.5</v>
      </c>
      <c r="E15" t="str">
        <f t="shared" si="0"/>
        <v>('ch-ZRH', 1950, 183.5),</v>
      </c>
    </row>
    <row r="16" spans="1:5" x14ac:dyDescent="0.25">
      <c r="C16">
        <v>1951</v>
      </c>
      <c r="D16" s="25">
        <v>185.8</v>
      </c>
      <c r="E16" t="str">
        <f t="shared" si="0"/>
        <v>('ch-ZRH', 1951, 185.8),</v>
      </c>
    </row>
    <row r="17" spans="3:5" x14ac:dyDescent="0.25">
      <c r="C17">
        <v>1952</v>
      </c>
      <c r="D17" s="25">
        <v>202.4</v>
      </c>
      <c r="E17" t="str">
        <f t="shared" si="0"/>
        <v>('ch-ZRH', 1952, 202.4),</v>
      </c>
    </row>
    <row r="18" spans="3:5" x14ac:dyDescent="0.25">
      <c r="C18">
        <v>1953</v>
      </c>
      <c r="D18" s="25">
        <v>201.5</v>
      </c>
      <c r="E18" t="str">
        <f t="shared" si="0"/>
        <v>('ch-ZRH', 1953, 201.5),</v>
      </c>
    </row>
    <row r="19" spans="3:5" x14ac:dyDescent="0.25">
      <c r="C19">
        <v>1954</v>
      </c>
      <c r="D19" s="25">
        <v>194.8</v>
      </c>
      <c r="E19" t="str">
        <f t="shared" si="0"/>
        <v>('ch-ZRH', 1954, 194.8),</v>
      </c>
    </row>
    <row r="20" spans="3:5" x14ac:dyDescent="0.25">
      <c r="C20">
        <v>1955</v>
      </c>
      <c r="D20" s="25">
        <v>196.3</v>
      </c>
      <c r="E20" t="str">
        <f t="shared" si="0"/>
        <v>('ch-ZRH', 1955, 196.3),</v>
      </c>
    </row>
    <row r="21" spans="3:5" x14ac:dyDescent="0.25">
      <c r="C21">
        <v>1956</v>
      </c>
      <c r="D21" s="25">
        <v>202.5</v>
      </c>
      <c r="E21" t="str">
        <f t="shared" si="0"/>
        <v>('ch-ZRH', 1956, 202.5),</v>
      </c>
    </row>
    <row r="22" spans="3:5" x14ac:dyDescent="0.25">
      <c r="C22">
        <v>1957</v>
      </c>
      <c r="D22" s="25">
        <v>211.1</v>
      </c>
      <c r="E22" t="str">
        <f t="shared" si="0"/>
        <v>('ch-ZRH', 1957, 211.1),</v>
      </c>
    </row>
    <row r="23" spans="3:5" x14ac:dyDescent="0.25">
      <c r="C23">
        <v>1958</v>
      </c>
      <c r="D23" s="25">
        <v>212.4</v>
      </c>
      <c r="E23" t="str">
        <f t="shared" si="0"/>
        <v>('ch-ZRH', 1958, 212.4),</v>
      </c>
    </row>
    <row r="24" spans="3:5" x14ac:dyDescent="0.25">
      <c r="C24">
        <v>1959</v>
      </c>
      <c r="D24" s="25">
        <v>215.1</v>
      </c>
      <c r="E24" t="str">
        <f t="shared" si="0"/>
        <v>('ch-ZRH', 1959, 215.1),</v>
      </c>
    </row>
    <row r="25" spans="3:5" x14ac:dyDescent="0.25">
      <c r="C25">
        <v>1960</v>
      </c>
      <c r="D25" s="25">
        <v>219.7</v>
      </c>
      <c r="E25" t="str">
        <f t="shared" si="0"/>
        <v>('ch-ZRH', 1960, 219.7),</v>
      </c>
    </row>
    <row r="26" spans="3:5" x14ac:dyDescent="0.25">
      <c r="C26">
        <v>1961</v>
      </c>
      <c r="D26" s="25">
        <v>237.1</v>
      </c>
      <c r="E26" t="str">
        <f t="shared" si="0"/>
        <v>('ch-ZRH', 1961, 237.1),</v>
      </c>
    </row>
    <row r="27" spans="3:5" x14ac:dyDescent="0.25">
      <c r="C27">
        <v>1962</v>
      </c>
      <c r="D27" s="25">
        <v>257.89999999999998</v>
      </c>
      <c r="E27" t="str">
        <f t="shared" si="0"/>
        <v>('ch-ZRH', 1962, 257.9),</v>
      </c>
    </row>
    <row r="28" spans="3:5" x14ac:dyDescent="0.25">
      <c r="C28">
        <v>1963</v>
      </c>
      <c r="D28" s="25">
        <v>277.5</v>
      </c>
      <c r="E28" t="str">
        <f t="shared" si="0"/>
        <v>('ch-ZRH', 1963, 277.5),</v>
      </c>
    </row>
    <row r="29" spans="3:5" x14ac:dyDescent="0.25">
      <c r="C29">
        <v>1964</v>
      </c>
      <c r="D29" s="25">
        <v>297.60000000000002</v>
      </c>
      <c r="E29" t="str">
        <f t="shared" si="0"/>
        <v>('ch-ZRH', 1964, 297.6),</v>
      </c>
    </row>
    <row r="30" spans="3:5" x14ac:dyDescent="0.25">
      <c r="C30">
        <v>1965</v>
      </c>
      <c r="D30" s="25">
        <v>310.60000000000002</v>
      </c>
      <c r="E30" t="str">
        <f t="shared" si="0"/>
        <v>('ch-ZRH', 1965, 310.6),</v>
      </c>
    </row>
    <row r="31" spans="3:5" x14ac:dyDescent="0.25">
      <c r="C31">
        <v>1966</v>
      </c>
      <c r="D31" s="25">
        <v>319.7</v>
      </c>
      <c r="E31" t="str">
        <f t="shared" si="0"/>
        <v>('ch-ZRH', 1966, 319.7),</v>
      </c>
    </row>
    <row r="32" spans="3:5" x14ac:dyDescent="0.25">
      <c r="C32">
        <v>1967</v>
      </c>
      <c r="D32" s="25">
        <v>322.60000000000002</v>
      </c>
      <c r="E32" t="str">
        <f t="shared" si="0"/>
        <v>('ch-ZRH', 1967, 322.6),</v>
      </c>
    </row>
    <row r="33" spans="3:5" x14ac:dyDescent="0.25">
      <c r="C33">
        <v>1968</v>
      </c>
      <c r="D33" s="25">
        <v>325.39999999999998</v>
      </c>
      <c r="E33" t="str">
        <f t="shared" si="0"/>
        <v>('ch-ZRH', 1968, 325.4),</v>
      </c>
    </row>
    <row r="34" spans="3:5" x14ac:dyDescent="0.25">
      <c r="C34">
        <v>1969</v>
      </c>
      <c r="D34" s="25">
        <v>331.4</v>
      </c>
      <c r="E34" t="str">
        <f t="shared" si="0"/>
        <v>('ch-ZRH', 1969, 331.4),</v>
      </c>
    </row>
    <row r="35" spans="3:5" x14ac:dyDescent="0.25">
      <c r="C35">
        <v>1970</v>
      </c>
      <c r="D35" s="25">
        <v>374.7</v>
      </c>
      <c r="E35" t="str">
        <f t="shared" si="0"/>
        <v>('ch-ZRH', 1970, 374.7),</v>
      </c>
    </row>
    <row r="36" spans="3:5" x14ac:dyDescent="0.25">
      <c r="C36">
        <v>1971</v>
      </c>
      <c r="D36" s="25">
        <v>421.2</v>
      </c>
      <c r="E36" t="str">
        <f t="shared" si="0"/>
        <v>('ch-ZRH', 1971, 421.2),</v>
      </c>
    </row>
    <row r="37" spans="3:5" x14ac:dyDescent="0.25">
      <c r="C37">
        <v>1972</v>
      </c>
      <c r="D37" s="25">
        <v>466</v>
      </c>
      <c r="E37" t="str">
        <f t="shared" si="0"/>
        <v>('ch-ZRH', 1972, 466),</v>
      </c>
    </row>
    <row r="38" spans="3:5" x14ac:dyDescent="0.25">
      <c r="C38">
        <v>1973</v>
      </c>
      <c r="D38" s="25">
        <v>512.70000000000005</v>
      </c>
      <c r="E38" t="str">
        <f t="shared" si="0"/>
        <v>('ch-ZRH', 1973, 512.7),</v>
      </c>
    </row>
    <row r="39" spans="3:5" x14ac:dyDescent="0.25">
      <c r="C39">
        <v>1974</v>
      </c>
      <c r="D39" s="25">
        <v>557.5</v>
      </c>
      <c r="E39" t="str">
        <f t="shared" si="0"/>
        <v>('ch-ZRH', 1974, 557.5),</v>
      </c>
    </row>
    <row r="40" spans="3:5" x14ac:dyDescent="0.25">
      <c r="C40">
        <v>1975</v>
      </c>
      <c r="D40" s="25">
        <v>535.5</v>
      </c>
      <c r="E40" t="str">
        <f t="shared" si="0"/>
        <v>('ch-ZRH', 1975, 535.5),</v>
      </c>
    </row>
    <row r="41" spans="3:5" x14ac:dyDescent="0.25">
      <c r="C41">
        <v>1976</v>
      </c>
      <c r="D41" s="25">
        <v>500.4</v>
      </c>
      <c r="E41" t="str">
        <f t="shared" si="0"/>
        <v>('ch-ZRH', 1976, 500.4),</v>
      </c>
    </row>
    <row r="42" spans="3:5" x14ac:dyDescent="0.25">
      <c r="C42">
        <v>1977</v>
      </c>
      <c r="D42" s="25">
        <v>515.1</v>
      </c>
      <c r="E42" t="str">
        <f t="shared" si="0"/>
        <v>('ch-ZRH', 1977, 515.1),</v>
      </c>
    </row>
    <row r="43" spans="3:5" x14ac:dyDescent="0.25">
      <c r="C43">
        <v>1978</v>
      </c>
      <c r="D43" s="25">
        <v>531.29999999999995</v>
      </c>
      <c r="E43" t="str">
        <f t="shared" si="0"/>
        <v>('ch-ZRH', 1978, 531.3),</v>
      </c>
    </row>
    <row r="44" spans="3:5" x14ac:dyDescent="0.25">
      <c r="C44">
        <v>1979</v>
      </c>
      <c r="D44" s="25">
        <v>549.20000000000005</v>
      </c>
      <c r="E44" t="str">
        <f t="shared" si="0"/>
        <v>('ch-ZRH', 1979, 549.2),</v>
      </c>
    </row>
    <row r="45" spans="3:5" x14ac:dyDescent="0.25">
      <c r="C45">
        <v>1980</v>
      </c>
      <c r="D45" s="25">
        <v>600</v>
      </c>
      <c r="E45" t="str">
        <f t="shared" si="0"/>
        <v>('ch-ZRH', 1980, 600),</v>
      </c>
    </row>
    <row r="46" spans="3:5" x14ac:dyDescent="0.25">
      <c r="C46">
        <v>1981</v>
      </c>
      <c r="D46" s="25">
        <v>654.1</v>
      </c>
      <c r="E46" t="str">
        <f t="shared" si="0"/>
        <v>('ch-ZRH', 1981, 654.1),</v>
      </c>
    </row>
    <row r="47" spans="3:5" x14ac:dyDescent="0.25">
      <c r="C47">
        <v>1982</v>
      </c>
      <c r="D47" s="25">
        <v>698.4</v>
      </c>
      <c r="E47" t="str">
        <f t="shared" si="0"/>
        <v>('ch-ZRH', 1982, 698.4),</v>
      </c>
    </row>
    <row r="48" spans="3:5" x14ac:dyDescent="0.25">
      <c r="C48">
        <v>1983</v>
      </c>
      <c r="D48" s="25">
        <v>670.2</v>
      </c>
      <c r="E48" t="str">
        <f t="shared" si="0"/>
        <v>('ch-ZRH', 1983, 670.2),</v>
      </c>
    </row>
    <row r="49" spans="3:5" x14ac:dyDescent="0.25">
      <c r="C49">
        <v>1984</v>
      </c>
      <c r="D49" s="25">
        <v>670.3</v>
      </c>
      <c r="E49" t="str">
        <f t="shared" si="0"/>
        <v>('ch-ZRH', 1984, 670.3),</v>
      </c>
    </row>
    <row r="50" spans="3:5" x14ac:dyDescent="0.25">
      <c r="C50">
        <v>1985</v>
      </c>
      <c r="D50" s="25">
        <v>684.8</v>
      </c>
      <c r="E50" t="str">
        <f t="shared" si="0"/>
        <v>('ch-ZRH', 1985, 684.8),</v>
      </c>
    </row>
    <row r="51" spans="3:5" x14ac:dyDescent="0.25">
      <c r="C51">
        <v>1986</v>
      </c>
      <c r="D51" s="25">
        <v>705.2</v>
      </c>
      <c r="E51" t="str">
        <f t="shared" si="0"/>
        <v>('ch-ZRH', 1986, 705.2),</v>
      </c>
    </row>
    <row r="52" spans="3:5" x14ac:dyDescent="0.25">
      <c r="C52">
        <v>1987</v>
      </c>
      <c r="D52" s="25">
        <v>718.9</v>
      </c>
      <c r="E52" t="str">
        <f t="shared" si="0"/>
        <v>('ch-ZRH', 1987, 718.9),</v>
      </c>
    </row>
    <row r="53" spans="3:5" x14ac:dyDescent="0.25">
      <c r="C53">
        <v>1988</v>
      </c>
      <c r="D53" s="25">
        <v>750.3</v>
      </c>
      <c r="E53" t="str">
        <f t="shared" si="0"/>
        <v>('ch-ZRH', 1988, 750.3),</v>
      </c>
    </row>
    <row r="54" spans="3:5" x14ac:dyDescent="0.25">
      <c r="C54">
        <v>1989</v>
      </c>
      <c r="D54" s="25">
        <v>790.1</v>
      </c>
      <c r="E54" t="str">
        <f t="shared" si="0"/>
        <v>('ch-ZRH', 1989, 790.1),</v>
      </c>
    </row>
    <row r="55" spans="3:5" x14ac:dyDescent="0.25">
      <c r="C55">
        <v>1990</v>
      </c>
      <c r="D55" s="25">
        <v>858.5</v>
      </c>
      <c r="E55" t="str">
        <f t="shared" si="0"/>
        <v>('ch-ZRH', 1990, 858.5),</v>
      </c>
    </row>
    <row r="56" spans="3:5" x14ac:dyDescent="0.25">
      <c r="C56">
        <v>1991</v>
      </c>
      <c r="D56" s="25">
        <v>911.2</v>
      </c>
      <c r="E56" t="str">
        <f t="shared" si="0"/>
        <v>('ch-ZRH', 1991, 911.2),</v>
      </c>
    </row>
    <row r="57" spans="3:5" x14ac:dyDescent="0.25">
      <c r="C57">
        <v>1992</v>
      </c>
      <c r="D57" s="25">
        <v>905.2</v>
      </c>
      <c r="E57" t="str">
        <f t="shared" si="0"/>
        <v>('ch-ZRH', 1992, 905.2),</v>
      </c>
    </row>
    <row r="58" spans="3:5" x14ac:dyDescent="0.25">
      <c r="C58">
        <v>1993</v>
      </c>
      <c r="D58" s="25">
        <v>863.8</v>
      </c>
      <c r="E58" t="str">
        <f t="shared" si="0"/>
        <v>('ch-ZRH', 1993, 863.8),</v>
      </c>
    </row>
    <row r="59" spans="3:5" x14ac:dyDescent="0.25">
      <c r="C59">
        <v>1994</v>
      </c>
      <c r="D59" s="25">
        <v>853.1</v>
      </c>
      <c r="E59" t="str">
        <f t="shared" si="0"/>
        <v>('ch-ZRH', 1994, 853.1),</v>
      </c>
    </row>
    <row r="60" spans="3:5" x14ac:dyDescent="0.25">
      <c r="C60">
        <v>1995</v>
      </c>
      <c r="D60" s="25">
        <v>874.2</v>
      </c>
      <c r="E60" t="str">
        <f t="shared" si="0"/>
        <v>('ch-ZRH', 1995, 874.2),</v>
      </c>
    </row>
    <row r="61" spans="3:5" x14ac:dyDescent="0.25">
      <c r="C61">
        <v>1996</v>
      </c>
      <c r="D61" s="25">
        <v>861.1</v>
      </c>
      <c r="E61" t="str">
        <f t="shared" si="0"/>
        <v>('ch-ZRH', 1996, 861.1),</v>
      </c>
    </row>
    <row r="62" spans="3:5" x14ac:dyDescent="0.25">
      <c r="C62">
        <v>1997</v>
      </c>
      <c r="D62" s="25">
        <v>847.4</v>
      </c>
      <c r="E62" t="str">
        <f t="shared" si="0"/>
        <v>('ch-ZRH', 1997, 847.4),</v>
      </c>
    </row>
    <row r="63" spans="3:5" x14ac:dyDescent="0.25">
      <c r="C63">
        <v>1998</v>
      </c>
      <c r="D63" s="25">
        <v>843.8</v>
      </c>
      <c r="E63" t="str">
        <f t="shared" si="0"/>
        <v>('ch-ZRH', 1998, 843.8),</v>
      </c>
    </row>
    <row r="64" spans="3:5" x14ac:dyDescent="0.25">
      <c r="C64">
        <v>1999</v>
      </c>
      <c r="D64" s="25">
        <v>854.4</v>
      </c>
      <c r="E64" t="str">
        <f t="shared" si="0"/>
        <v>('ch-ZRH', 1999, 854.4),</v>
      </c>
    </row>
    <row r="65" spans="3:5" x14ac:dyDescent="0.25">
      <c r="C65">
        <v>2000</v>
      </c>
      <c r="D65" s="25">
        <v>887.1</v>
      </c>
      <c r="E65" t="str">
        <f t="shared" si="0"/>
        <v>('ch-ZRH', 2000, 887.1),</v>
      </c>
    </row>
    <row r="66" spans="3:5" x14ac:dyDescent="0.25">
      <c r="C66">
        <v>2001</v>
      </c>
      <c r="D66" s="25">
        <v>929.3</v>
      </c>
      <c r="E66" t="str">
        <f t="shared" si="0"/>
        <v>('ch-ZRH', 2001, 929.3),</v>
      </c>
    </row>
    <row r="67" spans="3:5" x14ac:dyDescent="0.25">
      <c r="C67">
        <v>2002</v>
      </c>
      <c r="D67" s="25">
        <v>928.4</v>
      </c>
      <c r="E67" t="str">
        <f t="shared" si="0"/>
        <v>('ch-ZRH', 2002, 928.4),</v>
      </c>
    </row>
    <row r="68" spans="3:5" x14ac:dyDescent="0.25">
      <c r="C68">
        <v>2003</v>
      </c>
      <c r="D68" s="25">
        <v>899.2</v>
      </c>
      <c r="E68" t="str">
        <f t="shared" si="0"/>
        <v>('ch-ZRH', 2003, 899.2),</v>
      </c>
    </row>
    <row r="69" spans="3:5" x14ac:dyDescent="0.25">
      <c r="C69">
        <v>2004</v>
      </c>
      <c r="D69" s="25">
        <v>907.6</v>
      </c>
      <c r="E69" t="str">
        <f t="shared" ref="E69:E86" si="1">"('"&amp;A$2&amp;"', " &amp;C69&amp;", " &amp;D69&amp;"),"</f>
        <v>('ch-ZRH', 2004, 907.6),</v>
      </c>
    </row>
    <row r="70" spans="3:5" x14ac:dyDescent="0.25">
      <c r="C70">
        <v>2005</v>
      </c>
      <c r="D70" s="25">
        <v>929.5</v>
      </c>
      <c r="E70" t="str">
        <f t="shared" si="1"/>
        <v>('ch-ZRH', 2005, 929.5),</v>
      </c>
    </row>
    <row r="71" spans="3:5" x14ac:dyDescent="0.25">
      <c r="C71">
        <v>2006</v>
      </c>
      <c r="D71" s="25">
        <v>944.5</v>
      </c>
      <c r="E71" t="str">
        <f t="shared" si="1"/>
        <v>('ch-ZRH', 2006, 944.5),</v>
      </c>
    </row>
    <row r="72" spans="3:5" x14ac:dyDescent="0.25">
      <c r="C72">
        <v>2007</v>
      </c>
      <c r="D72" s="25">
        <v>987.4</v>
      </c>
      <c r="E72" t="str">
        <f t="shared" si="1"/>
        <v>('ch-ZRH', 2007, 987.4),</v>
      </c>
    </row>
    <row r="73" spans="3:5" x14ac:dyDescent="0.25">
      <c r="C73">
        <v>2008</v>
      </c>
      <c r="D73" s="25">
        <v>1026.8</v>
      </c>
      <c r="E73" t="str">
        <f t="shared" si="1"/>
        <v>('ch-ZRH', 2008, 1026.8),</v>
      </c>
    </row>
    <row r="74" spans="3:5" x14ac:dyDescent="0.25">
      <c r="C74">
        <v>2009</v>
      </c>
      <c r="D74" s="25">
        <v>1030.7</v>
      </c>
      <c r="E74" t="str">
        <f t="shared" si="1"/>
        <v>('ch-ZRH', 2009, 1030.7),</v>
      </c>
    </row>
    <row r="75" spans="3:5" x14ac:dyDescent="0.25">
      <c r="C75">
        <v>2010</v>
      </c>
      <c r="D75" s="25">
        <v>1042.5999999999999</v>
      </c>
      <c r="E75" t="str">
        <f t="shared" si="1"/>
        <v>('ch-ZRH', 2010, 1042.6),</v>
      </c>
    </row>
    <row r="76" spans="3:5" x14ac:dyDescent="0.25">
      <c r="C76">
        <v>2011</v>
      </c>
      <c r="D76" s="25">
        <v>1059.8</v>
      </c>
      <c r="E76" t="str">
        <f t="shared" si="1"/>
        <v>('ch-ZRH', 2011, 1059.8),</v>
      </c>
    </row>
    <row r="77" spans="3:5" x14ac:dyDescent="0.25">
      <c r="C77">
        <v>2012</v>
      </c>
      <c r="D77" s="25">
        <v>1067.4000000000001</v>
      </c>
      <c r="E77" t="str">
        <f t="shared" si="1"/>
        <v>('ch-ZRH', 2012, 1067.4),</v>
      </c>
    </row>
    <row r="78" spans="3:5" x14ac:dyDescent="0.25">
      <c r="C78">
        <v>2013</v>
      </c>
      <c r="D78" s="25">
        <v>1060.9000000000001</v>
      </c>
      <c r="E78" t="str">
        <f t="shared" si="1"/>
        <v>('ch-ZRH', 2013, 1060.9),</v>
      </c>
    </row>
    <row r="79" spans="3:5" x14ac:dyDescent="0.25">
      <c r="C79">
        <v>2014</v>
      </c>
      <c r="D79" s="25">
        <v>1066.0999999999999</v>
      </c>
      <c r="E79" t="str">
        <f t="shared" si="1"/>
        <v>('ch-ZRH', 2014, 1066.1),</v>
      </c>
    </row>
    <row r="80" spans="3:5" x14ac:dyDescent="0.25">
      <c r="C80">
        <v>2015</v>
      </c>
      <c r="D80" s="25">
        <v>1053.2</v>
      </c>
      <c r="E80" t="str">
        <f t="shared" si="1"/>
        <v>('ch-ZRH', 2015, 1053.2),</v>
      </c>
    </row>
    <row r="81" spans="3:5" x14ac:dyDescent="0.25">
      <c r="C81">
        <v>2016</v>
      </c>
      <c r="D81" s="25">
        <v>1034.4000000000001</v>
      </c>
      <c r="E81" t="str">
        <f t="shared" si="1"/>
        <v>('ch-ZRH', 2016, 1034.4),</v>
      </c>
    </row>
    <row r="82" spans="3:5" x14ac:dyDescent="0.25">
      <c r="C82">
        <v>2017</v>
      </c>
      <c r="D82" s="25">
        <v>1034.5</v>
      </c>
      <c r="E82" t="str">
        <f t="shared" si="1"/>
        <v>('ch-ZRH', 2017, 1034.5),</v>
      </c>
    </row>
    <row r="83" spans="3:5" x14ac:dyDescent="0.25">
      <c r="C83">
        <v>2018</v>
      </c>
      <c r="D83" s="25">
        <v>1036.8</v>
      </c>
      <c r="E83" t="str">
        <f t="shared" si="1"/>
        <v>('ch-ZRH', 2018, 1036.8),</v>
      </c>
    </row>
    <row r="84" spans="3:5" x14ac:dyDescent="0.25">
      <c r="C84">
        <v>2019</v>
      </c>
      <c r="D84" s="25">
        <v>1046.3</v>
      </c>
      <c r="E84" t="str">
        <f t="shared" si="1"/>
        <v>('ch-ZRH', 2019, 1046.3),</v>
      </c>
    </row>
    <row r="85" spans="3:5" x14ac:dyDescent="0.25">
      <c r="C85">
        <v>2020</v>
      </c>
      <c r="D85" s="25">
        <v>1045.5999999999999</v>
      </c>
      <c r="E85" t="str">
        <f t="shared" si="1"/>
        <v>('ch-ZRH', 2020, 1045.6),</v>
      </c>
    </row>
    <row r="86" spans="3:5" x14ac:dyDescent="0.25">
      <c r="C86">
        <v>2021</v>
      </c>
      <c r="D86" s="25">
        <v>1057.68</v>
      </c>
      <c r="E86" t="str">
        <f t="shared" si="1"/>
        <v>('ch-ZRH', 2021, 1057.68),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Tenant</vt:lpstr>
      <vt:lpstr>User</vt:lpstr>
      <vt:lpstr>Account</vt:lpstr>
      <vt:lpstr>Contact</vt:lpstr>
      <vt:lpstr>Document</vt:lpstr>
      <vt:lpstr>Lead</vt:lpstr>
      <vt:lpstr>Task</vt:lpstr>
      <vt:lpstr>Building</vt:lpstr>
      <vt:lpstr>BuildingElement</vt:lpstr>
      <vt:lpstr>buildingNr</vt:lpstr>
      <vt:lpstr>Building Price Index</vt:lpstr>
      <vt:lpstr>Building!_FilterDatabase</vt:lpstr>
      <vt:lpstr>Building!ExterneDaten_1</vt:lpstr>
      <vt:lpstr>BuildingElement!ExterneDaten_1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Hannes</dc:creator>
  <dc:description/>
  <cp:lastModifiedBy>Hannes Brunner</cp:lastModifiedBy>
  <cp:revision>56</cp:revision>
  <dcterms:created xsi:type="dcterms:W3CDTF">2020-11-06T15:28:10Z</dcterms:created>
  <dcterms:modified xsi:type="dcterms:W3CDTF">2022-06-17T11:41:49Z</dcterms:modified>
  <dc:language>es-ES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